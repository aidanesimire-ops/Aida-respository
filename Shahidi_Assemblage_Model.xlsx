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Income Valuation" sheetId="2" state="visible" r:id="rId2"/>
    <sheet name="Assemblage" sheetId="3" state="visible" r:id="rId3"/>
    <sheet name="Shahidi Retail" sheetId="4" state="visible" r:id="rId4"/>
    <sheet name="Publix &amp; Starbucks" sheetId="5" state="visible" r:id="rId5"/>
    <sheet name="Sunrise Plaza" sheetId="6" state="visible" r:id="rId6"/>
    <sheet name="Office Condo" sheetId="7" state="visible" r:id="rId7"/>
    <sheet name="Land" sheetId="8" state="visible" r:id="rId8"/>
    <sheet name="Notes &amp; Sourc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* #,##0_);_(* (#,##0);_(* &quot;-&quot;??_);_(@_)"/>
    <numFmt numFmtId="165" formatCode="_($* #,##0_);_($* (#,##0);_($* &quot;-&quot;??_);_(@_)"/>
    <numFmt numFmtId="166" formatCode="0.0%"/>
    <numFmt numFmtId="167" formatCode="0.00&quot;x&quot;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color rgb="002D5016"/>
      <sz val="8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i val="1"/>
      <color rgb="00595959"/>
      <sz val="7"/>
    </font>
    <font>
      <name val="Arial"/>
      <b val="1"/>
      <color rgb="00000000"/>
      <sz val="8"/>
    </font>
    <font>
      <name val="Arial"/>
      <color rgb="00008000"/>
      <sz val="8"/>
    </font>
    <font>
      <name val="Arial"/>
      <b val="1"/>
      <color rgb="00008000"/>
      <sz val="8"/>
    </font>
    <font>
      <name val="Arial"/>
      <color rgb="00FFFFFF"/>
      <sz val="7"/>
    </font>
    <font>
      <name val="Arial"/>
      <b val="1"/>
      <color rgb="00C9A84C"/>
      <sz val="22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E8F5E9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2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5" fontId="15" fillId="7" borderId="1" applyAlignment="1" pivotButton="0" quotePrefix="0" xfId="0">
      <alignment horizontal="center" vertical="center" wrapText="1"/>
    </xf>
    <xf numFmtId="10" fontId="15" fillId="7" borderId="1" applyAlignment="1" pivotButton="0" quotePrefix="0" xfId="0">
      <alignment horizontal="center" vertical="center" wrapText="1"/>
    </xf>
    <xf numFmtId="4" fontId="15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5" fillId="4" borderId="6" applyAlignment="1" pivotButton="0" quotePrefix="0" xfId="0">
      <alignment horizontal="left" vertical="center" wrapText="1"/>
    </xf>
    <xf numFmtId="0" fontId="5" fillId="4" borderId="6" applyAlignment="1" pivotButton="0" quotePrefix="0" xfId="0">
      <alignment horizontal="center" vertical="center" wrapText="1"/>
    </xf>
    <xf numFmtId="164" fontId="12" fillId="0" borderId="6" applyAlignment="1" pivotButton="0" quotePrefix="0" xfId="0">
      <alignment horizontal="right" vertical="center" wrapText="1"/>
    </xf>
    <xf numFmtId="166" fontId="12" fillId="0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horizontal="left" vertical="center" wrapText="1"/>
    </xf>
    <xf numFmtId="165" fontId="9" fillId="2" borderId="6" applyAlignment="1" pivotButton="0" quotePrefix="0" xfId="0">
      <alignment horizontal="right" vertical="center" wrapText="1"/>
    </xf>
    <xf numFmtId="166" fontId="9" fillId="2" borderId="6" applyAlignment="1" pivotButton="0" quotePrefix="0" xfId="0">
      <alignment horizontal="right" vertical="center" wrapText="1"/>
    </xf>
    <xf numFmtId="0" fontId="10" fillId="0" borderId="6" applyAlignment="1" pivotButton="0" quotePrefix="0" xfId="0">
      <alignment horizontal="left" vertical="center" wrapText="1"/>
    </xf>
    <xf numFmtId="165" fontId="12" fillId="0" borderId="6" applyAlignment="1" pivotButton="0" quotePrefix="0" xfId="0">
      <alignment horizontal="right" vertical="center" wrapText="1"/>
    </xf>
    <xf numFmtId="10" fontId="12" fillId="0" borderId="6" applyAlignment="1" pivotButton="0" quotePrefix="0" xfId="0">
      <alignment horizontal="right" vertical="center" wrapText="1"/>
    </xf>
    <xf numFmtId="3" fontId="12" fillId="0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" fontId="5" fillId="4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1" fillId="0" borderId="11" applyAlignment="1" pivotButton="0" quotePrefix="0" xfId="0">
      <alignment horizontal="left" vertical="center" wrapText="1"/>
    </xf>
    <xf numFmtId="165" fontId="11" fillId="0" borderId="6" applyAlignment="1" pivotButton="0" quotePrefix="0" xfId="0">
      <alignment horizontal="right" vertical="center" wrapText="1"/>
    </xf>
    <xf numFmtId="164" fontId="11" fillId="0" borderId="6" applyAlignment="1" pivotButton="0" quotePrefix="0" xfId="0">
      <alignment horizontal="right" vertical="center" wrapText="1"/>
    </xf>
    <xf numFmtId="165" fontId="13" fillId="0" borderId="6" applyAlignment="1" pivotButton="0" quotePrefix="0" xfId="0">
      <alignment horizontal="right" vertical="center" wrapText="1"/>
    </xf>
    <xf numFmtId="164" fontId="6" fillId="0" borderId="6" applyAlignment="1" pivotButton="0" quotePrefix="0" xfId="0">
      <alignment horizontal="right" vertical="center" wrapText="1"/>
    </xf>
    <xf numFmtId="10" fontId="7" fillId="5" borderId="6" applyAlignment="1" pivotButton="0" quotePrefix="0" xfId="0">
      <alignment horizontal="right" vertical="center" wrapText="1"/>
    </xf>
    <xf numFmtId="166" fontId="7" fillId="5" borderId="6" applyAlignment="1" pivotButton="0" quotePrefix="0" xfId="0">
      <alignment horizontal="right" vertical="center" wrapText="1"/>
    </xf>
    <xf numFmtId="1" fontId="7" fillId="5" borderId="6" applyAlignment="1" pivotButton="0" quotePrefix="0" xfId="0">
      <alignment horizontal="right" vertical="center" wrapText="1"/>
    </xf>
    <xf numFmtId="167" fontId="7" fillId="5" borderId="6" applyAlignment="1" pivotButton="0" quotePrefix="0" xfId="0">
      <alignment horizontal="right" vertical="center" wrapText="1"/>
    </xf>
    <xf numFmtId="10" fontId="6" fillId="0" borderId="6" applyAlignment="1" pivotButton="0" quotePrefix="0" xfId="0">
      <alignment horizontal="right" vertical="center" wrapText="1"/>
    </xf>
    <xf numFmtId="165" fontId="6" fillId="0" borderId="6" applyAlignment="1" pivotButton="0" quotePrefix="0" xfId="0">
      <alignment horizontal="right" vertical="center" wrapText="1"/>
    </xf>
    <xf numFmtId="0" fontId="11" fillId="0" borderId="6" applyAlignment="1" pivotButton="0" quotePrefix="0" xfId="0">
      <alignment horizontal="left" vertical="center" wrapText="1"/>
    </xf>
    <xf numFmtId="166" fontId="6" fillId="0" borderId="6" applyAlignment="1" pivotButton="0" quotePrefix="0" xfId="0">
      <alignment horizontal="right" vertical="center" wrapText="1"/>
    </xf>
    <xf numFmtId="167" fontId="6" fillId="0" borderId="6" applyAlignment="1" pivotButton="0" quotePrefix="0" xfId="0">
      <alignment horizontal="right" vertical="center" wrapText="1"/>
    </xf>
    <xf numFmtId="0" fontId="8" fillId="6" borderId="6" applyAlignment="1" pivotButton="0" quotePrefix="0" xfId="0">
      <alignment horizontal="left" vertical="center" wrapText="1"/>
    </xf>
    <xf numFmtId="0" fontId="3" fillId="7" borderId="6" applyAlignment="1" pivotButton="0" quotePrefix="0" xfId="0">
      <alignment horizontal="left" vertical="center" wrapText="1"/>
    </xf>
    <xf numFmtId="165" fontId="3" fillId="7" borderId="6" applyAlignment="1" pivotButton="0" quotePrefix="0" xfId="0">
      <alignment horizontal="right" vertical="center" wrapText="1"/>
    </xf>
    <xf numFmtId="9" fontId="7" fillId="5" borderId="6" applyAlignment="1" pivotButton="0" quotePrefix="0" xfId="0">
      <alignment horizontal="center" vertical="center" wrapText="1"/>
    </xf>
    <xf numFmtId="10" fontId="7" fillId="5" borderId="6" applyAlignment="1" pivotButton="0" quotePrefix="0" xfId="0">
      <alignment horizontal="center" vertical="center" wrapText="1"/>
    </xf>
    <xf numFmtId="168" fontId="6" fillId="0" borderId="6" applyAlignment="1" pivotButton="0" quotePrefix="0" xfId="0">
      <alignment horizontal="center" vertical="center" wrapText="1"/>
    </xf>
    <xf numFmtId="164" fontId="7" fillId="5" borderId="6" applyAlignment="1" pivotButton="0" quotePrefix="0" xfId="0">
      <alignment horizontal="center" vertical="center" wrapText="1"/>
    </xf>
    <xf numFmtId="167" fontId="6" fillId="0" borderId="6" applyAlignment="1" pivotButton="0" quotePrefix="0" xfId="0">
      <alignment horizontal="center" vertical="center" wrapText="1"/>
    </xf>
    <xf numFmtId="3" fontId="4" fillId="3" borderId="6" applyAlignment="1" pivotButton="0" quotePrefix="0" xfId="0">
      <alignment horizontal="right" vertical="center" wrapText="1"/>
    </xf>
    <xf numFmtId="10" fontId="9" fillId="2" borderId="6" applyAlignment="1" pivotButton="0" quotePrefix="0" xfId="0">
      <alignment horizontal="right" vertical="center" wrapText="1"/>
    </xf>
    <xf numFmtId="3" fontId="9" fillId="2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horizontal="center" vertical="center" wrapText="1"/>
    </xf>
    <xf numFmtId="3" fontId="6" fillId="0" borderId="6" applyAlignment="1" pivotButton="0" quotePrefix="0" xfId="0">
      <alignment horizontal="right" vertical="center" wrapText="1"/>
    </xf>
    <xf numFmtId="4" fontId="6" fillId="0" borderId="6" applyAlignment="1" pivotButton="0" quotePrefix="0" xfId="0">
      <alignment horizontal="right" vertical="center" wrapText="1"/>
    </xf>
    <xf numFmtId="0" fontId="8" fillId="6" borderId="6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center" vertical="center" wrapText="1"/>
    </xf>
    <xf numFmtId="4" fontId="7" fillId="5" borderId="6" applyAlignment="1" pivotButton="0" quotePrefix="0" xfId="0">
      <alignment horizontal="right" vertical="center" wrapText="1"/>
    </xf>
    <xf numFmtId="3" fontId="8" fillId="6" borderId="6" applyAlignment="1" pivotButton="0" quotePrefix="0" xfId="0">
      <alignment horizontal="right" vertical="center" wrapText="1"/>
    </xf>
    <xf numFmtId="0" fontId="8" fillId="6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vertical="center" wrapText="1"/>
    </xf>
    <xf numFmtId="4" fontId="9" fillId="2" borderId="6" applyAlignment="1" pivotButton="0" quotePrefix="0" xfId="0">
      <alignment horizontal="right" vertical="center" wrapText="1"/>
    </xf>
    <xf numFmtId="3" fontId="7" fillId="5" borderId="6" applyAlignment="1" pivotButton="0" quotePrefix="0" xfId="0">
      <alignment horizontal="right" vertical="center" wrapText="1"/>
    </xf>
    <xf numFmtId="165" fontId="7" fillId="5" borderId="6" applyAlignment="1" pivotButton="0" quotePrefix="0" xfId="0">
      <alignment horizontal="right" vertical="center" wrapText="1"/>
    </xf>
    <xf numFmtId="0" fontId="5" fillId="4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0" fontId="10" fillId="0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horizontal="right" vertical="center" wrapText="1"/>
    </xf>
    <xf numFmtId="165" fontId="11" fillId="0" borderId="1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DAWN RE ENTERPRISES CORP.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E SUNRISE BLVD ASSEMBLAGE  ·  COVERED LAND PLAY  —  EXECUTIVE SUMMARY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6" customHeight="1">
      <c r="B3" s="5" t="inlineStr">
        <is>
          <t>Fort Lauderdale, FL 33304  ·  Galleria hard corner  ·  five contiguous assets, plat block 49-42-36-12  ·  prepared 2026-07-21  · 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6" customHeight="1">
      <c r="B5" s="6" t="inlineStr">
        <is>
          <t>INCOME-BASED PRICE</t>
        </is>
      </c>
      <c r="C5" s="2" t="n"/>
      <c r="D5" s="3" t="n"/>
      <c r="E5" s="6" t="inlineStr">
        <is>
          <t>COVERED-LAND PRICE</t>
        </is>
      </c>
      <c r="F5" s="2" t="n"/>
      <c r="G5" s="3" t="n"/>
      <c r="H5" s="6" t="inlineStr">
        <is>
          <t>BLENDED IN-PLACE CAP</t>
        </is>
      </c>
      <c r="I5" s="2" t="n"/>
      <c r="J5" s="3" t="n"/>
      <c r="K5" s="6" t="inlineStr">
        <is>
          <t>LAND CONTROLLED</t>
        </is>
      </c>
      <c r="L5" s="2" t="n"/>
      <c r="M5" s="3" t="n"/>
    </row>
    <row r="6" ht="34" customHeight="1">
      <c r="B6" s="7">
        <f>'Income Valuation'!C88</f>
        <v/>
      </c>
      <c r="C6" s="2" t="n"/>
      <c r="D6" s="3" t="n"/>
      <c r="E6" s="7">
        <f>'Assemblage'!C29</f>
        <v/>
      </c>
      <c r="F6" s="2" t="n"/>
      <c r="G6" s="3" t="n"/>
      <c r="H6" s="8">
        <f>'Assemblage'!C23</f>
        <v/>
      </c>
      <c r="I6" s="2" t="n"/>
      <c r="J6" s="3" t="n"/>
      <c r="K6" s="9">
        <f>'Assemblage'!C21</f>
        <v/>
      </c>
      <c r="L6" s="2" t="n"/>
      <c r="M6" s="3" t="n"/>
    </row>
    <row r="7" ht="16" customHeight="1">
      <c r="B7" s="10" t="inlineStr">
        <is>
          <t>what the combined cash flows support</t>
        </is>
      </c>
      <c r="C7" s="2" t="n"/>
      <c r="D7" s="3" t="n"/>
      <c r="E7" s="10" t="inlineStr">
        <is>
          <t>HBU: land value + assemblage premium</t>
        </is>
      </c>
      <c r="F7" s="2" t="n"/>
      <c r="G7" s="3" t="n"/>
      <c r="H7" s="10" t="inlineStr">
        <is>
          <t>income covers carry</t>
        </is>
      </c>
      <c r="I7" s="2" t="n"/>
      <c r="J7" s="3" t="n"/>
      <c r="K7" s="10" t="inlineStr">
        <is>
          <t>acres of E Sunrise frontage</t>
        </is>
      </c>
      <c r="L7" s="2" t="n"/>
      <c r="M7" s="3" t="n"/>
    </row>
    <row r="8"/>
    <row r="9">
      <c r="B9" s="11" t="inlineStr">
        <is>
          <t>THE DEAL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2" t="inlineStr">
        <is>
          <t>Assemble the entire E Sunrise Blvd frontage at the Galleria hard corner (~60,000 vehicles/day, across from the 31.5-ac Galleria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redevelopment and the Live Local corridor). Five contiguous assets on one plat block. Strategy: buy/value each asset off the rent it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produces, let the in-place income cover the carry, and control ~7+ acres for eventual Live Local high-density redevelopment. The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redevelopment residual is negative today (AE flood zone, coastal hard costs), so the disciplined play is to HOLD income-covered land.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Publix already validated the thesis — it paid land value ($679/SF building), not income value, to control its parcel.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ASSET SCORECARD  —  🟢 live links to each asset tab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Asset</t>
        </is>
      </c>
      <c r="D17" s="15" t="inlineStr">
        <is>
          <t>Address / size</t>
        </is>
      </c>
      <c r="E17" s="13" t="n"/>
      <c r="F17" s="14" t="n"/>
      <c r="G17" s="16" t="inlineStr">
        <is>
          <t>Control cost</t>
        </is>
      </c>
      <c r="H17" s="16" t="inlineStr">
        <is>
          <t>In-place NOI</t>
        </is>
      </c>
      <c r="I17" s="14" t="n"/>
      <c r="J17" s="16" t="inlineStr">
        <is>
          <t>Unlev IRR</t>
        </is>
      </c>
      <c r="K17" s="16" t="inlineStr">
        <is>
          <t>Lev IRR</t>
        </is>
      </c>
      <c r="L17" s="13" t="n"/>
      <c r="M17" s="14" t="n"/>
    </row>
    <row r="18" ht="15" customHeight="1">
      <c r="B18" s="12" t="inlineStr">
        <is>
          <t>Shahidi Retail (Galleria Plaza)</t>
        </is>
      </c>
      <c r="D18" s="12" t="inlineStr">
        <is>
          <t>2541–2595 E Sunrise · 26,272 SF retail</t>
        </is>
      </c>
      <c r="E18" s="13" t="n"/>
      <c r="F18" s="14" t="n"/>
      <c r="G18" s="17">
        <f>'Shahidi Retail'!C57</f>
        <v/>
      </c>
      <c r="H18" s="17">
        <f>'Shahidi Retail'!C121</f>
        <v/>
      </c>
      <c r="I18" s="14" t="n"/>
      <c r="J18" s="18">
        <f>'Shahidi Retail'!C116</f>
        <v/>
      </c>
      <c r="K18" s="18">
        <f>'Shahidi Retail'!C119</f>
        <v/>
      </c>
      <c r="L18" s="13" t="n"/>
      <c r="M18" s="14" t="n"/>
    </row>
    <row r="19" ht="15" customHeight="1">
      <c r="B19" s="12" t="inlineStr">
        <is>
          <t>Publix + Starbucks</t>
        </is>
      </c>
      <c r="D19" s="12" t="inlineStr">
        <is>
          <t>2501–2519 E Sunrise · 36,822 SF grocery + pad</t>
        </is>
      </c>
      <c r="E19" s="13" t="n"/>
      <c r="F19" s="14" t="n"/>
      <c r="G19" s="17">
        <f>'Publix &amp; Starbucks'!C65</f>
        <v/>
      </c>
      <c r="H19" s="17">
        <f>'Publix &amp; Starbucks'!C107</f>
        <v/>
      </c>
      <c r="I19" s="14" t="n"/>
      <c r="J19" s="18">
        <f>'Publix &amp; Starbucks'!C102</f>
        <v/>
      </c>
      <c r="K19" s="18">
        <f>'Publix &amp; Starbucks'!C105</f>
        <v/>
      </c>
      <c r="L19" s="13" t="n"/>
      <c r="M19" s="14" t="n"/>
    </row>
    <row r="20" ht="15" customHeight="1">
      <c r="B20" s="12" t="inlineStr">
        <is>
          <t>Sunrise Plaza (Kar Luen)</t>
        </is>
      </c>
      <c r="D20" s="12" t="inlineStr">
        <is>
          <t>2465–2485 E Sunrise · 25,105 SF retail</t>
        </is>
      </c>
      <c r="E20" s="13" t="n"/>
      <c r="F20" s="14" t="n"/>
      <c r="G20" s="17">
        <f>'Sunrise Plaza'!C46</f>
        <v/>
      </c>
      <c r="H20" s="17">
        <f>'Sunrise Plaza'!C110</f>
        <v/>
      </c>
      <c r="I20" s="14" t="n"/>
      <c r="J20" s="18">
        <f>'Sunrise Plaza'!C105</f>
        <v/>
      </c>
      <c r="K20" s="18">
        <f>'Sunrise Plaza'!C108</f>
        <v/>
      </c>
      <c r="L20" s="13" t="n"/>
      <c r="M20" s="14" t="n"/>
    </row>
    <row r="21" ht="15" customHeight="1">
      <c r="B21" s="12" t="inlineStr">
        <is>
          <t>Galleria Corporate Centre</t>
        </is>
      </c>
      <c r="D21" s="12" t="inlineStr">
        <is>
          <t>2455 E Sunrise · 168,807 SF office condo</t>
        </is>
      </c>
      <c r="E21" s="13" t="n"/>
      <c r="F21" s="14" t="n"/>
      <c r="G21" s="17">
        <f>'Office Condo'!C26</f>
        <v/>
      </c>
      <c r="H21" s="17">
        <f>'Office Condo'!C76</f>
        <v/>
      </c>
      <c r="I21" s="14" t="n"/>
      <c r="J21" s="18">
        <f>'Office Condo'!C71</f>
        <v/>
      </c>
      <c r="K21" s="18">
        <f>'Office Condo'!C74</f>
        <v/>
      </c>
      <c r="L21" s="13" t="n"/>
      <c r="M21" s="14" t="n"/>
    </row>
    <row r="22" ht="15" customHeight="1">
      <c r="B22" s="12" t="inlineStr">
        <is>
          <t>1040 Bayview (land)</t>
        </is>
      </c>
      <c r="D22" s="12" t="inlineStr">
        <is>
          <t>1040 Bayview Dr · 2.39 ac · 259 units entitled</t>
        </is>
      </c>
      <c r="E22" s="13" t="n"/>
      <c r="F22" s="14" t="n"/>
      <c r="G22" s="17">
        <f>'Land'!E40</f>
        <v/>
      </c>
      <c r="H22" s="17">
        <f>'Land'!C47</f>
        <v/>
      </c>
      <c r="I22" s="14" t="n"/>
      <c r="J22" s="18">
        <f>'Land'!C65</f>
        <v/>
      </c>
      <c r="K22" s="18">
        <f>'Land'!C68</f>
        <v/>
      </c>
      <c r="L22" s="13" t="n"/>
      <c r="M22" s="14" t="n"/>
    </row>
    <row r="23" ht="15" customHeight="1">
      <c r="B23" s="19" t="inlineStr">
        <is>
          <t>ASSEMBLAGE (pre-premium)</t>
        </is>
      </c>
      <c r="D23" s="19" t="inlineStr">
        <is>
          <t>5 assets · ~7+ ac · 341,501 SF bldg</t>
        </is>
      </c>
      <c r="E23" s="13" t="n"/>
      <c r="F23" s="14" t="n"/>
      <c r="G23" s="20">
        <f>'Assemblage'!C17</f>
        <v/>
      </c>
      <c r="H23" s="20">
        <f>'Assemblage'!D17</f>
        <v/>
      </c>
      <c r="I23" s="14" t="n"/>
      <c r="J23" s="21">
        <f>'Income Valuation'!C76</f>
        <v/>
      </c>
      <c r="K23" s="21">
        <f>'Income Valuation'!C78</f>
        <v/>
      </c>
      <c r="L23" s="13" t="n"/>
      <c r="M23" s="14" t="n"/>
    </row>
    <row r="24" ht="15" customHeight="1">
      <c r="B24" s="22" t="inlineStr">
        <is>
          <t>Portfolio IRR (unlev / lev) = consolidated cash-flow IRR at the income price (Income Valuation tab)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/>
    <row r="26">
      <c r="B26" s="11" t="inlineStr">
        <is>
          <t>CAPITAL, VALUATION  &amp;  COVERED-LAND MATH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</row>
    <row r="27" ht="27" customHeight="1">
      <c r="B27" s="12" t="inlineStr">
        <is>
          <t>① Income-based price (assemblage cash flows)</t>
        </is>
      </c>
      <c r="C27" s="23">
        <f>'Income Valuation'!C88</f>
        <v/>
      </c>
      <c r="D27" s="22" t="inlineStr">
        <is>
          <t>direct cap on consolidated in-place NOI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② Covered-land / HBU price (control cost)</t>
        </is>
      </c>
      <c r="C28" s="23">
        <f>'Assemblage'!C29</f>
        <v/>
      </c>
      <c r="D28" s="22" t="inlineStr">
        <is>
          <t>land value + 20% assemblage premium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27" customHeight="1">
      <c r="B29" s="12" t="inlineStr">
        <is>
          <t>Premium over income value (dirt + optionality)</t>
        </is>
      </c>
      <c r="C29" s="23">
        <f>'Income Valuation'!C90</f>
        <v/>
      </c>
      <c r="D29" s="22" t="inlineStr">
        <is>
          <t>② − ① = the land / Live Local option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Summed control cost (pre-premium)</t>
        </is>
      </c>
      <c r="C30" s="23">
        <f>'Assemblage'!C17</f>
        <v/>
      </c>
    </row>
    <row r="31" ht="15" customHeight="1">
      <c r="B31" s="12" t="inlineStr">
        <is>
          <t>Total equity required (all assets, HBU)</t>
        </is>
      </c>
      <c r="C31" s="23">
        <f>'Assemblage'!C36</f>
        <v/>
      </c>
    </row>
    <row r="32" ht="15" customHeight="1">
      <c r="B32" s="12" t="inlineStr">
        <is>
          <t>Total in-place NOI</t>
        </is>
      </c>
      <c r="C32" s="23">
        <f>'Assemblage'!D17</f>
        <v/>
      </c>
      <c r="D32" s="22" t="inlineStr">
        <is>
          <t>covers debt service + taxes during hold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in-place cap</t>
        </is>
      </c>
      <c r="C33" s="24">
        <f>'Assemblage'!C23</f>
        <v/>
      </c>
      <c r="D33" s="22" t="inlineStr">
        <is>
          <t>covered-land ~3–5% range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Total land assembled (SF)</t>
        </is>
      </c>
      <c r="C34" s="25">
        <f>'Assemblage'!F17</f>
        <v/>
      </c>
    </row>
    <row r="35" ht="15" customHeight="1">
      <c r="B35" s="12" t="inlineStr">
        <is>
          <t>Blended land basis ($/SF)</t>
        </is>
      </c>
      <c r="C35" s="26">
        <f>'Assemblage'!C22</f>
        <v/>
      </c>
      <c r="D35" s="22" t="inlineStr">
        <is>
          <t>vs. subject comps $228–255/SF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Total land value</t>
        </is>
      </c>
      <c r="C36" s="23">
        <f>'Assemblage'!G17</f>
        <v/>
      </c>
    </row>
    <row r="37" ht="15" customHeight="1">
      <c r="B37" s="12" t="inlineStr">
        <is>
          <t>Redevelopment residual (Live Local)</t>
        </is>
      </c>
      <c r="C37" s="23">
        <f>'Land'!C78</f>
        <v/>
      </c>
      <c r="D37" s="22" t="inlineStr">
        <is>
          <t>NEGATIVE → hold, do not redevelop yet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/>
    <row r="39">
      <c r="B39" s="11" t="inlineStr">
        <is>
          <t>RECOMMENDATION</t>
        </is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3" t="n"/>
    </row>
    <row r="40" ht="15" customHeight="1">
      <c r="B40" s="12" t="inlineStr">
        <is>
          <t>ACQUIRE &amp; HOLD as a covered land play. Pursue the acquirable parcels (Shahidi, Sunrise Plaza, the two office-condo owners, and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the Bayview land); treat Publix as a long-dated, land-value option (not a current seller). The blended in-place income covers the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carry, individual assets deliver value-add / income returns in their own right, and the assemblage banks ~7+ acres of the Galleria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hard corner for Live Local density once coastal hard costs and achievable rents make redevelopment pencil. Do not underwrite the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redevelopment as accretive today — the residual is negative. The return is optionality on the dirt, paid for by the rent.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 ht="15" customHeight="1">
      <c r="B46" s="22" t="inlineStr">
        <is>
          <t>Confidence flags</t>
        </is>
      </c>
      <c r="D46" s="22" t="inlineStr">
        <is>
          <t>✅ Shahidi &amp; Publix = BCPA-verified · ⚠️ Sunrise Plaza, Office, Land = reported (BCPA blocked in build env — verify at bcpa.net) · 🔶 all rents/caps modeled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</sheetData>
  <mergeCells count="59">
    <mergeCell ref="B2:M2"/>
    <mergeCell ref="D37:M37"/>
    <mergeCell ref="B11:M11"/>
    <mergeCell ref="H20:I20"/>
    <mergeCell ref="B42:M42"/>
    <mergeCell ref="K22:M22"/>
    <mergeCell ref="B14:M14"/>
    <mergeCell ref="D17:F17"/>
    <mergeCell ref="B1:M1"/>
    <mergeCell ref="B13:M13"/>
    <mergeCell ref="B44:M44"/>
    <mergeCell ref="H7:J7"/>
    <mergeCell ref="E6:G6"/>
    <mergeCell ref="D29:M29"/>
    <mergeCell ref="D33:M33"/>
    <mergeCell ref="H21:I21"/>
    <mergeCell ref="B10:M10"/>
    <mergeCell ref="D35:M35"/>
    <mergeCell ref="D18:F18"/>
    <mergeCell ref="K23:M23"/>
    <mergeCell ref="B40:M40"/>
    <mergeCell ref="B9:M9"/>
    <mergeCell ref="K17:M17"/>
    <mergeCell ref="E7:G7"/>
    <mergeCell ref="B6:D6"/>
    <mergeCell ref="K7:M7"/>
    <mergeCell ref="H17:I17"/>
    <mergeCell ref="B24:M24"/>
    <mergeCell ref="B5:D5"/>
    <mergeCell ref="K19:M19"/>
    <mergeCell ref="D46:M46"/>
    <mergeCell ref="D23:F23"/>
    <mergeCell ref="K6:M6"/>
    <mergeCell ref="H5:J5"/>
    <mergeCell ref="H19:I19"/>
    <mergeCell ref="K18:M18"/>
    <mergeCell ref="B26:M26"/>
    <mergeCell ref="B41:M41"/>
    <mergeCell ref="H22:I22"/>
    <mergeCell ref="B7:D7"/>
    <mergeCell ref="D20:F20"/>
    <mergeCell ref="D27:M27"/>
    <mergeCell ref="B16:M16"/>
    <mergeCell ref="D19:F19"/>
    <mergeCell ref="D32:M32"/>
    <mergeCell ref="B3:M3"/>
    <mergeCell ref="E5:G5"/>
    <mergeCell ref="K5:M5"/>
    <mergeCell ref="H18:I18"/>
    <mergeCell ref="D22:F22"/>
    <mergeCell ref="B39:M39"/>
    <mergeCell ref="K21:M21"/>
    <mergeCell ref="H23:I23"/>
    <mergeCell ref="K20:M20"/>
    <mergeCell ref="D21:F21"/>
    <mergeCell ref="B43:M43"/>
    <mergeCell ref="B12:M12"/>
    <mergeCell ref="D28:M28"/>
    <mergeCell ref="H6:J6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0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The Assemblage tab prices the block on a highest-and-best-use / covered-land basis (land value + assemblage premium to control every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parcel). This tab prices the SAME block on the income it produces. Income-producing real estate is worth the rent it throws off — which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is less than the land-control price. Returns are computed by consolidating the actual cash flows and running one IRR (not by averaging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asset IRRs, which is mathematically invalid). Debt is sized to the lesser of LTV / DSCR / debt-yield, the way a lender underwrites.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Year</t>
        </is>
      </c>
      <c r="D11" s="27" t="n">
        <v>1</v>
      </c>
      <c r="E11" s="27" t="n">
        <v>2</v>
      </c>
      <c r="F11" s="27" t="n">
        <v>3</v>
      </c>
      <c r="G11" s="27" t="n">
        <v>4</v>
      </c>
      <c r="H11" s="27" t="n">
        <v>5</v>
      </c>
      <c r="I11" s="27" t="n">
        <v>6</v>
      </c>
      <c r="J11" s="27" t="n">
        <v>7</v>
      </c>
      <c r="K11" s="27" t="n">
        <v>8</v>
      </c>
      <c r="L11" s="27" t="n">
        <v>9</v>
      </c>
      <c r="M11" s="27" t="n">
        <v>10</v>
      </c>
    </row>
    <row r="12" ht="15" customHeight="1">
      <c r="B12" s="22" t="inlineStr">
        <is>
          <t>Year ending</t>
        </is>
      </c>
      <c r="D12" s="28" t="inlineStr">
        <is>
          <t>Dec-2027</t>
        </is>
      </c>
      <c r="E12" s="28" t="inlineStr">
        <is>
          <t>Dec-2028</t>
        </is>
      </c>
      <c r="F12" s="28" t="inlineStr">
        <is>
          <t>Dec-2029</t>
        </is>
      </c>
      <c r="G12" s="28" t="inlineStr">
        <is>
          <t>Dec-2030</t>
        </is>
      </c>
      <c r="H12" s="28" t="inlineStr">
        <is>
          <t>Dec-2031</t>
        </is>
      </c>
      <c r="I12" s="28" t="inlineStr">
        <is>
          <t>Dec-2032</t>
        </is>
      </c>
      <c r="J12" s="28" t="inlineStr">
        <is>
          <t>Dec-2033</t>
        </is>
      </c>
      <c r="K12" s="28" t="inlineStr">
        <is>
          <t>Dec-2034</t>
        </is>
      </c>
      <c r="L12" s="28" t="inlineStr">
        <is>
          <t>Dec-2035</t>
        </is>
      </c>
      <c r="M12" s="28" t="inlineStr">
        <is>
          <t>Dec-2036</t>
        </is>
      </c>
    </row>
    <row r="13" ht="15" customHeight="1">
      <c r="B13" s="15" t="inlineStr">
        <is>
          <t>NET OPERATING INCOME by asset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 xml:space="preserve">  Shahidi Retail (Galleria Plaza)</t>
        </is>
      </c>
      <c r="D14" s="23">
        <f>'Shahidi Retail'!D99</f>
        <v/>
      </c>
      <c r="E14" s="17">
        <f>'Shahidi Retail'!E99</f>
        <v/>
      </c>
      <c r="F14" s="17">
        <f>'Shahidi Retail'!F99</f>
        <v/>
      </c>
      <c r="G14" s="17">
        <f>'Shahidi Retail'!G99</f>
        <v/>
      </c>
      <c r="H14" s="17">
        <f>'Shahidi Retail'!H99</f>
        <v/>
      </c>
      <c r="I14" s="17">
        <f>'Shahidi Retail'!I99</f>
        <v/>
      </c>
      <c r="J14" s="17">
        <f>'Shahidi Retail'!J99</f>
        <v/>
      </c>
      <c r="K14" s="17">
        <f>'Shahidi Retail'!K99</f>
        <v/>
      </c>
      <c r="L14" s="17">
        <f>'Shahidi Retail'!L99</f>
        <v/>
      </c>
      <c r="M14" s="17">
        <f>'Shahidi Retail'!M99</f>
        <v/>
      </c>
    </row>
    <row r="15" ht="15" customHeight="1">
      <c r="B15" s="12" t="inlineStr">
        <is>
          <t xml:space="preserve">  Publix + Starbucks</t>
        </is>
      </c>
      <c r="D15" s="23">
        <f>'Publix &amp; Starbucks'!D85</f>
        <v/>
      </c>
      <c r="E15" s="17">
        <f>'Publix &amp; Starbucks'!E85</f>
        <v/>
      </c>
      <c r="F15" s="17">
        <f>'Publix &amp; Starbucks'!F85</f>
        <v/>
      </c>
      <c r="G15" s="17">
        <f>'Publix &amp; Starbucks'!G85</f>
        <v/>
      </c>
      <c r="H15" s="17">
        <f>'Publix &amp; Starbucks'!H85</f>
        <v/>
      </c>
      <c r="I15" s="17">
        <f>'Publix &amp; Starbucks'!I85</f>
        <v/>
      </c>
      <c r="J15" s="17">
        <f>'Publix &amp; Starbucks'!J85</f>
        <v/>
      </c>
      <c r="K15" s="17">
        <f>'Publix &amp; Starbucks'!K85</f>
        <v/>
      </c>
      <c r="L15" s="17">
        <f>'Publix &amp; Starbucks'!L85</f>
        <v/>
      </c>
      <c r="M15" s="17">
        <f>'Publix &amp; Starbucks'!M85</f>
        <v/>
      </c>
    </row>
    <row r="16" ht="15" customHeight="1">
      <c r="B16" s="12" t="inlineStr">
        <is>
          <t xml:space="preserve">  Sunrise Plaza (Kar Luen)</t>
        </is>
      </c>
      <c r="D16" s="23">
        <f>'Sunrise Plaza'!D88</f>
        <v/>
      </c>
      <c r="E16" s="17">
        <f>'Sunrise Plaza'!E88</f>
        <v/>
      </c>
      <c r="F16" s="17">
        <f>'Sunrise Plaza'!F88</f>
        <v/>
      </c>
      <c r="G16" s="17">
        <f>'Sunrise Plaza'!G88</f>
        <v/>
      </c>
      <c r="H16" s="17">
        <f>'Sunrise Plaza'!H88</f>
        <v/>
      </c>
      <c r="I16" s="17">
        <f>'Sunrise Plaza'!I88</f>
        <v/>
      </c>
      <c r="J16" s="17">
        <f>'Sunrise Plaza'!J88</f>
        <v/>
      </c>
      <c r="K16" s="17">
        <f>'Sunrise Plaza'!K88</f>
        <v/>
      </c>
      <c r="L16" s="17">
        <f>'Sunrise Plaza'!L88</f>
        <v/>
      </c>
      <c r="M16" s="17">
        <f>'Sunrise Plaza'!M88</f>
        <v/>
      </c>
    </row>
    <row r="17" ht="15" customHeight="1">
      <c r="B17" s="12" t="inlineStr">
        <is>
          <t xml:space="preserve">  Galleria Corporate Centre (office)</t>
        </is>
      </c>
      <c r="D17" s="23">
        <f>'Office Condo'!D59</f>
        <v/>
      </c>
      <c r="E17" s="17">
        <f>'Office Condo'!E59</f>
        <v/>
      </c>
      <c r="F17" s="17">
        <f>'Office Condo'!F59</f>
        <v/>
      </c>
      <c r="G17" s="17">
        <f>'Office Condo'!G59</f>
        <v/>
      </c>
      <c r="H17" s="17">
        <f>'Office Condo'!H59</f>
        <v/>
      </c>
      <c r="I17" s="17">
        <f>'Office Condo'!I59</f>
        <v/>
      </c>
      <c r="J17" s="17">
        <f>'Office Condo'!J59</f>
        <v/>
      </c>
      <c r="K17" s="17">
        <f>'Office Condo'!K59</f>
        <v/>
      </c>
      <c r="L17" s="17">
        <f>'Office Condo'!L59</f>
        <v/>
      </c>
      <c r="M17" s="17">
        <f>'Office Condo'!M59</f>
        <v/>
      </c>
    </row>
    <row r="18" ht="15" customHeight="1">
      <c r="B18" s="12" t="inlineStr">
        <is>
          <t xml:space="preserve">  1040 Bayview (interim office)</t>
        </is>
      </c>
      <c r="D18" s="23">
        <f>'Land'!D58</f>
        <v/>
      </c>
      <c r="E18" s="17">
        <f>'Land'!E58</f>
        <v/>
      </c>
      <c r="F18" s="17">
        <f>'Land'!F58</f>
        <v/>
      </c>
      <c r="G18" s="17">
        <f>'Land'!G58</f>
        <v/>
      </c>
      <c r="H18" s="17">
        <f>'Land'!H58</f>
        <v/>
      </c>
      <c r="I18" s="17">
        <f>'Land'!I58</f>
        <v/>
      </c>
      <c r="J18" s="17">
        <f>'Land'!J58</f>
        <v/>
      </c>
      <c r="K18" s="17">
        <f>'Land'!K58</f>
        <v/>
      </c>
      <c r="L18" s="17">
        <f>'Land'!L58</f>
        <v/>
      </c>
      <c r="M18" s="17">
        <f>'Land'!M58</f>
        <v/>
      </c>
    </row>
    <row r="19" ht="15" customHeight="1">
      <c r="B19" s="29" t="inlineStr">
        <is>
          <t>Consolidated NOI</t>
        </is>
      </c>
      <c r="D19" s="30">
        <f>SUM(D14:D18)</f>
        <v/>
      </c>
      <c r="E19" s="31">
        <f>SUM(E14:E18)</f>
        <v/>
      </c>
      <c r="F19" s="31">
        <f>SUM(F14:F18)</f>
        <v/>
      </c>
      <c r="G19" s="31">
        <f>SUM(G14:G18)</f>
        <v/>
      </c>
      <c r="H19" s="31">
        <f>SUM(H14:H18)</f>
        <v/>
      </c>
      <c r="I19" s="31">
        <f>SUM(I14:I18)</f>
        <v/>
      </c>
      <c r="J19" s="31">
        <f>SUM(J14:J18)</f>
        <v/>
      </c>
      <c r="K19" s="31">
        <f>SUM(K14:K18)</f>
        <v/>
      </c>
      <c r="L19" s="31">
        <f>SUM(L14:L18)</f>
        <v/>
      </c>
      <c r="M19" s="31">
        <f>SUM(M14:M18)</f>
        <v/>
      </c>
    </row>
    <row r="20" ht="15" customHeight="1">
      <c r="B20" s="12" t="inlineStr">
        <is>
          <t>Less: consolidated capital (reserves + leasing)</t>
        </is>
      </c>
      <c r="D20" s="17">
        <f>-('Shahidi Retail'!D103+'Publix &amp; Starbucks'!D89+'Sunrise Plaza'!D92+'Office Condo'!D60)</f>
        <v/>
      </c>
      <c r="E20" s="17">
        <f>-('Shahidi Retail'!E103+'Publix &amp; Starbucks'!E89+'Sunrise Plaza'!E92+'Office Condo'!E60)</f>
        <v/>
      </c>
      <c r="F20" s="17">
        <f>-('Shahidi Retail'!F103+'Publix &amp; Starbucks'!F89+'Sunrise Plaza'!F92+'Office Condo'!F60)</f>
        <v/>
      </c>
      <c r="G20" s="17">
        <f>-('Shahidi Retail'!G103+'Publix &amp; Starbucks'!G89+'Sunrise Plaza'!G92+'Office Condo'!G60)</f>
        <v/>
      </c>
      <c r="H20" s="17">
        <f>-('Shahidi Retail'!H103+'Publix &amp; Starbucks'!H89+'Sunrise Plaza'!H92+'Office Condo'!H60)</f>
        <v/>
      </c>
      <c r="I20" s="17">
        <f>-('Shahidi Retail'!I103+'Publix &amp; Starbucks'!I89+'Sunrise Plaza'!I92+'Office Condo'!I60)</f>
        <v/>
      </c>
      <c r="J20" s="17">
        <f>-('Shahidi Retail'!J103+'Publix &amp; Starbucks'!J89+'Sunrise Plaza'!J92+'Office Condo'!J60)</f>
        <v/>
      </c>
      <c r="K20" s="17">
        <f>-('Shahidi Retail'!K103+'Publix &amp; Starbucks'!K89+'Sunrise Plaza'!K92+'Office Condo'!K60)</f>
        <v/>
      </c>
      <c r="L20" s="17">
        <f>-('Shahidi Retail'!L103+'Publix &amp; Starbucks'!L89+'Sunrise Plaza'!L92+'Office Condo'!L60)</f>
        <v/>
      </c>
      <c r="M20" s="17">
        <f>-('Shahidi Retail'!M103+'Publix &amp; Starbucks'!M89+'Sunrise Plaza'!M92+'Office Condo'!M60)</f>
        <v/>
      </c>
    </row>
    <row r="21" ht="15" customHeight="1">
      <c r="B21" s="29" t="inlineStr">
        <is>
          <t>Consolidated unlevered operating CF</t>
        </is>
      </c>
      <c r="D21" s="30">
        <f>D19+D20</f>
        <v/>
      </c>
      <c r="E21" s="31">
        <f>E19+E20</f>
        <v/>
      </c>
      <c r="F21" s="31">
        <f>F19+F20</f>
        <v/>
      </c>
      <c r="G21" s="31">
        <f>G19+G20</f>
        <v/>
      </c>
      <c r="H21" s="31">
        <f>H19+H20</f>
        <v/>
      </c>
      <c r="I21" s="31">
        <f>I19+I20</f>
        <v/>
      </c>
      <c r="J21" s="31">
        <f>J19+J20</f>
        <v/>
      </c>
      <c r="K21" s="31">
        <f>K19+K20</f>
        <v/>
      </c>
      <c r="L21" s="31">
        <f>L19+L20</f>
        <v/>
      </c>
      <c r="M21" s="31">
        <f>M19+M20</f>
        <v/>
      </c>
    </row>
    <row r="22" ht="15" customHeight="1">
      <c r="B22" s="12" t="inlineStr">
        <is>
          <t>Consolidated reversion (net sale, exit yr)</t>
        </is>
      </c>
      <c r="D22" s="17">
        <f>'Shahidi Retail'!D107+'Publix &amp; Starbucks'!D93+'Sunrise Plaza'!D96+'Office Condo'!D64+'Land'!D59</f>
        <v/>
      </c>
      <c r="E22" s="17">
        <f>'Shahidi Retail'!E107+'Publix &amp; Starbucks'!E93+'Sunrise Plaza'!E96+'Office Condo'!E64+'Land'!E59</f>
        <v/>
      </c>
      <c r="F22" s="17">
        <f>'Shahidi Retail'!F107+'Publix &amp; Starbucks'!F93+'Sunrise Plaza'!F96+'Office Condo'!F64+'Land'!F59</f>
        <v/>
      </c>
      <c r="G22" s="17">
        <f>'Shahidi Retail'!G107+'Publix &amp; Starbucks'!G93+'Sunrise Plaza'!G96+'Office Condo'!G64+'Land'!G59</f>
        <v/>
      </c>
      <c r="H22" s="17">
        <f>'Shahidi Retail'!H107+'Publix &amp; Starbucks'!H93+'Sunrise Plaza'!H96+'Office Condo'!H64+'Land'!H59</f>
        <v/>
      </c>
      <c r="I22" s="17">
        <f>'Shahidi Retail'!I107+'Publix &amp; Starbucks'!I93+'Sunrise Plaza'!I96+'Office Condo'!I64+'Land'!I59</f>
        <v/>
      </c>
      <c r="J22" s="17">
        <f>'Shahidi Retail'!J107+'Publix &amp; Starbucks'!J93+'Sunrise Plaza'!J96+'Office Condo'!J64+'Land'!J59</f>
        <v/>
      </c>
      <c r="K22" s="17">
        <f>'Shahidi Retail'!K107+'Publix &amp; Starbucks'!K93+'Sunrise Plaza'!K96+'Office Condo'!K64+'Land'!K59</f>
        <v/>
      </c>
      <c r="L22" s="17">
        <f>'Shahidi Retail'!L107+'Publix &amp; Starbucks'!L93+'Sunrise Plaza'!L96+'Office Condo'!L64+'Land'!L59</f>
        <v/>
      </c>
      <c r="M22" s="17">
        <f>'Shahidi Retail'!M107+'Publix &amp; Starbucks'!M93+'Sunrise Plaza'!M96+'Office Condo'!M64+'Land'!M59</f>
        <v/>
      </c>
    </row>
    <row r="23"/>
    <row r="24">
      <c r="B24" s="11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29" t="inlineStr">
        <is>
          <t>Consolidated AS-IS in-place NOI</t>
        </is>
      </c>
      <c r="C25" s="32">
        <f>'Shahidi Retail'!C121+'Publix &amp; Starbucks'!C108+'Sunrise Plaza'!C111+'Office Condo'!C77+'Land'!C47</f>
        <v/>
      </c>
      <c r="D25" s="22" t="inlineStr">
        <is>
          <t>current occupancy, no lease-up (going-in)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29" t="inlineStr">
        <is>
          <t>Consolidated STABILIZED NOI (lease-up complete)</t>
        </is>
      </c>
      <c r="C26" s="32">
        <f>'Shahidi Retail'!C123+'Publix &amp; Starbucks'!C110+'Sunrise Plaza'!C113+'Office Condo'!C79+'Land'!C47</f>
        <v/>
      </c>
      <c r="D26" s="22" t="inlineStr">
        <is>
          <t>post lease-up (Shahidi to 95%, Sunrise to 95%, office to 88%)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Value creation (lease-up NOI gain)</t>
        </is>
      </c>
      <c r="C27" s="33">
        <f>C26-C25</f>
        <v/>
      </c>
    </row>
    <row r="28"/>
    <row r="29">
      <c r="B29" s="11" t="inlineStr">
        <is>
          <t>INCOME-VALUATION ASSUMPTIONS  —  🔵 blue inputs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12" t="inlineStr">
        <is>
          <t>Blended going-in cap (as-is)</t>
        </is>
      </c>
      <c r="C30" s="34" t="n">
        <v>0.065</v>
      </c>
      <c r="D30" s="22" t="inlineStr">
        <is>
          <t>🔶 NOI-weighted retail/grocery/office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Blended stabilized / exit cap</t>
        </is>
      </c>
      <c r="C31" s="34" t="n">
        <v>0.0675</v>
      </c>
      <c r="D31" s="22" t="inlineStr">
        <is>
          <t>🔶 going-in + 25 bps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Target unlevered yield (DCF discount)</t>
        </is>
      </c>
      <c r="C32" s="35" t="n">
        <v>0.08500000000000001</v>
      </c>
      <c r="D32" s="22" t="inlineStr">
        <is>
          <t>🔶 unlevered hurdle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NOI growth (for reversion/sens.)</t>
        </is>
      </c>
      <c r="C33" s="35" t="n">
        <v>0.025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36" t="n">
        <v>5</v>
      </c>
      <c r="D34" s="22" t="inlineStr">
        <is>
          <t>🔶 assets exit together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Cost of sale at exit</t>
        </is>
      </c>
      <c r="C35" s="35" t="n">
        <v>0.02</v>
      </c>
      <c r="D35" s="22" t="inlineStr">
        <is>
          <t>🔶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Closing &amp; acq costs (% price)</t>
        </is>
      </c>
      <c r="C36" s="35" t="n">
        <v>0.02</v>
      </c>
      <c r="D36" s="22" t="inlineStr">
        <is>
          <t>🔶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Max senior LTV</t>
        </is>
      </c>
      <c r="C37" s="35" t="n">
        <v>0.6</v>
      </c>
      <c r="D37" s="22" t="inlineStr">
        <is>
          <t>🔶 constraint 1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Min DSCR (sizing constraint)</t>
        </is>
      </c>
      <c r="C38" s="37" t="n">
        <v>1.3</v>
      </c>
      <c r="D38" s="22" t="inlineStr">
        <is>
          <t>🔶 constraint 2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Min debt yield (sizing constraint)</t>
        </is>
      </c>
      <c r="C39" s="35" t="n">
        <v>0.08500000000000001</v>
      </c>
      <c r="D39" s="22" t="inlineStr">
        <is>
          <t>🔶 constraint 3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Senior rate</t>
        </is>
      </c>
      <c r="C40" s="34" t="n">
        <v>0.065</v>
      </c>
      <c r="D40" s="22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Amortization (yrs)</t>
        </is>
      </c>
      <c r="C41" s="36" t="n">
        <v>30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/>
    <row r="43">
      <c r="B43" s="11" t="inlineStr">
        <is>
          <t>SIZING HELPERS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12" t="inlineStr">
        <is>
          <t>Monthly rate</t>
        </is>
      </c>
      <c r="C44" s="38">
        <f>C40/12</f>
        <v/>
      </c>
    </row>
    <row r="45" ht="15" customHeight="1">
      <c r="B45" s="12" t="inlineStr">
        <is>
          <t>Mortgage constant (annual)</t>
        </is>
      </c>
      <c r="C45" s="38">
        <f>(C44/(1-(1+C44)^(-C41*12)))*12</f>
        <v/>
      </c>
      <c r="D45" s="22" t="inlineStr">
        <is>
          <t>DS ÷ loan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Σ unlevered operating CF, Yr 1–hold</t>
        </is>
      </c>
      <c r="C46" s="39">
        <f>SUM(D21:INDEX(D21:M21,C34))</f>
        <v/>
      </c>
    </row>
    <row r="47" ht="15" customHeight="1">
      <c r="B47" s="12" t="inlineStr">
        <is>
          <t>Exit-year consolidated NOI</t>
        </is>
      </c>
      <c r="C47" s="39">
        <f>INDEX(D19:M19,C34)</f>
        <v/>
      </c>
    </row>
    <row r="48" ht="15" customHeight="1">
      <c r="B48" s="12" t="inlineStr">
        <is>
          <t>Base-case consolidated reversion</t>
        </is>
      </c>
      <c r="C48" s="39">
        <f>INDEX(D22:M22,C34)</f>
        <v/>
      </c>
      <c r="D48" s="22" t="inlineStr">
        <is>
          <t>sum of asset reversions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/>
    <row r="50">
      <c r="B50" s="11" t="inlineStr">
        <is>
          <t>PURCHASE PRICE ON THE BASIS OF ASSEMBLAGE CASH FLOWS</t>
        </is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3" t="n"/>
    </row>
    <row r="51" ht="15" customHeight="1">
      <c r="B51" s="12" t="inlineStr">
        <is>
          <t>① As-is value  (as-is NOI ÷ going-in cap)</t>
        </is>
      </c>
      <c r="C51" s="39">
        <f>C25/C30</f>
        <v/>
      </c>
      <c r="D51" s="22" t="inlineStr">
        <is>
          <t>going-in income value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② Stabilized value  (stab NOI ÷ exit cap)</t>
        </is>
      </c>
      <c r="C52" s="39">
        <f>C26/C31</f>
        <v/>
      </c>
      <c r="D52" s="22" t="inlineStr">
        <is>
          <t>post lease-up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Valuation CF (op CF ≤ hold + reversion)</t>
        </is>
      </c>
      <c r="D53" s="39">
        <f>IF(1&lt;=C34,D21,0)+IF(1=C34,D22,0)</f>
        <v/>
      </c>
      <c r="E53" s="33">
        <f>IF(2&lt;=C34,E21,0)+IF(2=C34,E22,0)</f>
        <v/>
      </c>
      <c r="F53" s="33">
        <f>IF(3&lt;=C34,F21,0)+IF(3=C34,F22,0)</f>
        <v/>
      </c>
      <c r="G53" s="33">
        <f>IF(4&lt;=C34,G21,0)+IF(4=C34,G22,0)</f>
        <v/>
      </c>
      <c r="H53" s="33">
        <f>IF(5&lt;=C34,H21,0)+IF(5=C34,H22,0)</f>
        <v/>
      </c>
      <c r="I53" s="33">
        <f>IF(6&lt;=C34,I21,0)+IF(6=C34,I22,0)</f>
        <v/>
      </c>
      <c r="J53" s="33">
        <f>IF(7&lt;=C34,J21,0)+IF(7=C34,J22,0)</f>
        <v/>
      </c>
      <c r="K53" s="33">
        <f>IF(8&lt;=C34,K21,0)+IF(8=C34,K22,0)</f>
        <v/>
      </c>
      <c r="L53" s="33">
        <f>IF(9&lt;=C34,L21,0)+IF(9=C34,L22,0)</f>
        <v/>
      </c>
      <c r="M53" s="33">
        <f>IF(10&lt;=C34,M21,0)+IF(10=C34,M22,0)</f>
        <v/>
      </c>
    </row>
    <row r="54" ht="15" customHeight="1">
      <c r="B54" s="12" t="inlineStr">
        <is>
          <t>③ DCF value  (PV @ target unlevered yield)</t>
        </is>
      </c>
      <c r="C54" s="39">
        <f>NPV(C32,D53:M53)</f>
        <v/>
      </c>
      <c r="D54" s="22" t="inlineStr">
        <is>
          <t>price where unlevered IRR = target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40" t="inlineStr">
        <is>
          <t>CONCLUDED INCOME-BASED PURCHASE PRICE</t>
        </is>
      </c>
      <c r="C55" s="39">
        <f>C51</f>
        <v/>
      </c>
      <c r="D55" s="22" t="inlineStr">
        <is>
          <t>🔶 as-is direct cap; ②/③ cross-check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SENIOR DEBT SIZING  —  lesser of LTV / DSCR / debt-yield  (sized on as-is NOI)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2" t="inlineStr">
        <is>
          <t>Loan by max LTV</t>
        </is>
      </c>
      <c r="C58" s="39">
        <f>C55*C37</f>
        <v/>
      </c>
    </row>
    <row r="59" ht="15" customHeight="1">
      <c r="B59" s="12" t="inlineStr">
        <is>
          <t>Loan by min DSCR</t>
        </is>
      </c>
      <c r="C59" s="39">
        <f>C25/(C38*C45)</f>
        <v/>
      </c>
    </row>
    <row r="60" ht="15" customHeight="1">
      <c r="B60" s="12" t="inlineStr">
        <is>
          <t>Loan by min debt yield</t>
        </is>
      </c>
      <c r="C60" s="39">
        <f>C25/C39</f>
        <v/>
      </c>
    </row>
    <row r="61" ht="15" customHeight="1">
      <c r="B61" s="12" t="inlineStr">
        <is>
          <t>SIZED SENIOR LOAN (binding constraint)</t>
        </is>
      </c>
      <c r="C61" s="39">
        <f>MIN(C58,C59,C60)</f>
        <v/>
      </c>
      <c r="D61" s="22">
        <f>IF(C61=C58,"LTV-constrained",IF(C61=C59,"DSCR-constrained","Debt-yield-constrained"))</f>
        <v/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Annual debt service</t>
        </is>
      </c>
      <c r="C62" s="39">
        <f>C61*C45</f>
        <v/>
      </c>
    </row>
    <row r="63" ht="15" customHeight="1">
      <c r="B63" s="12" t="inlineStr">
        <is>
          <t>Loan balance at exit</t>
        </is>
      </c>
      <c r="C63" s="39">
        <f>C61*(1+C44)^(12*C34)-(C62/12)*((1+C44)^(12*C34)-1)/C44</f>
        <v/>
      </c>
    </row>
    <row r="64" ht="15" customHeight="1">
      <c r="B64" s="12" t="inlineStr">
        <is>
          <t>Equity required (at income price)</t>
        </is>
      </c>
      <c r="C64" s="39">
        <f>C55*(1+C36)-C61</f>
        <v/>
      </c>
    </row>
    <row r="65"/>
    <row r="66">
      <c r="B66" s="11" t="inlineStr">
        <is>
          <t>PORTFOLIO RETURNS  —  consolidated cash-flow IRR at income price vs. covered-land price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15" t="inlineStr">
        <is>
          <t>Scenario</t>
        </is>
      </c>
      <c r="C67" s="16" t="inlineStr">
        <is>
          <t>① Income price</t>
        </is>
      </c>
      <c r="E67" s="16" t="inlineStr">
        <is>
          <t>② Covered-land (HBU)</t>
        </is>
      </c>
      <c r="F67" s="14" t="n"/>
    </row>
    <row r="68" ht="15" customHeight="1">
      <c r="B68" s="12" t="inlineStr">
        <is>
          <t>Purchase price</t>
        </is>
      </c>
      <c r="C68" s="39">
        <f>C55</f>
        <v/>
      </c>
      <c r="E68" s="39">
        <f>'Assemblage'!C29</f>
        <v/>
      </c>
      <c r="F68" s="14" t="n"/>
    </row>
    <row r="69" ht="15" customHeight="1">
      <c r="B69" s="12" t="inlineStr">
        <is>
          <t>Sized senior loan</t>
        </is>
      </c>
      <c r="C69" s="39">
        <f>C61</f>
        <v/>
      </c>
      <c r="E69" s="39">
        <f>MIN('Assemblage'!C29*C37,C59,C60)</f>
        <v/>
      </c>
      <c r="F69" s="14" t="n"/>
    </row>
    <row r="70" ht="15" customHeight="1">
      <c r="B70" s="12" t="inlineStr">
        <is>
          <t>Equity required</t>
        </is>
      </c>
      <c r="C70" s="39">
        <f>C55*(1+C36)-C69</f>
        <v/>
      </c>
      <c r="E70" s="39">
        <f>'Assemblage'!C29*(1+C36)-E69</f>
        <v/>
      </c>
      <c r="F70" s="14" t="n"/>
    </row>
    <row r="71" ht="15" customHeight="1">
      <c r="B71" s="12" t="inlineStr">
        <is>
          <t>Going-in cap (as-is NOI ÷ price)</t>
        </is>
      </c>
      <c r="C71" s="38">
        <f>C25/C55</f>
        <v/>
      </c>
      <c r="E71" s="38">
        <f>C25/'Assemblage'!C29</f>
        <v/>
      </c>
      <c r="F71" s="14" t="n"/>
    </row>
    <row r="72" ht="15" customHeight="1">
      <c r="B72" s="22" t="inlineStr">
        <is>
          <t xml:space="preserve">  Unlevered CF ① (acq + valuation CF)</t>
        </is>
      </c>
      <c r="C72" s="33">
        <f>-C55*(1+C36)</f>
        <v/>
      </c>
      <c r="D72" s="33">
        <f>D53</f>
        <v/>
      </c>
      <c r="E72" s="33">
        <f>E53</f>
        <v/>
      </c>
      <c r="F72" s="33">
        <f>F53</f>
        <v/>
      </c>
      <c r="G72" s="33">
        <f>G53</f>
        <v/>
      </c>
      <c r="H72" s="33">
        <f>H53</f>
        <v/>
      </c>
      <c r="I72" s="33">
        <f>I53</f>
        <v/>
      </c>
      <c r="J72" s="33">
        <f>J53</f>
        <v/>
      </c>
      <c r="K72" s="33">
        <f>K53</f>
        <v/>
      </c>
      <c r="L72" s="33">
        <f>L53</f>
        <v/>
      </c>
      <c r="M72" s="33">
        <f>M53</f>
        <v/>
      </c>
    </row>
    <row r="73" ht="15" customHeight="1">
      <c r="B73" s="22" t="inlineStr">
        <is>
          <t xml:space="preserve">  Unlevered CF ② (acq + valuation CF)</t>
        </is>
      </c>
      <c r="C73" s="33">
        <f>-'Assemblage'!C29*(1+C36)</f>
        <v/>
      </c>
      <c r="D73" s="33">
        <f>D53</f>
        <v/>
      </c>
      <c r="E73" s="33">
        <f>E53</f>
        <v/>
      </c>
      <c r="F73" s="33">
        <f>F53</f>
        <v/>
      </c>
      <c r="G73" s="33">
        <f>G53</f>
        <v/>
      </c>
      <c r="H73" s="33">
        <f>H53</f>
        <v/>
      </c>
      <c r="I73" s="33">
        <f>I53</f>
        <v/>
      </c>
      <c r="J73" s="33">
        <f>J53</f>
        <v/>
      </c>
      <c r="K73" s="33">
        <f>K53</f>
        <v/>
      </c>
      <c r="L73" s="33">
        <f>L53</f>
        <v/>
      </c>
      <c r="M73" s="33">
        <f>M53</f>
        <v/>
      </c>
    </row>
    <row r="74" ht="15" customHeight="1">
      <c r="B74" s="22" t="inlineStr">
        <is>
          <t xml:space="preserve">  Levered CF ① (equity)</t>
        </is>
      </c>
      <c r="C74" s="33">
        <f>-C70</f>
        <v/>
      </c>
      <c r="D74" s="33">
        <f>IF(1&lt;=C34,D21-C69*C45,0)+IF(1=C34,D22-(C69*(1+C44)^(12*C34)-(C69*C45/12)*((1+C44)^(12*C34)-1)/C44),0)</f>
        <v/>
      </c>
      <c r="E74" s="33">
        <f>IF(2&lt;=C34,E21-C69*C45,0)+IF(2=C34,E22-(C69*(1+C44)^(12*C34)-(C69*C45/12)*((1+C44)^(12*C34)-1)/C44),0)</f>
        <v/>
      </c>
      <c r="F74" s="33">
        <f>IF(3&lt;=C34,F21-C69*C45,0)+IF(3=C34,F22-(C69*(1+C44)^(12*C34)-(C69*C45/12)*((1+C44)^(12*C34)-1)/C44),0)</f>
        <v/>
      </c>
      <c r="G74" s="33">
        <f>IF(4&lt;=C34,G21-C69*C45,0)+IF(4=C34,G22-(C69*(1+C44)^(12*C34)-(C69*C45/12)*((1+C44)^(12*C34)-1)/C44),0)</f>
        <v/>
      </c>
      <c r="H74" s="33">
        <f>IF(5&lt;=C34,H21-C69*C45,0)+IF(5=C34,H22-(C69*(1+C44)^(12*C34)-(C69*C45/12)*((1+C44)^(12*C34)-1)/C44),0)</f>
        <v/>
      </c>
      <c r="I74" s="33">
        <f>IF(6&lt;=C34,I21-C69*C45,0)+IF(6=C34,I22-(C69*(1+C44)^(12*C34)-(C69*C45/12)*((1+C44)^(12*C34)-1)/C44),0)</f>
        <v/>
      </c>
      <c r="J74" s="33">
        <f>IF(7&lt;=C34,J21-C69*C45,0)+IF(7=C34,J22-(C69*(1+C44)^(12*C34)-(C69*C45/12)*((1+C44)^(12*C34)-1)/C44),0)</f>
        <v/>
      </c>
      <c r="K74" s="33">
        <f>IF(8&lt;=C34,K21-C69*C45,0)+IF(8=C34,K22-(C69*(1+C44)^(12*C34)-(C69*C45/12)*((1+C44)^(12*C34)-1)/C44),0)</f>
        <v/>
      </c>
      <c r="L74" s="33">
        <f>IF(9&lt;=C34,L21-C69*C45,0)+IF(9=C34,L22-(C69*(1+C44)^(12*C34)-(C69*C45/12)*((1+C44)^(12*C34)-1)/C44),0)</f>
        <v/>
      </c>
      <c r="M74" s="33">
        <f>IF(10&lt;=C34,M21-C69*C45,0)+IF(10=C34,M22-(C69*(1+C44)^(12*C34)-(C69*C45/12)*((1+C44)^(12*C34)-1)/C44),0)</f>
        <v/>
      </c>
    </row>
    <row r="75" ht="15" customHeight="1">
      <c r="B75" s="22" t="inlineStr">
        <is>
          <t xml:space="preserve">  Levered CF ② (equity)</t>
        </is>
      </c>
      <c r="C75" s="33">
        <f>-E70</f>
        <v/>
      </c>
      <c r="D75" s="33">
        <f>IF(1&lt;=C34,D21-E69*C45,0)+IF(1=C34,D22-(E69*(1+C44)^(12*C34)-(E69*C45/12)*((1+C44)^(12*C34)-1)/C44),0)</f>
        <v/>
      </c>
      <c r="E75" s="33">
        <f>IF(2&lt;=C34,E21-E69*C45,0)+IF(2=C34,E22-(E69*(1+C44)^(12*C34)-(E69*C45/12)*((1+C44)^(12*C34)-1)/C44),0)</f>
        <v/>
      </c>
      <c r="F75" s="33">
        <f>IF(3&lt;=C34,F21-E69*C45,0)+IF(3=C34,F22-(E69*(1+C44)^(12*C34)-(E69*C45/12)*((1+C44)^(12*C34)-1)/C44),0)</f>
        <v/>
      </c>
      <c r="G75" s="33">
        <f>IF(4&lt;=C34,G21-E69*C45,0)+IF(4=C34,G22-(E69*(1+C44)^(12*C34)-(E69*C45/12)*((1+C44)^(12*C34)-1)/C44),0)</f>
        <v/>
      </c>
      <c r="H75" s="33">
        <f>IF(5&lt;=C34,H21-E69*C45,0)+IF(5=C34,H22-(E69*(1+C44)^(12*C34)-(E69*C45/12)*((1+C44)^(12*C34)-1)/C44),0)</f>
        <v/>
      </c>
      <c r="I75" s="33">
        <f>IF(6&lt;=C34,I21-E69*C45,0)+IF(6=C34,I22-(E69*(1+C44)^(12*C34)-(E69*C45/12)*((1+C44)^(12*C34)-1)/C44),0)</f>
        <v/>
      </c>
      <c r="J75" s="33">
        <f>IF(7&lt;=C34,J21-E69*C45,0)+IF(7=C34,J22-(E69*(1+C44)^(12*C34)-(E69*C45/12)*((1+C44)^(12*C34)-1)/C44),0)</f>
        <v/>
      </c>
      <c r="K75" s="33">
        <f>IF(8&lt;=C34,K21-E69*C45,0)+IF(8=C34,K22-(E69*(1+C44)^(12*C34)-(E69*C45/12)*((1+C44)^(12*C34)-1)/C44),0)</f>
        <v/>
      </c>
      <c r="L75" s="33">
        <f>IF(9&lt;=C34,L21-E69*C45,0)+IF(9=C34,L22-(E69*(1+C44)^(12*C34)-(E69*C45/12)*((1+C44)^(12*C34)-1)/C44),0)</f>
        <v/>
      </c>
      <c r="M75" s="33">
        <f>IF(10&lt;=C34,M21-E69*C45,0)+IF(10=C34,M22-(E69*(1+C44)^(12*C34)-(E69*C45/12)*((1+C44)^(12*C34)-1)/C44),0)</f>
        <v/>
      </c>
    </row>
    <row r="76" ht="15" customHeight="1">
      <c r="B76" s="12" t="inlineStr">
        <is>
          <t>Unlevered IRR</t>
        </is>
      </c>
      <c r="C76" s="41">
        <f>IRR(C72:M72)</f>
        <v/>
      </c>
      <c r="E76" s="41">
        <f>IRR(C73:M73)</f>
        <v/>
      </c>
      <c r="F76" s="14" t="n"/>
    </row>
    <row r="77" ht="15" customHeight="1">
      <c r="B77" s="12" t="inlineStr">
        <is>
          <t>Unlevered equity multiple</t>
        </is>
      </c>
      <c r="C77" s="42">
        <f>SUM(D72:M72)/-C72</f>
        <v/>
      </c>
      <c r="E77" s="42">
        <f>SUM(D73:M73)/-C73</f>
        <v/>
      </c>
      <c r="F77" s="14" t="n"/>
    </row>
    <row r="78" ht="15" customHeight="1">
      <c r="B78" s="12" t="inlineStr">
        <is>
          <t>Levered IRR</t>
        </is>
      </c>
      <c r="C78" s="41">
        <f>IRR(C74:M74)</f>
        <v/>
      </c>
      <c r="E78" s="41">
        <f>IRR(C75:M75)</f>
        <v/>
      </c>
      <c r="F78" s="14" t="n"/>
    </row>
    <row r="79" ht="15" customHeight="1">
      <c r="B79" s="12" t="inlineStr">
        <is>
          <t>Levered equity multiple</t>
        </is>
      </c>
      <c r="C79" s="42">
        <f>SUM(D74:M74)/C70</f>
        <v/>
      </c>
      <c r="E79" s="42">
        <f>SUM(D75:M75)/E70</f>
        <v/>
      </c>
      <c r="F79" s="14" t="n"/>
    </row>
    <row r="80" ht="15" customHeight="1">
      <c r="B80" s="12" t="inlineStr">
        <is>
          <t>Year-1 DSCR</t>
        </is>
      </c>
      <c r="C80" s="42">
        <f>C25/(C69*C45)</f>
        <v/>
      </c>
      <c r="E80" s="42">
        <f>C25/(E69*C45)</f>
        <v/>
      </c>
      <c r="F80" s="14" t="n"/>
    </row>
    <row r="81"/>
    <row r="82">
      <c r="B82" s="11" t="inlineStr">
        <is>
          <t>COVERED-LAND JUSTIFICATION  —  land appreciation required to make the HBU price work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2" t="inlineStr">
        <is>
          <t>Premium paid over income value</t>
        </is>
      </c>
      <c r="C83" s="39">
        <f>'Assemblage'!C29-C55</f>
        <v/>
      </c>
      <c r="D83" s="22" t="inlineStr">
        <is>
          <t>the dirt / optionality cost</t>
        </is>
      </c>
      <c r="E83" s="13" t="n"/>
      <c r="F83" s="13" t="n"/>
      <c r="G83" s="13" t="n"/>
      <c r="H83" s="13" t="n"/>
      <c r="I83" s="13" t="n"/>
      <c r="J83" s="13" t="n"/>
      <c r="K83" s="13" t="n"/>
      <c r="L83" s="13" t="n"/>
      <c r="M83" s="14" t="n"/>
    </row>
    <row r="84" ht="15" customHeight="1">
      <c r="B84" s="12" t="inlineStr">
        <is>
          <t>Land CAGR over hold to recover the premium</t>
        </is>
      </c>
      <c r="C84" s="41">
        <f>((C55+C83)/C55)^(1/C34)-1</f>
        <v/>
      </c>
      <c r="D84" s="22" t="inlineStr">
        <is>
          <t>annual land-value growth needed just to break even on the premium at exit</t>
        </is>
      </c>
      <c r="E84" s="13" t="n"/>
      <c r="F84" s="13" t="n"/>
      <c r="G84" s="13" t="n"/>
      <c r="H84" s="13" t="n"/>
      <c r="I84" s="13" t="n"/>
      <c r="J84" s="13" t="n"/>
      <c r="K84" s="13" t="n"/>
      <c r="L84" s="13" t="n"/>
      <c r="M84" s="14" t="n"/>
    </row>
    <row r="85" ht="27" customHeight="1">
      <c r="B85" s="43" t="inlineStr">
        <is>
          <t>Read</t>
        </is>
      </c>
      <c r="D85" s="43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85" s="13" t="n"/>
      <c r="F85" s="13" t="n"/>
      <c r="G85" s="13" t="n"/>
      <c r="H85" s="13" t="n"/>
      <c r="I85" s="13" t="n"/>
      <c r="J85" s="13" t="n"/>
      <c r="K85" s="13" t="n"/>
      <c r="L85" s="13" t="n"/>
      <c r="M85" s="14" t="n"/>
    </row>
    <row r="86"/>
    <row r="87">
      <c r="B87" s="11" t="inlineStr">
        <is>
          <t>VALUATION BRIDGE  —  income basis vs. highest-and-best-use (covered land)</t>
        </is>
      </c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3" t="n"/>
    </row>
    <row r="88" ht="15" customHeight="1">
      <c r="B88" s="40" t="inlineStr">
        <is>
          <t>Income-based purchase price (this tab)</t>
        </is>
      </c>
      <c r="C88" s="39">
        <f>C55</f>
        <v/>
      </c>
      <c r="D88" s="22" t="inlineStr">
        <is>
          <t>what the combined cash flows support</t>
        </is>
      </c>
      <c r="E88" s="13" t="n"/>
      <c r="F88" s="13" t="n"/>
      <c r="G88" s="13" t="n"/>
      <c r="H88" s="13" t="n"/>
      <c r="I88" s="13" t="n"/>
      <c r="J88" s="13" t="n"/>
      <c r="K88" s="13" t="n"/>
      <c r="L88" s="13" t="n"/>
      <c r="M88" s="14" t="n"/>
    </row>
    <row r="89" ht="15" customHeight="1">
      <c r="B89" s="40" t="inlineStr">
        <is>
          <t>HBU covered-land acquisition (Assemblage tab)</t>
        </is>
      </c>
      <c r="C89" s="23">
        <f>'Assemblage'!C29</f>
        <v/>
      </c>
      <c r="D89" s="22" t="inlineStr">
        <is>
          <t>land value + 20% assemblage premium to control</t>
        </is>
      </c>
      <c r="E89" s="13" t="n"/>
      <c r="F89" s="13" t="n"/>
      <c r="G89" s="13" t="n"/>
      <c r="H89" s="13" t="n"/>
      <c r="I89" s="13" t="n"/>
      <c r="J89" s="13" t="n"/>
      <c r="K89" s="13" t="n"/>
      <c r="L89" s="13" t="n"/>
      <c r="M89" s="14" t="n"/>
    </row>
    <row r="90" ht="29" customHeight="1">
      <c r="B90" s="44" t="inlineStr">
        <is>
          <t>PREMIUM OVER INCOME VALUE (dirt + optionality)</t>
        </is>
      </c>
      <c r="C90" s="45">
        <f>C89-C88</f>
        <v/>
      </c>
    </row>
    <row r="91" ht="15" customHeight="1">
      <c r="B91" s="12" t="inlineStr">
        <is>
          <t>Premium as % of income value</t>
        </is>
      </c>
      <c r="C91" s="41">
        <f>C90/C88</f>
        <v/>
      </c>
    </row>
    <row r="92"/>
    <row r="93">
      <c r="B93" s="11" t="inlineStr">
        <is>
          <t>SENSITIVITY ①  —  income value  ($M)  ·  going-in cap (rows) × as-is NOI (cols)</t>
        </is>
      </c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3" t="n"/>
    </row>
    <row r="94" ht="15" customHeight="1">
      <c r="B94" s="16" t="inlineStr">
        <is>
          <t>Cap  ╲  NOI</t>
        </is>
      </c>
      <c r="D94" s="46" t="n">
        <v>0.9</v>
      </c>
      <c r="E94" s="46" t="n">
        <v>0.95</v>
      </c>
      <c r="F94" s="46" t="n">
        <v>1</v>
      </c>
      <c r="G94" s="46" t="n">
        <v>1.05</v>
      </c>
      <c r="H94" s="46" t="n">
        <v>1.1</v>
      </c>
    </row>
    <row r="95">
      <c r="B95" s="47" t="n">
        <v>0.06</v>
      </c>
      <c r="D95" s="48">
        <f>C25*D94/B95/1000000</f>
        <v/>
      </c>
      <c r="E95" s="48">
        <f>C25*E94/B95/1000000</f>
        <v/>
      </c>
      <c r="F95" s="48">
        <f>C25*F94/B95/1000000</f>
        <v/>
      </c>
      <c r="G95" s="48">
        <f>C25*G94/B95/1000000</f>
        <v/>
      </c>
      <c r="H95" s="48">
        <f>C25*H94/B95/1000000</f>
        <v/>
      </c>
    </row>
    <row r="96">
      <c r="B96" s="47" t="n">
        <v>0.0625</v>
      </c>
      <c r="D96" s="48">
        <f>C25*D94/B96/1000000</f>
        <v/>
      </c>
      <c r="E96" s="48">
        <f>C25*E94/B96/1000000</f>
        <v/>
      </c>
      <c r="F96" s="48">
        <f>C25*F94/B96/1000000</f>
        <v/>
      </c>
      <c r="G96" s="48">
        <f>C25*G94/B96/1000000</f>
        <v/>
      </c>
      <c r="H96" s="48">
        <f>C25*H94/B96/1000000</f>
        <v/>
      </c>
    </row>
    <row r="97">
      <c r="B97" s="47" t="n">
        <v>0.065</v>
      </c>
      <c r="D97" s="48">
        <f>C25*D94/B97/1000000</f>
        <v/>
      </c>
      <c r="E97" s="48">
        <f>C25*E94/B97/1000000</f>
        <v/>
      </c>
      <c r="F97" s="48">
        <f>C25*F94/B97/1000000</f>
        <v/>
      </c>
      <c r="G97" s="48">
        <f>C25*G94/B97/1000000</f>
        <v/>
      </c>
      <c r="H97" s="48">
        <f>C25*H94/B97/1000000</f>
        <v/>
      </c>
    </row>
    <row r="98">
      <c r="B98" s="47" t="n">
        <v>0.0675</v>
      </c>
      <c r="D98" s="48">
        <f>C25*D94/B98/1000000</f>
        <v/>
      </c>
      <c r="E98" s="48">
        <f>C25*E94/B98/1000000</f>
        <v/>
      </c>
      <c r="F98" s="48">
        <f>C25*F94/B98/1000000</f>
        <v/>
      </c>
      <c r="G98" s="48">
        <f>C25*G94/B98/1000000</f>
        <v/>
      </c>
      <c r="H98" s="48">
        <f>C25*H94/B98/1000000</f>
        <v/>
      </c>
    </row>
    <row r="99">
      <c r="B99" s="47" t="n">
        <v>0.07000000000000001</v>
      </c>
      <c r="D99" s="48">
        <f>C25*D94/B99/1000000</f>
        <v/>
      </c>
      <c r="E99" s="48">
        <f>C25*E94/B99/1000000</f>
        <v/>
      </c>
      <c r="F99" s="48">
        <f>C25*F94/B99/1000000</f>
        <v/>
      </c>
      <c r="G99" s="48">
        <f>C25*G94/B99/1000000</f>
        <v/>
      </c>
      <c r="H99" s="48">
        <f>C25*H94/B99/1000000</f>
        <v/>
      </c>
    </row>
    <row r="100"/>
    <row r="101">
      <c r="B101" s="11" t="inlineStr">
        <is>
          <t>SENSITIVITY ②  —  levered equity multiple  ·  purchase price (rows) × exit cap (cols)</t>
        </is>
      </c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3" t="n"/>
    </row>
    <row r="102" ht="15" customHeight="1">
      <c r="B102" s="16" t="inlineStr">
        <is>
          <t>Price ╲ exit cap</t>
        </is>
      </c>
      <c r="D102" s="47" t="n">
        <v>0.06</v>
      </c>
      <c r="E102" s="47" t="n">
        <v>0.065</v>
      </c>
      <c r="F102" s="47" t="n">
        <v>0.07000000000000001</v>
      </c>
      <c r="G102" s="47" t="n">
        <v>0.075</v>
      </c>
      <c r="H102" s="47" t="n">
        <v>0.08</v>
      </c>
    </row>
    <row r="103">
      <c r="B103" s="49" t="n">
        <v>65000000</v>
      </c>
      <c r="D103" s="50">
        <f>(C46-C34*(MIN(B103*C37,C59,C60)*C45)+(C47*(1+C33)/D102*(1-C35))-(MIN(B103*C37,C59,C60)*(1+C44)^(12*C34)-((MIN(B103*C37,C59,C60)*C45)/12)*((1+C44)^(12*C34)-1)/C44))/(B103*(1+C36)-MIN(B103*C37,C59,C60))</f>
        <v/>
      </c>
      <c r="E103" s="50">
        <f>(C46-C34*(MIN(B103*C37,C59,C60)*C45)+(C47*(1+C33)/E102*(1-C35))-(MIN(B103*C37,C59,C60)*(1+C44)^(12*C34)-((MIN(B103*C37,C59,C60)*C45)/12)*((1+C44)^(12*C34)-1)/C44))/(B103*(1+C36)-MIN(B103*C37,C59,C60))</f>
        <v/>
      </c>
      <c r="F103" s="50">
        <f>(C46-C34*(MIN(B103*C37,C59,C60)*C45)+(C47*(1+C33)/F102*(1-C35))-(MIN(B103*C37,C59,C60)*(1+C44)^(12*C34)-((MIN(B103*C37,C59,C60)*C45)/12)*((1+C44)^(12*C34)-1)/C44))/(B103*(1+C36)-MIN(B103*C37,C59,C60))</f>
        <v/>
      </c>
      <c r="G103" s="50">
        <f>(C46-C34*(MIN(B103*C37,C59,C60)*C45)+(C47*(1+C33)/G102*(1-C35))-(MIN(B103*C37,C59,C60)*(1+C44)^(12*C34)-((MIN(B103*C37,C59,C60)*C45)/12)*((1+C44)^(12*C34)-1)/C44))/(B103*(1+C36)-MIN(B103*C37,C59,C60))</f>
        <v/>
      </c>
      <c r="H103" s="50">
        <f>(C46-C34*(MIN(B103*C37,C59,C60)*C45)+(C47*(1+C33)/H102*(1-C35))-(MIN(B103*C37,C59,C60)*(1+C44)^(12*C34)-((MIN(B103*C37,C59,C60)*C45)/12)*((1+C44)^(12*C34)-1)/C44))/(B103*(1+C36)-MIN(B103*C37,C59,C60))</f>
        <v/>
      </c>
    </row>
    <row r="104">
      <c r="B104" s="49" t="n">
        <v>75000000</v>
      </c>
      <c r="D104" s="50">
        <f>(C46-C34*(MIN(B104*C37,C59,C60)*C45)+(C47*(1+C33)/D102*(1-C35))-(MIN(B104*C37,C59,C60)*(1+C44)^(12*C34)-((MIN(B104*C37,C59,C60)*C45)/12)*((1+C44)^(12*C34)-1)/C44))/(B104*(1+C36)-MIN(B104*C37,C59,C60))</f>
        <v/>
      </c>
      <c r="E104" s="50">
        <f>(C46-C34*(MIN(B104*C37,C59,C60)*C45)+(C47*(1+C33)/E102*(1-C35))-(MIN(B104*C37,C59,C60)*(1+C44)^(12*C34)-((MIN(B104*C37,C59,C60)*C45)/12)*((1+C44)^(12*C34)-1)/C44))/(B104*(1+C36)-MIN(B104*C37,C59,C60))</f>
        <v/>
      </c>
      <c r="F104" s="50">
        <f>(C46-C34*(MIN(B104*C37,C59,C60)*C45)+(C47*(1+C33)/F102*(1-C35))-(MIN(B104*C37,C59,C60)*(1+C44)^(12*C34)-((MIN(B104*C37,C59,C60)*C45)/12)*((1+C44)^(12*C34)-1)/C44))/(B104*(1+C36)-MIN(B104*C37,C59,C60))</f>
        <v/>
      </c>
      <c r="G104" s="50">
        <f>(C46-C34*(MIN(B104*C37,C59,C60)*C45)+(C47*(1+C33)/G102*(1-C35))-(MIN(B104*C37,C59,C60)*(1+C44)^(12*C34)-((MIN(B104*C37,C59,C60)*C45)/12)*((1+C44)^(12*C34)-1)/C44))/(B104*(1+C36)-MIN(B104*C37,C59,C60))</f>
        <v/>
      </c>
      <c r="H104" s="50">
        <f>(C46-C34*(MIN(B104*C37,C59,C60)*C45)+(C47*(1+C33)/H102*(1-C35))-(MIN(B104*C37,C59,C60)*(1+C44)^(12*C34)-((MIN(B104*C37,C59,C60)*C45)/12)*((1+C44)^(12*C34)-1)/C44))/(B104*(1+C36)-MIN(B104*C37,C59,C60))</f>
        <v/>
      </c>
    </row>
    <row r="105">
      <c r="B105" s="49" t="n">
        <v>85000000</v>
      </c>
      <c r="D105" s="50">
        <f>(C46-C34*(MIN(B105*C37,C59,C60)*C45)+(C47*(1+C33)/D102*(1-C35))-(MIN(B105*C37,C59,C60)*(1+C44)^(12*C34)-((MIN(B105*C37,C59,C60)*C45)/12)*((1+C44)^(12*C34)-1)/C44))/(B105*(1+C36)-MIN(B105*C37,C59,C60))</f>
        <v/>
      </c>
      <c r="E105" s="50">
        <f>(C46-C34*(MIN(B105*C37,C59,C60)*C45)+(C47*(1+C33)/E102*(1-C35))-(MIN(B105*C37,C59,C60)*(1+C44)^(12*C34)-((MIN(B105*C37,C59,C60)*C45)/12)*((1+C44)^(12*C34)-1)/C44))/(B105*(1+C36)-MIN(B105*C37,C59,C60))</f>
        <v/>
      </c>
      <c r="F105" s="50">
        <f>(C46-C34*(MIN(B105*C37,C59,C60)*C45)+(C47*(1+C33)/F102*(1-C35))-(MIN(B105*C37,C59,C60)*(1+C44)^(12*C34)-((MIN(B105*C37,C59,C60)*C45)/12)*((1+C44)^(12*C34)-1)/C44))/(B105*(1+C36)-MIN(B105*C37,C59,C60))</f>
        <v/>
      </c>
      <c r="G105" s="50">
        <f>(C46-C34*(MIN(B105*C37,C59,C60)*C45)+(C47*(1+C33)/G102*(1-C35))-(MIN(B105*C37,C59,C60)*(1+C44)^(12*C34)-((MIN(B105*C37,C59,C60)*C45)/12)*((1+C44)^(12*C34)-1)/C44))/(B105*(1+C36)-MIN(B105*C37,C59,C60))</f>
        <v/>
      </c>
      <c r="H105" s="50">
        <f>(C46-C34*(MIN(B105*C37,C59,C60)*C45)+(C47*(1+C33)/H102*(1-C35))-(MIN(B105*C37,C59,C60)*(1+C44)^(12*C34)-((MIN(B105*C37,C59,C60)*C45)/12)*((1+C44)^(12*C34)-1)/C44))/(B105*(1+C36)-MIN(B105*C37,C59,C60))</f>
        <v/>
      </c>
    </row>
    <row r="106">
      <c r="B106" s="49" t="n">
        <v>95000000</v>
      </c>
      <c r="D106" s="50">
        <f>(C46-C34*(MIN(B106*C37,C59,C60)*C45)+(C47*(1+C33)/D102*(1-C35))-(MIN(B106*C37,C59,C60)*(1+C44)^(12*C34)-((MIN(B106*C37,C59,C60)*C45)/12)*((1+C44)^(12*C34)-1)/C44))/(B106*(1+C36)-MIN(B106*C37,C59,C60))</f>
        <v/>
      </c>
      <c r="E106" s="50">
        <f>(C46-C34*(MIN(B106*C37,C59,C60)*C45)+(C47*(1+C33)/E102*(1-C35))-(MIN(B106*C37,C59,C60)*(1+C44)^(12*C34)-((MIN(B106*C37,C59,C60)*C45)/12)*((1+C44)^(12*C34)-1)/C44))/(B106*(1+C36)-MIN(B106*C37,C59,C60))</f>
        <v/>
      </c>
      <c r="F106" s="50">
        <f>(C46-C34*(MIN(B106*C37,C59,C60)*C45)+(C47*(1+C33)/F102*(1-C35))-(MIN(B106*C37,C59,C60)*(1+C44)^(12*C34)-((MIN(B106*C37,C59,C60)*C45)/12)*((1+C44)^(12*C34)-1)/C44))/(B106*(1+C36)-MIN(B106*C37,C59,C60))</f>
        <v/>
      </c>
      <c r="G106" s="50">
        <f>(C46-C34*(MIN(B106*C37,C59,C60)*C45)+(C47*(1+C33)/G102*(1-C35))-(MIN(B106*C37,C59,C60)*(1+C44)^(12*C34)-((MIN(B106*C37,C59,C60)*C45)/12)*((1+C44)^(12*C34)-1)/C44))/(B106*(1+C36)-MIN(B106*C37,C59,C60))</f>
        <v/>
      </c>
      <c r="H106" s="50">
        <f>(C46-C34*(MIN(B106*C37,C59,C60)*C45)+(C47*(1+C33)/H102*(1-C35))-(MIN(B106*C37,C59,C60)*(1+C44)^(12*C34)-((MIN(B106*C37,C59,C60)*C45)/12)*((1+C44)^(12*C34)-1)/C44))/(B106*(1+C36)-MIN(B106*C37,C59,C60))</f>
        <v/>
      </c>
    </row>
    <row r="107">
      <c r="B107" s="49" t="n">
        <v>102000000</v>
      </c>
      <c r="D107" s="50">
        <f>(C46-C34*(MIN(B107*C37,C59,C60)*C45)+(C47*(1+C33)/D102*(1-C35))-(MIN(B107*C37,C59,C60)*(1+C44)^(12*C34)-((MIN(B107*C37,C59,C60)*C45)/12)*((1+C44)^(12*C34)-1)/C44))/(B107*(1+C36)-MIN(B107*C37,C59,C60))</f>
        <v/>
      </c>
      <c r="E107" s="50">
        <f>(C46-C34*(MIN(B107*C37,C59,C60)*C45)+(C47*(1+C33)/E102*(1-C35))-(MIN(B107*C37,C59,C60)*(1+C44)^(12*C34)-((MIN(B107*C37,C59,C60)*C45)/12)*((1+C44)^(12*C34)-1)/C44))/(B107*(1+C36)-MIN(B107*C37,C59,C60))</f>
        <v/>
      </c>
      <c r="F107" s="50">
        <f>(C46-C34*(MIN(B107*C37,C59,C60)*C45)+(C47*(1+C33)/F102*(1-C35))-(MIN(B107*C37,C59,C60)*(1+C44)^(12*C34)-((MIN(B107*C37,C59,C60)*C45)/12)*((1+C44)^(12*C34)-1)/C44))/(B107*(1+C36)-MIN(B107*C37,C59,C60))</f>
        <v/>
      </c>
      <c r="G107" s="50">
        <f>(C46-C34*(MIN(B107*C37,C59,C60)*C45)+(C47*(1+C33)/G102*(1-C35))-(MIN(B107*C37,C59,C60)*(1+C44)^(12*C34)-((MIN(B107*C37,C59,C60)*C45)/12)*((1+C44)^(12*C34)-1)/C44))/(B107*(1+C36)-MIN(B107*C37,C59,C60))</f>
        <v/>
      </c>
      <c r="H107" s="50">
        <f>(C46-C34*(MIN(B107*C37,C59,C60)*C45)+(C47*(1+C33)/H102*(1-C35))-(MIN(B107*C37,C59,C60)*(1+C44)^(12*C34)-((MIN(B107*C37,C59,C60)*C45)/12)*((1+C44)^(12*C34)-1)/C44))/(B107*(1+C36)-MIN(B107*C37,C59,C60))</f>
        <v/>
      </c>
    </row>
    <row r="108"/>
    <row r="109" ht="15" customHeight="1">
      <c r="B109" s="22" t="inlineStr">
        <is>
          <t>Note</t>
        </is>
      </c>
      <c r="D109" s="22" t="inlineStr">
        <is>
          <t>Sensitivity ② uses a blended exit cap on consolidated exit-year NOI and lesser-of debt sizing at each price; operating cash flows are held at the underwritten level. Green = higher multiple.</t>
        </is>
      </c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4" t="n"/>
    </row>
  </sheetData>
  <mergeCells count="56">
    <mergeCell ref="B2:M2"/>
    <mergeCell ref="D37:M37"/>
    <mergeCell ref="E68:F68"/>
    <mergeCell ref="E71:F71"/>
    <mergeCell ref="E67:F67"/>
    <mergeCell ref="B101:M101"/>
    <mergeCell ref="B8:M8"/>
    <mergeCell ref="D30:M30"/>
    <mergeCell ref="D25:M25"/>
    <mergeCell ref="D39:M39"/>
    <mergeCell ref="D83:M83"/>
    <mergeCell ref="B1:M1"/>
    <mergeCell ref="B13:M13"/>
    <mergeCell ref="D55:M55"/>
    <mergeCell ref="D51:M51"/>
    <mergeCell ref="B57:M57"/>
    <mergeCell ref="D38:M38"/>
    <mergeCell ref="B29:M29"/>
    <mergeCell ref="D33:M33"/>
    <mergeCell ref="E79:F79"/>
    <mergeCell ref="B82:M82"/>
    <mergeCell ref="B87:M87"/>
    <mergeCell ref="D89:M89"/>
    <mergeCell ref="B10:M10"/>
    <mergeCell ref="D85:M85"/>
    <mergeCell ref="D54:M54"/>
    <mergeCell ref="D35:M35"/>
    <mergeCell ref="D88:M88"/>
    <mergeCell ref="D26:M26"/>
    <mergeCell ref="E69:F69"/>
    <mergeCell ref="D34:M34"/>
    <mergeCell ref="D109:M109"/>
    <mergeCell ref="E78:F78"/>
    <mergeCell ref="B6:M6"/>
    <mergeCell ref="B24:M24"/>
    <mergeCell ref="D31:M31"/>
    <mergeCell ref="E77:F77"/>
    <mergeCell ref="D84:M84"/>
    <mergeCell ref="B5:M5"/>
    <mergeCell ref="D40:M40"/>
    <mergeCell ref="D36:M36"/>
    <mergeCell ref="E80:F80"/>
    <mergeCell ref="D45:M45"/>
    <mergeCell ref="D52:M52"/>
    <mergeCell ref="B50:M50"/>
    <mergeCell ref="B4:M4"/>
    <mergeCell ref="E70:F70"/>
    <mergeCell ref="D41:M41"/>
    <mergeCell ref="B7:M7"/>
    <mergeCell ref="D32:M32"/>
    <mergeCell ref="D61:M61"/>
    <mergeCell ref="E76:F76"/>
    <mergeCell ref="D48:M48"/>
    <mergeCell ref="B66:M66"/>
    <mergeCell ref="B93:M93"/>
    <mergeCell ref="B43:M43"/>
  </mergeCells>
  <conditionalFormatting sqref="D95:H9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03:H10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Assemble the whole E Sunrise Blvd frontage at the Galleria hard corner. Each asset is bought/valued off the rent it produces;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the in-place income covers the carry (debt service, taxes, insurance) while DAWN RE controls ~7+ acres for eventual redevelopment.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Redevelopment does NOT pencil today (AE flood zone, coastal hard costs → negative residual), so the play is to HOLD the income-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covered land and hold the Live Local density option. Publix already proved the model — it paid land value ($679/SF bldg), not income value.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Asset</t>
        </is>
      </c>
      <c r="C11" s="16" t="inlineStr">
        <is>
          <t>Control cost</t>
        </is>
      </c>
      <c r="D11" s="16" t="inlineStr">
        <is>
          <t>In-place NOI</t>
        </is>
      </c>
      <c r="E11" s="16" t="inlineStr">
        <is>
          <t>Going-in cap</t>
        </is>
      </c>
      <c r="F11" s="16" t="inlineStr">
        <is>
          <t>Land SF</t>
        </is>
      </c>
      <c r="G11" s="16" t="inlineStr">
        <is>
          <t>Land value</t>
        </is>
      </c>
      <c r="H11" s="16" t="inlineStr">
        <is>
          <t>Unlev IRR</t>
        </is>
      </c>
      <c r="I11" s="16" t="inlineStr">
        <is>
          <t>Lev IRR</t>
        </is>
      </c>
      <c r="J11" s="15" t="inlineStr">
        <is>
          <t>Note</t>
        </is>
      </c>
      <c r="K11" s="13" t="n"/>
      <c r="L11" s="13" t="n"/>
      <c r="M11" s="14" t="n"/>
    </row>
    <row r="12" ht="15" customHeight="1">
      <c r="B12" s="12" t="inlineStr">
        <is>
          <t>Shahidi Retail (Galleria Plaza)</t>
        </is>
      </c>
      <c r="C12" s="17">
        <f>'Shahidi Retail'!C57</f>
        <v/>
      </c>
      <c r="D12" s="17">
        <f>'Shahidi Retail'!C121</f>
        <v/>
      </c>
      <c r="E12" s="38">
        <f>D12/C12</f>
        <v/>
      </c>
      <c r="F12" s="51" t="n">
        <v>67080</v>
      </c>
      <c r="G12" s="17">
        <f>'Shahidi Retail'!C79</f>
        <v/>
      </c>
      <c r="H12" s="18">
        <f>'Shahidi Retail'!C116</f>
        <v/>
      </c>
      <c r="I12" s="18">
        <f>'Shahidi Retail'!C119</f>
        <v/>
      </c>
      <c r="J12" s="12" t="inlineStr">
        <is>
          <t>acquirable · value-add lease-up</t>
        </is>
      </c>
      <c r="K12" s="13" t="n"/>
      <c r="L12" s="13" t="n"/>
      <c r="M12" s="14" t="n"/>
    </row>
    <row r="13" ht="15" customHeight="1">
      <c r="B13" s="12" t="inlineStr">
        <is>
          <t>Publix + Starbucks</t>
        </is>
      </c>
      <c r="C13" s="17">
        <f>'Publix &amp; Starbucks'!C65</f>
        <v/>
      </c>
      <c r="D13" s="17">
        <f>'Publix &amp; Starbucks'!C107</f>
        <v/>
      </c>
      <c r="E13" s="38">
        <f>D13/C13</f>
        <v/>
      </c>
      <c r="F13" s="51" t="n">
        <v>109791</v>
      </c>
      <c r="G13" s="17">
        <f>'Publix &amp; Starbucks'!C65</f>
        <v/>
      </c>
      <c r="H13" s="18">
        <f>'Publix &amp; Starbucks'!C102</f>
        <v/>
      </c>
      <c r="I13" s="18">
        <f>'Publix &amp; Starbucks'!C105</f>
        <v/>
      </c>
      <c r="J13" s="12" t="inlineStr">
        <is>
          <t>NOT a seller · priced at land value</t>
        </is>
      </c>
      <c r="K13" s="13" t="n"/>
      <c r="L13" s="13" t="n"/>
      <c r="M13" s="14" t="n"/>
    </row>
    <row r="14" ht="15" customHeight="1">
      <c r="B14" s="12" t="inlineStr">
        <is>
          <t>Sunrise Plaza (Kar Luen)</t>
        </is>
      </c>
      <c r="C14" s="17">
        <f>'Sunrise Plaza'!C46</f>
        <v/>
      </c>
      <c r="D14" s="17">
        <f>'Sunrise Plaza'!C110</f>
        <v/>
      </c>
      <c r="E14" s="38">
        <f>D14/C14</f>
        <v/>
      </c>
      <c r="F14" s="51" t="n">
        <v>30928</v>
      </c>
      <c r="G14" s="17">
        <f>'Sunrise Plaza'!C68</f>
        <v/>
      </c>
      <c r="H14" s="18">
        <f>'Sunrise Plaza'!C105</f>
        <v/>
      </c>
      <c r="I14" s="18">
        <f>'Sunrise Plaza'!C108</f>
        <v/>
      </c>
      <c r="J14" s="12" t="inlineStr">
        <is>
          <t>acquirable · restaurant value-add</t>
        </is>
      </c>
      <c r="K14" s="13" t="n"/>
      <c r="L14" s="13" t="n"/>
      <c r="M14" s="14" t="n"/>
    </row>
    <row r="15" ht="15" customHeight="1">
      <c r="B15" s="12" t="inlineStr">
        <is>
          <t>Galleria Corporate Centre (office)</t>
        </is>
      </c>
      <c r="C15" s="17">
        <f>'Office Condo'!C26</f>
        <v/>
      </c>
      <c r="D15" s="17">
        <f>'Office Condo'!C76</f>
        <v/>
      </c>
      <c r="E15" s="38">
        <f>D15/C15</f>
        <v/>
      </c>
      <c r="F15" s="51" t="n">
        <v>0</v>
      </c>
      <c r="G15" s="33">
        <f>0</f>
        <v/>
      </c>
      <c r="H15" s="18">
        <f>'Office Condo'!C71</f>
        <v/>
      </c>
      <c r="I15" s="18">
        <f>'Office Condo'!C74</f>
        <v/>
      </c>
      <c r="J15" s="12" t="inlineStr">
        <is>
          <t>buy out both condo owners</t>
        </is>
      </c>
      <c r="K15" s="13" t="n"/>
      <c r="L15" s="13" t="n"/>
      <c r="M15" s="14" t="n"/>
    </row>
    <row r="16" ht="15" customHeight="1">
      <c r="B16" s="12" t="inlineStr">
        <is>
          <t>1040 Bayview (covered land)</t>
        </is>
      </c>
      <c r="C16" s="17">
        <f>'Land'!E40</f>
        <v/>
      </c>
      <c r="D16" s="17">
        <f>'Land'!C47</f>
        <v/>
      </c>
      <c r="E16" s="38">
        <f>D16/C16</f>
        <v/>
      </c>
      <c r="F16" s="51" t="n">
        <v>104108</v>
      </c>
      <c r="G16" s="17">
        <f>'Land'!E40</f>
        <v/>
      </c>
      <c r="H16" s="18">
        <f>'Land'!C65</f>
        <v/>
      </c>
      <c r="I16" s="18">
        <f>'Land'!C68</f>
        <v/>
      </c>
      <c r="J16" s="12" t="inlineStr">
        <is>
          <t>entitled 259 units · hold for redevelopment</t>
        </is>
      </c>
      <c r="K16" s="13" t="n"/>
      <c r="L16" s="13" t="n"/>
      <c r="M16" s="14" t="n"/>
    </row>
    <row r="17" ht="15" customHeight="1">
      <c r="B17" s="19" t="inlineStr">
        <is>
          <t>ASSEMBLAGE TOTAL (pre-premium)</t>
        </is>
      </c>
      <c r="C17" s="20">
        <f>SUM(C12:C16)</f>
        <v/>
      </c>
      <c r="D17" s="20">
        <f>SUM(D12:D16)</f>
        <v/>
      </c>
      <c r="E17" s="52">
        <f>D17/C17</f>
        <v/>
      </c>
      <c r="F17" s="53">
        <f>SUM(F12:F16)</f>
        <v/>
      </c>
      <c r="G17" s="20">
        <f>SUM(G12:G16)</f>
        <v/>
      </c>
      <c r="H17" s="54" t="inlineStr">
        <is>
          <t>—</t>
        </is>
      </c>
      <c r="I17" s="54" t="inlineStr">
        <is>
          <t>—</t>
        </is>
      </c>
      <c r="J17" s="19" t="inlineStr">
        <is>
          <t>blended going-in cap covers carry</t>
        </is>
      </c>
      <c r="K17" s="13" t="n"/>
      <c r="L17" s="13" t="n"/>
      <c r="M17" s="14" t="n"/>
    </row>
    <row r="18"/>
    <row r="19">
      <c r="B19" s="11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2" t="inlineStr">
        <is>
          <t>Total existing building (GLA, SF)</t>
        </is>
      </c>
      <c r="C20" s="55">
        <f>341501</f>
        <v/>
      </c>
      <c r="D20" s="22" t="inlineStr">
        <is>
          <t>existing improvements across all five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Total land assembled (acres)</t>
        </is>
      </c>
      <c r="C21" s="56">
        <f>F17/43560</f>
        <v/>
      </c>
      <c r="D21" s="22" t="inlineStr">
        <is>
          <t>≈ 7+ acres of E Sunrise frontage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Blended land basis ($/SF)</t>
        </is>
      </c>
      <c r="C22" s="56">
        <f>G17/F17</f>
        <v/>
      </c>
      <c r="D22" s="22" t="inlineStr">
        <is>
          <t>vs. subject comps $228–255/SF; Galleria bulk $53/SF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Blended in-place cap (income ÷ cost)</t>
        </is>
      </c>
      <c r="C23" s="38">
        <f>D17/C17</f>
        <v/>
      </c>
      <c r="D23" s="22" t="inlineStr">
        <is>
          <t>covered-land range ~3–5% — income covers carry, not a yield play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 ht="15" customHeight="1">
      <c r="B25" s="15" t="inlineStr">
        <is>
          <t>Assemblage premium (to control holdouts)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 xml:space="preserve">  Low (15%)</t>
        </is>
      </c>
      <c r="C26" s="33">
        <f>C17*1.15</f>
        <v/>
      </c>
    </row>
    <row r="27" ht="15" customHeight="1">
      <c r="B27" s="40" t="inlineStr">
        <is>
          <t xml:space="preserve">  Base (20%)</t>
        </is>
      </c>
      <c r="C27" s="30">
        <f>C17*1.20</f>
        <v/>
      </c>
    </row>
    <row r="28" ht="15" customHeight="1">
      <c r="B28" s="12" t="inlineStr">
        <is>
          <t xml:space="preserve">  High (25%)</t>
        </is>
      </c>
      <c r="C28" s="33">
        <f>C17*1.25</f>
        <v/>
      </c>
    </row>
    <row r="29" ht="16" customHeight="1">
      <c r="B29" s="44" t="inlineStr">
        <is>
          <t>TOTAL ASSEMBLAGE ACQUISITION COST (base)</t>
        </is>
      </c>
      <c r="C29" s="45">
        <f>C27</f>
        <v/>
      </c>
      <c r="D29" s="22" t="inlineStr">
        <is>
          <t>🔶 base 20% assemblage premium on the summed control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12" t="inlineStr">
        <is>
          <t>Redevelopment residual — 1040 Bayview (per Land tab)</t>
        </is>
      </c>
      <c r="C32" s="23">
        <f>'Land'!C78</f>
        <v/>
      </c>
    </row>
    <row r="33" ht="27" customHeight="1">
      <c r="B33" s="43" t="inlineStr">
        <is>
          <t>Redevelopment verdict</t>
        </is>
      </c>
      <c r="C33" s="57" t="inlineStr">
        <is>
          <t>HOLD</t>
        </is>
      </c>
      <c r="D33" s="43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/>
    <row r="35">
      <c r="B35" s="11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12" t="inlineStr">
        <is>
          <t>Total equity required (all assets, at asset prices)</t>
        </is>
      </c>
      <c r="C36" s="39">
        <f>'Shahidi Retail'!C78+'Publix &amp; Starbucks'!C63+'Sunrise Plaza'!C66+'Office Condo'!C44+'Land'!C52</f>
        <v/>
      </c>
    </row>
    <row r="37" ht="15" customHeight="1">
      <c r="B37" s="12" t="inlineStr">
        <is>
          <t>Total in-place NOI (covers carry)</t>
        </is>
      </c>
      <c r="C37" s="39">
        <f>D17</f>
        <v/>
      </c>
    </row>
    <row r="38" ht="27" customHeight="1">
      <c r="B38" s="43" t="inlineStr">
        <is>
          <t>Portfolio IRR (unlevered / levered)</t>
        </is>
      </c>
      <c r="D38" s="43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58" t="inlineStr">
        <is>
          <t>Record owner</t>
        </is>
      </c>
      <c r="D5" s="58" t="inlineStr">
        <is>
          <t>SHAWNICK GALLERIA LLC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58" t="inlineStr">
        <is>
          <t>Principal / manager</t>
        </is>
      </c>
      <c r="D6" s="58" t="inlineStr">
        <is>
          <t>Esmail Shahidi (mgr) — Sunbiz L21000389291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58" t="inlineStr">
        <is>
          <t>Gross leasable area (GLA)</t>
        </is>
      </c>
      <c r="D7" s="58" t="inlineStr">
        <is>
          <t>26,272 SF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58" t="inlineStr">
        <is>
          <t>Land</t>
        </is>
      </c>
      <c r="D8" s="58" t="inlineStr">
        <is>
          <t>67,080 SF  (1.54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58" t="inlineStr">
        <is>
          <t>Year built</t>
        </is>
      </c>
      <c r="D9" s="58" t="inlineStr">
        <is>
          <t>1960 (eff. 1980)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58" t="inlineStr">
        <is>
          <t>Zoning / flood</t>
        </is>
      </c>
      <c r="D10" s="58" t="inlineStr">
        <is>
          <t>B-1 (Boulevard Business) / FEMA AE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58" t="inlineStr">
        <is>
          <t>Last sale</t>
        </is>
      </c>
      <c r="D11" s="58" t="inlineStr">
        <is>
          <t>11/09/2021  —  $17,100,000  (Special Warranty Deed)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58" t="inlineStr">
        <is>
          <t>2025 real-estate taxes</t>
        </is>
      </c>
      <c r="D12" s="58" t="inlineStr">
        <is>
          <t>$162,366   (2024: $152,766)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58" t="inlineStr">
        <is>
          <t>2026 just / market value (BCPA)</t>
        </is>
      </c>
      <c r="D13" s="58" t="inlineStr">
        <is>
          <t>$8,911,690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58" t="inlineStr">
        <is>
          <t>Effective millage</t>
        </is>
      </c>
      <c r="D14" s="58" t="inlineStr">
        <is>
          <t>1.91%   (2025 tax ÷ just value)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58" t="inlineStr">
        <is>
          <t>Derived basis on $17.1M</t>
        </is>
      </c>
      <c r="D15" s="58" t="inlineStr">
        <is>
          <t>$254.92/SF land · $650.88/SF building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58" t="inlineStr">
        <is>
          <t>In-place occupancy</t>
        </is>
      </c>
      <c r="D16" s="58" t="inlineStr">
        <is>
          <t>83.17%   →  ~4,422 SF vacant to lease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/>
    <row r="18">
      <c r="B18" s="11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16" t="inlineStr">
        <is>
          <t>Suite</t>
        </is>
      </c>
      <c r="C19" s="15" t="inlineStr">
        <is>
          <t>Tenant</t>
        </is>
      </c>
      <c r="D19" s="15" t="inlineStr">
        <is>
          <t>Category</t>
        </is>
      </c>
      <c r="E19" s="14" t="n"/>
      <c r="F19" s="16" t="inlineStr">
        <is>
          <t>SF</t>
        </is>
      </c>
      <c r="G19" s="16" t="inlineStr">
        <is>
          <t>$/SF NNN</t>
        </is>
      </c>
      <c r="H19" s="16" t="inlineStr">
        <is>
          <t>Annual rent</t>
        </is>
      </c>
      <c r="I19" s="13" t="n"/>
      <c r="J19" s="14" t="n"/>
      <c r="K19" s="16" t="inlineStr">
        <is>
          <t>Tenant type</t>
        </is>
      </c>
      <c r="L19" s="13" t="n"/>
      <c r="M19" s="14" t="n"/>
    </row>
    <row r="20" ht="27" customHeight="1">
      <c r="B20" s="59" t="inlineStr">
        <is>
          <t>2541</t>
        </is>
      </c>
      <c r="C20" s="12" t="inlineStr">
        <is>
          <t>Primo Liquors &amp; Fine Wine</t>
        </is>
      </c>
      <c r="D20" s="12" t="inlineStr">
        <is>
          <t>Retail – liquor/wine</t>
        </is>
      </c>
      <c r="E20" s="14" t="n"/>
      <c r="F20" s="55" t="n">
        <v>4000</v>
      </c>
      <c r="G20" s="60" t="n">
        <v>48</v>
      </c>
      <c r="H20" s="33">
        <f>F20*G20</f>
        <v/>
      </c>
      <c r="I20" s="13" t="n"/>
      <c r="J20" s="14" t="n"/>
      <c r="K20" s="12" t="inlineStr">
        <is>
          <t>Local</t>
        </is>
      </c>
      <c r="L20" s="13" t="n"/>
      <c r="M20" s="14" t="n"/>
    </row>
    <row r="21" ht="15" customHeight="1">
      <c r="B21" s="59" t="inlineStr">
        <is>
          <t>2577</t>
        </is>
      </c>
      <c r="C21" s="12" t="inlineStr">
        <is>
          <t>Wells Fargo Bank</t>
        </is>
      </c>
      <c r="D21" s="12" t="inlineStr">
        <is>
          <t>Bank / financial</t>
        </is>
      </c>
      <c r="E21" s="14" t="n"/>
      <c r="F21" s="55" t="n">
        <v>3500</v>
      </c>
      <c r="G21" s="60" t="n">
        <v>62</v>
      </c>
      <c r="H21" s="33">
        <f>F21*G21</f>
        <v/>
      </c>
      <c r="I21" s="13" t="n"/>
      <c r="J21" s="14" t="n"/>
      <c r="K21" s="58" t="inlineStr">
        <is>
          <t>NATIONAL credit</t>
        </is>
      </c>
      <c r="L21" s="13" t="n"/>
      <c r="M21" s="14" t="n"/>
    </row>
    <row r="22" ht="27" customHeight="1">
      <c r="B22" s="59" t="inlineStr">
        <is>
          <t>2543–75</t>
        </is>
      </c>
      <c r="C22" s="12" t="inlineStr">
        <is>
          <t>In-line shops (mid-strip)</t>
        </is>
      </c>
      <c r="D22" s="12" t="inlineStr">
        <is>
          <t>Various local retail/service</t>
        </is>
      </c>
      <c r="E22" s="14" t="n"/>
      <c r="F22" s="55" t="n">
        <v>3700</v>
      </c>
      <c r="G22" s="60" t="n">
        <v>52</v>
      </c>
      <c r="H22" s="33">
        <f>F22*G22</f>
        <v/>
      </c>
      <c r="I22" s="13" t="n"/>
      <c r="J22" s="14" t="n"/>
      <c r="K22" s="12" t="inlineStr">
        <is>
          <t>Local</t>
        </is>
      </c>
      <c r="L22" s="13" t="n"/>
      <c r="M22" s="14" t="n"/>
    </row>
    <row r="23" ht="15" customHeight="1">
      <c r="B23" s="59" t="inlineStr">
        <is>
          <t>2587</t>
        </is>
      </c>
      <c r="C23" s="12" t="inlineStr">
        <is>
          <t>Verizon Wireless</t>
        </is>
      </c>
      <c r="D23" s="12" t="inlineStr">
        <is>
          <t>Wireless / electronics</t>
        </is>
      </c>
      <c r="E23" s="14" t="n"/>
      <c r="F23" s="55" t="n">
        <v>2200</v>
      </c>
      <c r="G23" s="60" t="n">
        <v>58</v>
      </c>
      <c r="H23" s="33">
        <f>F23*G23</f>
        <v/>
      </c>
      <c r="I23" s="13" t="n"/>
      <c r="J23" s="14" t="n"/>
      <c r="K23" s="58" t="inlineStr">
        <is>
          <t>NATIONAL credit</t>
        </is>
      </c>
      <c r="L23" s="13" t="n"/>
      <c r="M23" s="14" t="n"/>
    </row>
    <row r="24" ht="27" customHeight="1">
      <c r="B24" s="59" t="inlineStr">
        <is>
          <t>2595</t>
        </is>
      </c>
      <c r="C24" s="12" t="inlineStr">
        <is>
          <t>First Impressions Smile Center</t>
        </is>
      </c>
      <c r="D24" s="12" t="inlineStr">
        <is>
          <t>Medical – dentistry</t>
        </is>
      </c>
      <c r="E24" s="14" t="n"/>
      <c r="F24" s="55" t="n">
        <v>2200</v>
      </c>
      <c r="G24" s="60" t="n">
        <v>54</v>
      </c>
      <c r="H24" s="33">
        <f>F24*G24</f>
        <v/>
      </c>
      <c r="I24" s="13" t="n"/>
      <c r="J24" s="14" t="n"/>
      <c r="K24" s="12" t="inlineStr">
        <is>
          <t>Local</t>
        </is>
      </c>
      <c r="L24" s="13" t="n"/>
      <c r="M24" s="14" t="n"/>
    </row>
    <row r="25" ht="27" customHeight="1">
      <c r="B25" s="59" t="inlineStr">
        <is>
          <t>2549</t>
        </is>
      </c>
      <c r="C25" s="12" t="inlineStr">
        <is>
          <t>Freeman's Luggage &amp; Gifts</t>
        </is>
      </c>
      <c r="D25" s="12" t="inlineStr">
        <is>
          <t>Retail – luggage/gifts</t>
        </is>
      </c>
      <c r="E25" s="14" t="n"/>
      <c r="F25" s="55" t="n">
        <v>2000</v>
      </c>
      <c r="G25" s="60" t="n">
        <v>50</v>
      </c>
      <c r="H25" s="33">
        <f>F25*G25</f>
        <v/>
      </c>
      <c r="I25" s="13" t="n"/>
      <c r="J25" s="14" t="n"/>
      <c r="K25" s="12" t="inlineStr">
        <is>
          <t>Local</t>
        </is>
      </c>
      <c r="L25" s="13" t="n"/>
      <c r="M25" s="14" t="n"/>
    </row>
    <row r="26" ht="15" customHeight="1">
      <c r="B26" s="59" t="inlineStr">
        <is>
          <t>2583</t>
        </is>
      </c>
      <c r="C26" s="12" t="inlineStr">
        <is>
          <t>Eyes on Sunrise</t>
        </is>
      </c>
      <c r="D26" s="12" t="inlineStr">
        <is>
          <t>Medical – optometry</t>
        </is>
      </c>
      <c r="E26" s="14" t="n"/>
      <c r="F26" s="55" t="n">
        <v>1800</v>
      </c>
      <c r="G26" s="60" t="n">
        <v>56</v>
      </c>
      <c r="H26" s="33">
        <f>F26*G26</f>
        <v/>
      </c>
      <c r="I26" s="13" t="n"/>
      <c r="J26" s="14" t="n"/>
      <c r="K26" s="12" t="inlineStr">
        <is>
          <t>Local</t>
        </is>
      </c>
      <c r="L26" s="13" t="n"/>
      <c r="M26" s="14" t="n"/>
    </row>
    <row r="27" ht="27" customHeight="1">
      <c r="B27" s="59" t="inlineStr">
        <is>
          <t>2541</t>
        </is>
      </c>
      <c r="C27" s="12" t="inlineStr">
        <is>
          <t>Lilac &amp; Lilies Boutique</t>
        </is>
      </c>
      <c r="D27" s="12" t="inlineStr">
        <is>
          <t>Retail – apparel</t>
        </is>
      </c>
      <c r="E27" s="14" t="n"/>
      <c r="F27" s="55" t="n">
        <v>1250</v>
      </c>
      <c r="G27" s="60" t="n">
        <v>58</v>
      </c>
      <c r="H27" s="33">
        <f>F27*G27</f>
        <v/>
      </c>
      <c r="I27" s="13" t="n"/>
      <c r="J27" s="14" t="n"/>
      <c r="K27" s="12" t="inlineStr">
        <is>
          <t>Local</t>
        </is>
      </c>
      <c r="L27" s="13" t="n"/>
      <c r="M27" s="14" t="n"/>
    </row>
    <row r="28" ht="27" customHeight="1">
      <c r="B28" s="59" t="inlineStr">
        <is>
          <t>2595</t>
        </is>
      </c>
      <c r="C28" s="12" t="inlineStr">
        <is>
          <t>Roxanne Jackson – GEICO</t>
        </is>
      </c>
      <c r="D28" s="12" t="inlineStr">
        <is>
          <t>Insurance agency</t>
        </is>
      </c>
      <c r="E28" s="14" t="n"/>
      <c r="F28" s="55" t="n">
        <v>1200</v>
      </c>
      <c r="G28" s="60" t="n">
        <v>56</v>
      </c>
      <c r="H28" s="33">
        <f>F28*G28</f>
        <v/>
      </c>
      <c r="I28" s="13" t="n"/>
      <c r="J28" s="14" t="n"/>
      <c r="K28" s="12" t="inlineStr">
        <is>
          <t>Regional</t>
        </is>
      </c>
      <c r="L28" s="13" t="n"/>
      <c r="M28" s="14" t="n"/>
    </row>
    <row r="29" ht="27" customHeight="1">
      <c r="B29" s="57" t="inlineStr">
        <is>
          <t>—</t>
        </is>
      </c>
      <c r="C29" s="43" t="inlineStr">
        <is>
          <t>VACANT / available (mid-strip)</t>
        </is>
      </c>
      <c r="D29" s="43" t="inlineStr">
        <is>
          <t>Lease-up target to 95%</t>
        </is>
      </c>
      <c r="E29" s="14" t="n"/>
      <c r="F29" s="61" t="n">
        <v>4422</v>
      </c>
      <c r="G29" s="62" t="inlineStr">
        <is>
          <t>—</t>
        </is>
      </c>
      <c r="H29" s="62" t="inlineStr">
        <is>
          <t>—</t>
        </is>
      </c>
      <c r="I29" s="13" t="n"/>
      <c r="J29" s="14" t="n"/>
      <c r="K29" s="43" t="inlineStr">
        <is>
          <t>value-add upside</t>
        </is>
      </c>
      <c r="L29" s="13" t="n"/>
      <c r="M29" s="14" t="n"/>
    </row>
    <row r="30" ht="27" customHeight="1">
      <c r="B30" s="19" t="inlineStr">
        <is>
          <t>TOTAL / WEIGHTED AVG</t>
        </is>
      </c>
      <c r="C30" s="19" t="inlineStr">
        <is>
          <t>9 tenants + vacancy</t>
        </is>
      </c>
      <c r="D30" s="63" t="inlineStr"/>
      <c r="E30" s="14" t="n"/>
      <c r="F30" s="53">
        <f>SUM(F20:F29)</f>
        <v/>
      </c>
      <c r="G30" s="64">
        <f>IFERROR(SUM(H20:H28)/SUM(F20:F28),0)</f>
        <v/>
      </c>
      <c r="H30" s="20">
        <f>SUM(H20:H28)</f>
        <v/>
      </c>
      <c r="I30" s="13" t="n"/>
      <c r="J30" s="14" t="n"/>
      <c r="K30" s="19" t="inlineStr">
        <is>
          <t>Wells Fargo + Verizon = credit</t>
        </is>
      </c>
      <c r="L30" s="13" t="n"/>
      <c r="M30" s="14" t="n"/>
    </row>
    <row r="31"/>
    <row r="32">
      <c r="B32" s="11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5" t="inlineStr">
        <is>
          <t>Property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GLA (SF)</t>
        </is>
      </c>
      <c r="C34" s="65" t="n">
        <v>26272</v>
      </c>
      <c r="D34" s="22" t="inlineStr">
        <is>
          <t>✅ BCPA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In-place occupancy</t>
        </is>
      </c>
      <c r="C35" s="34" t="n">
        <v>0.8317</v>
      </c>
      <c r="D35" s="22" t="inlineStr">
        <is>
          <t>✅ BCPA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Land (SF)</t>
        </is>
      </c>
      <c r="C36" s="65" t="n">
        <v>67080</v>
      </c>
      <c r="D36" s="22" t="inlineStr">
        <is>
          <t>✅ BCPA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Effective millage</t>
        </is>
      </c>
      <c r="C37" s="34" t="n">
        <v>0.0191</v>
      </c>
      <c r="D37" s="22" t="inlineStr">
        <is>
          <t>✅ 2025 tax ÷ just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Revenue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In-place base rent ($/SF NNN)</t>
        </is>
      </c>
      <c r="C39" s="60" t="n">
        <v>55</v>
      </c>
      <c r="D39" s="22" t="inlineStr">
        <is>
          <t>🔶 owner says $60; corridor $45–60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Market rent ($/SF NNN)</t>
        </is>
      </c>
      <c r="C40" s="60" t="n">
        <v>55</v>
      </c>
      <c r="D40" s="22" t="inlineStr">
        <is>
          <t>🔶 drives DCF base rent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Market rent growth</t>
        </is>
      </c>
      <c r="C41" s="35" t="n">
        <v>0.03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Stabilized occupancy</t>
        </is>
      </c>
      <c r="C42" s="35" t="n">
        <v>0.95</v>
      </c>
      <c r="D42" s="22" t="inlineStr">
        <is>
          <t>🔶 lease-up target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Credit &amp; collection loss</t>
        </is>
      </c>
      <c r="C43" s="35" t="n">
        <v>0.02</v>
      </c>
      <c r="D43" s="22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5" t="inlineStr">
        <is>
          <t>Operating expenses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Reassessed value (= price, FL rule)</t>
        </is>
      </c>
      <c r="C45" s="66" t="n">
        <v>17100000</v>
      </c>
      <c r="D45" s="22" t="inlineStr">
        <is>
          <t>🔶 FL reassess-to-price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Insurance ($/yr)</t>
        </is>
      </c>
      <c r="C46" s="66" t="n">
        <v>65000</v>
      </c>
      <c r="D46" s="22" t="inlineStr">
        <is>
          <t>🔶 AE flood wildcard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CAM ($/yr, recoverable)</t>
        </is>
      </c>
      <c r="C47" s="66" t="n">
        <v>55000</v>
      </c>
      <c r="D47" s="22" t="inlineStr">
        <is>
          <t>🔶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Repairs &amp; maintenance ($/yr)</t>
        </is>
      </c>
      <c r="C48" s="66" t="n">
        <v>40000</v>
      </c>
      <c r="D48" s="22" t="inlineStr">
        <is>
          <t>🔶 non-recoverable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Management fee (% EGR)</t>
        </is>
      </c>
      <c r="C49" s="35" t="n">
        <v>0.04</v>
      </c>
      <c r="D49" s="22" t="inlineStr">
        <is>
          <t>🔶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Expense growth</t>
        </is>
      </c>
      <c r="C50" s="35" t="n">
        <v>0.03</v>
      </c>
      <c r="D50" s="22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5" t="inlineStr">
        <is>
          <t>Capital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Tenant improvements ($/SF)</t>
        </is>
      </c>
      <c r="C52" s="60" t="n">
        <v>30</v>
      </c>
      <c r="D52" s="22" t="inlineStr">
        <is>
          <t>🔶 on leased-up 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Leasing commissions ($/SF)</t>
        </is>
      </c>
      <c r="C53" s="60" t="n">
        <v>20</v>
      </c>
      <c r="D53" s="22" t="inlineStr">
        <is>
          <t>🔶 on leased-up SF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Replacement reserves ($/SF/yr)</t>
        </is>
      </c>
      <c r="C54" s="60" t="n">
        <v>0.15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Rollover leasing reserve ($/SF/yr)</t>
        </is>
      </c>
      <c r="C55" s="60" t="n">
        <v>0.75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5" t="inlineStr">
        <is>
          <t>Acquisition &amp; financing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Purchase price</t>
        </is>
      </c>
      <c r="C57" s="66" t="n">
        <v>17100000</v>
      </c>
      <c r="D57" s="22" t="inlineStr">
        <is>
          <t>🔶 = last sale; negotiated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Closing &amp; acq costs (% price)</t>
        </is>
      </c>
      <c r="C58" s="35" t="n">
        <v>0.025</v>
      </c>
      <c r="D58" s="22" t="inlineStr">
        <is>
          <t>🔶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Senior loan LTV</t>
        </is>
      </c>
      <c r="C59" s="35" t="n">
        <v>0.65</v>
      </c>
      <c r="D59" s="22" t="inlineStr">
        <is>
          <t>🔶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Senior loan rate</t>
        </is>
      </c>
      <c r="C60" s="34" t="n">
        <v>0.0675</v>
      </c>
      <c r="D60" s="22" t="inlineStr">
        <is>
          <t>🔶 mid-2026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>Senior loan amortization (yrs)</t>
        </is>
      </c>
      <c r="C61" s="36" t="n">
        <v>30</v>
      </c>
      <c r="D61" s="22" t="inlineStr">
        <is>
          <t>🔶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5" t="inlineStr">
        <is>
          <t>Valuation &amp; hold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Going-in cap (reference)</t>
        </is>
      </c>
      <c r="C63" s="35" t="n">
        <v>0.06</v>
      </c>
      <c r="D63" s="22" t="inlineStr">
        <is>
          <t>🔶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Exit / reversion cap</t>
        </is>
      </c>
      <c r="C64" s="35" t="n">
        <v>0.06</v>
      </c>
      <c r="D64" s="22" t="inlineStr">
        <is>
          <t>🔶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Cost of sale at exit</t>
        </is>
      </c>
      <c r="C65" s="35" t="n">
        <v>0.02</v>
      </c>
      <c r="D65" s="22" t="inlineStr">
        <is>
          <t>🔶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Hold period (yrs)</t>
        </is>
      </c>
      <c r="C66" s="36" t="n">
        <v>5</v>
      </c>
      <c r="D66" s="22" t="inlineStr">
        <is>
          <t>🔶 reversion in this year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Discount rate (unlevered, for NPV)</t>
        </is>
      </c>
      <c r="C67" s="35" t="n">
        <v>0.09</v>
      </c>
      <c r="D67" s="22" t="inlineStr">
        <is>
          <t>🔶 target unlevered yield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2" t="inlineStr">
        <is>
          <t>Senior loan amount</t>
        </is>
      </c>
      <c r="C70" s="39">
        <f>C57*C59</f>
        <v/>
      </c>
      <c r="D70" s="22" t="inlineStr">
        <is>
          <t>price × LTV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12" t="inlineStr">
        <is>
          <t>Monthly rate</t>
        </is>
      </c>
      <c r="C71" s="38">
        <f>C60/12</f>
        <v/>
      </c>
    </row>
    <row r="72" ht="15" customHeight="1">
      <c r="B72" s="12" t="inlineStr">
        <is>
          <t>Amortization periods</t>
        </is>
      </c>
      <c r="C72" s="55">
        <f>C61*12</f>
        <v/>
      </c>
    </row>
    <row r="73" ht="15" customHeight="1">
      <c r="B73" s="12" t="inlineStr">
        <is>
          <t>Annual debt service (amortizing)</t>
        </is>
      </c>
      <c r="C73" s="39">
        <f>C70*(C71/(1-(1+C71)^(-C72)))*12</f>
        <v/>
      </c>
    </row>
    <row r="74" ht="15" customHeight="1">
      <c r="B74" s="12" t="inlineStr">
        <is>
          <t>Equity at acquisition</t>
        </is>
      </c>
      <c r="C74" s="39">
        <f>C57*(1+C58)-C70</f>
        <v/>
      </c>
      <c r="D74" s="22" t="inlineStr">
        <is>
          <t>price×(1+closing) − loan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Absorption SF (lease-up)</t>
        </is>
      </c>
      <c r="C75" s="55">
        <f>C34*(C42-C35)</f>
        <v/>
      </c>
    </row>
    <row r="76" ht="15" customHeight="1">
      <c r="B76" s="12" t="inlineStr">
        <is>
          <t>Initial leasing capital (TI/LC on absorbed SF)</t>
        </is>
      </c>
      <c r="C76" s="39">
        <f>C75*(C52+C53)</f>
        <v/>
      </c>
    </row>
    <row r="77" ht="15" customHeight="1">
      <c r="B77" s="12" t="inlineStr">
        <is>
          <t>Total cost basis (incl. initial leasing)</t>
        </is>
      </c>
      <c r="C77" s="39">
        <f>C57*(1+C58)+C76</f>
        <v/>
      </c>
    </row>
    <row r="78" ht="15" customHeight="1">
      <c r="B78" s="12" t="inlineStr">
        <is>
          <t>Total equity required</t>
        </is>
      </c>
      <c r="C78" s="39">
        <f>C77-C70</f>
        <v/>
      </c>
    </row>
    <row r="79" ht="15" customHeight="1">
      <c r="B79" s="12" t="inlineStr">
        <is>
          <t>Land value (@ $254.92/SF basis)</t>
        </is>
      </c>
      <c r="C79" s="39">
        <f>C36*254.92</f>
        <v/>
      </c>
      <c r="D79" s="22" t="inlineStr">
        <is>
          <t>67,080 land SF × $254.92 (arm's-length basis)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/>
    <row r="81">
      <c r="B81" s="11" t="inlineStr">
        <is>
          <t>OPERATING CASH FLOW  —  10-year annual (black = formulas; expenses positive, subtracted in subtotals)</t>
        </is>
      </c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3" t="n"/>
    </row>
    <row r="82" ht="15" customHeight="1">
      <c r="B82" s="15" t="inlineStr">
        <is>
          <t>Year</t>
        </is>
      </c>
      <c r="C82" s="16" t="inlineStr">
        <is>
          <t>0 / Acq</t>
        </is>
      </c>
      <c r="D82" s="27" t="n">
        <v>1</v>
      </c>
      <c r="E82" s="27" t="n">
        <v>2</v>
      </c>
      <c r="F82" s="27" t="n">
        <v>3</v>
      </c>
      <c r="G82" s="27" t="n">
        <v>4</v>
      </c>
      <c r="H82" s="27" t="n">
        <v>5</v>
      </c>
      <c r="I82" s="27" t="n">
        <v>6</v>
      </c>
      <c r="J82" s="27" t="n">
        <v>7</v>
      </c>
      <c r="K82" s="27" t="n">
        <v>8</v>
      </c>
      <c r="L82" s="27" t="n">
        <v>9</v>
      </c>
      <c r="M82" s="27" t="n">
        <v>10</v>
      </c>
    </row>
    <row r="83" ht="15" customHeight="1">
      <c r="B83" s="22" t="inlineStr">
        <is>
          <t>Year ending</t>
        </is>
      </c>
      <c r="C83" s="28" t="inlineStr">
        <is>
          <t>At close</t>
        </is>
      </c>
      <c r="D83" s="28" t="inlineStr">
        <is>
          <t>Dec-2027</t>
        </is>
      </c>
      <c r="E83" s="28" t="inlineStr">
        <is>
          <t>Dec-2028</t>
        </is>
      </c>
      <c r="F83" s="28" t="inlineStr">
        <is>
          <t>Dec-2029</t>
        </is>
      </c>
      <c r="G83" s="28" t="inlineStr">
        <is>
          <t>Dec-2030</t>
        </is>
      </c>
      <c r="H83" s="28" t="inlineStr">
        <is>
          <t>Dec-2031</t>
        </is>
      </c>
      <c r="I83" s="28" t="inlineStr">
        <is>
          <t>Dec-2032</t>
        </is>
      </c>
      <c r="J83" s="28" t="inlineStr">
        <is>
          <t>Dec-2033</t>
        </is>
      </c>
      <c r="K83" s="28" t="inlineStr">
        <is>
          <t>Dec-2034</t>
        </is>
      </c>
      <c r="L83" s="28" t="inlineStr">
        <is>
          <t>Dec-2035</t>
        </is>
      </c>
      <c r="M83" s="28" t="inlineStr">
        <is>
          <t>Dec-2036</t>
        </is>
      </c>
    </row>
    <row r="84" ht="15" customHeight="1">
      <c r="B84" s="12" t="inlineStr">
        <is>
          <t>Occupancy</t>
        </is>
      </c>
      <c r="D84" s="41">
        <f>(C35+C42)/2</f>
        <v/>
      </c>
      <c r="E84" s="41">
        <f>C42</f>
        <v/>
      </c>
      <c r="F84" s="41">
        <f>C42</f>
        <v/>
      </c>
      <c r="G84" s="41">
        <f>C42</f>
        <v/>
      </c>
      <c r="H84" s="41">
        <f>C42</f>
        <v/>
      </c>
      <c r="I84" s="41">
        <f>C42</f>
        <v/>
      </c>
      <c r="J84" s="41">
        <f>C42</f>
        <v/>
      </c>
      <c r="K84" s="41">
        <f>C42</f>
        <v/>
      </c>
      <c r="L84" s="41">
        <f>C42</f>
        <v/>
      </c>
      <c r="M84" s="41">
        <f>C42</f>
        <v/>
      </c>
    </row>
    <row r="85" ht="15" customHeight="1">
      <c r="B85" s="12" t="inlineStr">
        <is>
          <t>Leased SF</t>
        </is>
      </c>
      <c r="D85" s="55">
        <f>C34*D84</f>
        <v/>
      </c>
      <c r="E85" s="55">
        <f>C34*E84</f>
        <v/>
      </c>
      <c r="F85" s="55">
        <f>C34*F84</f>
        <v/>
      </c>
      <c r="G85" s="55">
        <f>C34*G84</f>
        <v/>
      </c>
      <c r="H85" s="55">
        <f>C34*H84</f>
        <v/>
      </c>
      <c r="I85" s="55">
        <f>C34*I84</f>
        <v/>
      </c>
      <c r="J85" s="55">
        <f>C34*J84</f>
        <v/>
      </c>
      <c r="K85" s="55">
        <f>C34*K84</f>
        <v/>
      </c>
      <c r="L85" s="55">
        <f>C34*L84</f>
        <v/>
      </c>
      <c r="M85" s="55">
        <f>C34*M84</f>
        <v/>
      </c>
    </row>
    <row r="86" ht="15" customHeight="1">
      <c r="B86" s="15" t="inlineStr">
        <is>
          <t>REVENUE</t>
        </is>
      </c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4" t="n"/>
    </row>
    <row r="87" ht="15" customHeight="1">
      <c r="B87" s="12" t="inlineStr">
        <is>
          <t>Base rental income</t>
        </is>
      </c>
      <c r="D87" s="39">
        <f>D85*C40*(1+C41)^(1-1)</f>
        <v/>
      </c>
      <c r="E87" s="33">
        <f>E85*C40*(1+C41)^(2-1)</f>
        <v/>
      </c>
      <c r="F87" s="33">
        <f>F85*C40*(1+C41)^(3-1)</f>
        <v/>
      </c>
      <c r="G87" s="33">
        <f>G85*C40*(1+C41)^(4-1)</f>
        <v/>
      </c>
      <c r="H87" s="33">
        <f>H85*C40*(1+C41)^(5-1)</f>
        <v/>
      </c>
      <c r="I87" s="33">
        <f>I85*C40*(1+C41)^(6-1)</f>
        <v/>
      </c>
      <c r="J87" s="33">
        <f>J85*C40*(1+C41)^(7-1)</f>
        <v/>
      </c>
      <c r="K87" s="33">
        <f>K85*C40*(1+C41)^(8-1)</f>
        <v/>
      </c>
      <c r="L87" s="33">
        <f>L85*C40*(1+C41)^(9-1)</f>
        <v/>
      </c>
      <c r="M87" s="33">
        <f>M85*C40*(1+C41)^(10-1)</f>
        <v/>
      </c>
    </row>
    <row r="88" ht="15" customHeight="1">
      <c r="B88" s="12" t="inlineStr">
        <is>
          <t>Recoverable opex (gross)</t>
        </is>
      </c>
      <c r="D88" s="33">
        <f>(C45*C37+C46+C47)*(1+C50)^(1-1)</f>
        <v/>
      </c>
      <c r="E88" s="33">
        <f>(C45*C37+C46+C47)*(1+C50)^(2-1)</f>
        <v/>
      </c>
      <c r="F88" s="33">
        <f>(C45*C37+C46+C47)*(1+C50)^(3-1)</f>
        <v/>
      </c>
      <c r="G88" s="33">
        <f>(C45*C37+C46+C47)*(1+C50)^(4-1)</f>
        <v/>
      </c>
      <c r="H88" s="33">
        <f>(C45*C37+C46+C47)*(1+C50)^(5-1)</f>
        <v/>
      </c>
      <c r="I88" s="33">
        <f>(C45*C37+C46+C47)*(1+C50)^(6-1)</f>
        <v/>
      </c>
      <c r="J88" s="33">
        <f>(C45*C37+C46+C47)*(1+C50)^(7-1)</f>
        <v/>
      </c>
      <c r="K88" s="33">
        <f>(C45*C37+C46+C47)*(1+C50)^(8-1)</f>
        <v/>
      </c>
      <c r="L88" s="33">
        <f>(C45*C37+C46+C47)*(1+C50)^(9-1)</f>
        <v/>
      </c>
      <c r="M88" s="33">
        <f>(C45*C37+C46+C47)*(1+C50)^(10-1)</f>
        <v/>
      </c>
    </row>
    <row r="89" ht="15" customHeight="1">
      <c r="B89" s="12" t="inlineStr">
        <is>
          <t>Expense reimbursements (NNN)</t>
        </is>
      </c>
      <c r="D89" s="33">
        <f>D88*D84</f>
        <v/>
      </c>
      <c r="E89" s="33">
        <f>E88*E84</f>
        <v/>
      </c>
      <c r="F89" s="33">
        <f>F88*F84</f>
        <v/>
      </c>
      <c r="G89" s="33">
        <f>G88*G84</f>
        <v/>
      </c>
      <c r="H89" s="33">
        <f>H88*H84</f>
        <v/>
      </c>
      <c r="I89" s="33">
        <f>I88*I84</f>
        <v/>
      </c>
      <c r="J89" s="33">
        <f>J88*J84</f>
        <v/>
      </c>
      <c r="K89" s="33">
        <f>K88*K84</f>
        <v/>
      </c>
      <c r="L89" s="33">
        <f>L88*L84</f>
        <v/>
      </c>
      <c r="M89" s="33">
        <f>M88*M84</f>
        <v/>
      </c>
    </row>
    <row r="90" ht="15" customHeight="1">
      <c r="B90" s="12" t="inlineStr">
        <is>
          <t>Less: credit &amp; collection loss</t>
        </is>
      </c>
      <c r="D90" s="33">
        <f>-D87*C43</f>
        <v/>
      </c>
      <c r="E90" s="33">
        <f>-E87*C43</f>
        <v/>
      </c>
      <c r="F90" s="33">
        <f>-F87*C43</f>
        <v/>
      </c>
      <c r="G90" s="33">
        <f>-G87*C43</f>
        <v/>
      </c>
      <c r="H90" s="33">
        <f>-H87*C43</f>
        <v/>
      </c>
      <c r="I90" s="33">
        <f>-I87*C43</f>
        <v/>
      </c>
      <c r="J90" s="33">
        <f>-J87*C43</f>
        <v/>
      </c>
      <c r="K90" s="33">
        <f>-K87*C43</f>
        <v/>
      </c>
      <c r="L90" s="33">
        <f>-L87*C43</f>
        <v/>
      </c>
      <c r="M90" s="33">
        <f>-M87*C43</f>
        <v/>
      </c>
    </row>
    <row r="91" ht="15" customHeight="1">
      <c r="B91" s="29" t="inlineStr">
        <is>
          <t>Effective Gross Revenue</t>
        </is>
      </c>
      <c r="D91" s="39">
        <f>D87+D89+D90</f>
        <v/>
      </c>
      <c r="E91" s="33">
        <f>E87+E89+E90</f>
        <v/>
      </c>
      <c r="F91" s="33">
        <f>F87+F89+F90</f>
        <v/>
      </c>
      <c r="G91" s="33">
        <f>G87+G89+G90</f>
        <v/>
      </c>
      <c r="H91" s="33">
        <f>H87+H89+H90</f>
        <v/>
      </c>
      <c r="I91" s="33">
        <f>I87+I89+I90</f>
        <v/>
      </c>
      <c r="J91" s="33">
        <f>J87+J89+J90</f>
        <v/>
      </c>
      <c r="K91" s="33">
        <f>K87+K89+K90</f>
        <v/>
      </c>
      <c r="L91" s="33">
        <f>L87+L89+L90</f>
        <v/>
      </c>
      <c r="M91" s="33">
        <f>M87+M89+M90</f>
        <v/>
      </c>
    </row>
    <row r="92" ht="15" customHeight="1">
      <c r="B92" s="15" t="inlineStr">
        <is>
          <t>OPERATING EXPENSES</t>
        </is>
      </c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4" t="n"/>
    </row>
    <row r="93" ht="15" customHeight="1">
      <c r="B93" s="12" t="inlineStr">
        <is>
          <t>Real-estate taxes (reassessed)</t>
        </is>
      </c>
      <c r="D93" s="33">
        <f>C45*C37*(1+C50)^(1-1)</f>
        <v/>
      </c>
      <c r="E93" s="33">
        <f>C45*C37*(1+C50)^(2-1)</f>
        <v/>
      </c>
      <c r="F93" s="33">
        <f>C45*C37*(1+C50)^(3-1)</f>
        <v/>
      </c>
      <c r="G93" s="33">
        <f>C45*C37*(1+C50)^(4-1)</f>
        <v/>
      </c>
      <c r="H93" s="33">
        <f>C45*C37*(1+C50)^(5-1)</f>
        <v/>
      </c>
      <c r="I93" s="33">
        <f>C45*C37*(1+C50)^(6-1)</f>
        <v/>
      </c>
      <c r="J93" s="33">
        <f>C45*C37*(1+C50)^(7-1)</f>
        <v/>
      </c>
      <c r="K93" s="33">
        <f>C45*C37*(1+C50)^(8-1)</f>
        <v/>
      </c>
      <c r="L93" s="33">
        <f>C45*C37*(1+C50)^(9-1)</f>
        <v/>
      </c>
      <c r="M93" s="33">
        <f>C45*C37*(1+C50)^(10-1)</f>
        <v/>
      </c>
    </row>
    <row r="94" ht="15" customHeight="1">
      <c r="B94" s="12" t="inlineStr">
        <is>
          <t>Insurance</t>
        </is>
      </c>
      <c r="D94" s="33">
        <f>C46*(1+C50)^(1-1)</f>
        <v/>
      </c>
      <c r="E94" s="33">
        <f>C46*(1+C50)^(2-1)</f>
        <v/>
      </c>
      <c r="F94" s="33">
        <f>C46*(1+C50)^(3-1)</f>
        <v/>
      </c>
      <c r="G94" s="33">
        <f>C46*(1+C50)^(4-1)</f>
        <v/>
      </c>
      <c r="H94" s="33">
        <f>C46*(1+C50)^(5-1)</f>
        <v/>
      </c>
      <c r="I94" s="33">
        <f>C46*(1+C50)^(6-1)</f>
        <v/>
      </c>
      <c r="J94" s="33">
        <f>C46*(1+C50)^(7-1)</f>
        <v/>
      </c>
      <c r="K94" s="33">
        <f>C46*(1+C50)^(8-1)</f>
        <v/>
      </c>
      <c r="L94" s="33">
        <f>C46*(1+C50)^(9-1)</f>
        <v/>
      </c>
      <c r="M94" s="33">
        <f>C46*(1+C50)^(10-1)</f>
        <v/>
      </c>
    </row>
    <row r="95" ht="15" customHeight="1">
      <c r="B95" s="12" t="inlineStr">
        <is>
          <t>CAM</t>
        </is>
      </c>
      <c r="D95" s="33">
        <f>C47*(1+C50)^(1-1)</f>
        <v/>
      </c>
      <c r="E95" s="33">
        <f>C47*(1+C50)^(2-1)</f>
        <v/>
      </c>
      <c r="F95" s="33">
        <f>C47*(1+C50)^(3-1)</f>
        <v/>
      </c>
      <c r="G95" s="33">
        <f>C47*(1+C50)^(4-1)</f>
        <v/>
      </c>
      <c r="H95" s="33">
        <f>C47*(1+C50)^(5-1)</f>
        <v/>
      </c>
      <c r="I95" s="33">
        <f>C47*(1+C50)^(6-1)</f>
        <v/>
      </c>
      <c r="J95" s="33">
        <f>C47*(1+C50)^(7-1)</f>
        <v/>
      </c>
      <c r="K95" s="33">
        <f>C47*(1+C50)^(8-1)</f>
        <v/>
      </c>
      <c r="L95" s="33">
        <f>C47*(1+C50)^(9-1)</f>
        <v/>
      </c>
      <c r="M95" s="33">
        <f>C47*(1+C50)^(10-1)</f>
        <v/>
      </c>
    </row>
    <row r="96" ht="15" customHeight="1">
      <c r="B96" s="12" t="inlineStr">
        <is>
          <t>Repairs &amp; maintenance</t>
        </is>
      </c>
      <c r="D96" s="33">
        <f>C48*(1+C50)^(1-1)</f>
        <v/>
      </c>
      <c r="E96" s="33">
        <f>C48*(1+C50)^(2-1)</f>
        <v/>
      </c>
      <c r="F96" s="33">
        <f>C48*(1+C50)^(3-1)</f>
        <v/>
      </c>
      <c r="G96" s="33">
        <f>C48*(1+C50)^(4-1)</f>
        <v/>
      </c>
      <c r="H96" s="33">
        <f>C48*(1+C50)^(5-1)</f>
        <v/>
      </c>
      <c r="I96" s="33">
        <f>C48*(1+C50)^(6-1)</f>
        <v/>
      </c>
      <c r="J96" s="33">
        <f>C48*(1+C50)^(7-1)</f>
        <v/>
      </c>
      <c r="K96" s="33">
        <f>C48*(1+C50)^(8-1)</f>
        <v/>
      </c>
      <c r="L96" s="33">
        <f>C48*(1+C50)^(9-1)</f>
        <v/>
      </c>
      <c r="M96" s="33">
        <f>C48*(1+C50)^(10-1)</f>
        <v/>
      </c>
    </row>
    <row r="97" ht="15" customHeight="1">
      <c r="B97" s="12" t="inlineStr">
        <is>
          <t>Management fee</t>
        </is>
      </c>
      <c r="D97" s="33">
        <f>D91*C49</f>
        <v/>
      </c>
      <c r="E97" s="33">
        <f>E91*C49</f>
        <v/>
      </c>
      <c r="F97" s="33">
        <f>F91*C49</f>
        <v/>
      </c>
      <c r="G97" s="33">
        <f>G91*C49</f>
        <v/>
      </c>
      <c r="H97" s="33">
        <f>H91*C49</f>
        <v/>
      </c>
      <c r="I97" s="33">
        <f>I91*C49</f>
        <v/>
      </c>
      <c r="J97" s="33">
        <f>J91*C49</f>
        <v/>
      </c>
      <c r="K97" s="33">
        <f>K91*C49</f>
        <v/>
      </c>
      <c r="L97" s="33">
        <f>L91*C49</f>
        <v/>
      </c>
      <c r="M97" s="33">
        <f>M91*C49</f>
        <v/>
      </c>
    </row>
    <row r="98" ht="15" customHeight="1">
      <c r="B98" s="29" t="inlineStr">
        <is>
          <t>Total operating expenses</t>
        </is>
      </c>
      <c r="D98" s="39">
        <f>SUM(D93:D97)</f>
        <v/>
      </c>
      <c r="E98" s="33">
        <f>SUM(E93:E97)</f>
        <v/>
      </c>
      <c r="F98" s="33">
        <f>SUM(F93:F97)</f>
        <v/>
      </c>
      <c r="G98" s="33">
        <f>SUM(G93:G97)</f>
        <v/>
      </c>
      <c r="H98" s="33">
        <f>SUM(H93:H97)</f>
        <v/>
      </c>
      <c r="I98" s="33">
        <f>SUM(I93:I97)</f>
        <v/>
      </c>
      <c r="J98" s="33">
        <f>SUM(J93:J97)</f>
        <v/>
      </c>
      <c r="K98" s="33">
        <f>SUM(K93:K97)</f>
        <v/>
      </c>
      <c r="L98" s="33">
        <f>SUM(L93:L97)</f>
        <v/>
      </c>
      <c r="M98" s="33">
        <f>SUM(M93:M97)</f>
        <v/>
      </c>
    </row>
    <row r="99" ht="15" customHeight="1">
      <c r="B99" s="29" t="inlineStr">
        <is>
          <t>NET OPERATING INCOME</t>
        </is>
      </c>
      <c r="D99" s="30">
        <f>D91-D98</f>
        <v/>
      </c>
      <c r="E99" s="31">
        <f>E91-E98</f>
        <v/>
      </c>
      <c r="F99" s="31">
        <f>F91-F98</f>
        <v/>
      </c>
      <c r="G99" s="31">
        <f>G91-G98</f>
        <v/>
      </c>
      <c r="H99" s="31">
        <f>H91-H98</f>
        <v/>
      </c>
      <c r="I99" s="31">
        <f>I91-I98</f>
        <v/>
      </c>
      <c r="J99" s="31">
        <f>J91-J98</f>
        <v/>
      </c>
      <c r="K99" s="31">
        <f>K91-K98</f>
        <v/>
      </c>
      <c r="L99" s="31">
        <f>L91-L98</f>
        <v/>
      </c>
      <c r="M99" s="31">
        <f>M91-M98</f>
        <v/>
      </c>
    </row>
    <row r="100" ht="15" customHeight="1">
      <c r="B100" s="15" t="inlineStr">
        <is>
          <t>CAPITAL</t>
        </is>
      </c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4" t="n"/>
    </row>
    <row r="101" ht="15" customHeight="1">
      <c r="B101" s="12" t="inlineStr">
        <is>
          <t>Replacement reserves</t>
        </is>
      </c>
      <c r="D101" s="33">
        <f>C34*C54*(1+C50)^(1-1)</f>
        <v/>
      </c>
      <c r="E101" s="33">
        <f>C34*C54*(1+C50)^(2-1)</f>
        <v/>
      </c>
      <c r="F101" s="33">
        <f>C34*C54*(1+C50)^(3-1)</f>
        <v/>
      </c>
      <c r="G101" s="33">
        <f>C34*C54*(1+C50)^(4-1)</f>
        <v/>
      </c>
      <c r="H101" s="33">
        <f>C34*C54*(1+C50)^(5-1)</f>
        <v/>
      </c>
      <c r="I101" s="33">
        <f>C34*C54*(1+C50)^(6-1)</f>
        <v/>
      </c>
      <c r="J101" s="33">
        <f>C34*C54*(1+C50)^(7-1)</f>
        <v/>
      </c>
      <c r="K101" s="33">
        <f>C34*C54*(1+C50)^(8-1)</f>
        <v/>
      </c>
      <c r="L101" s="33">
        <f>C34*C54*(1+C50)^(9-1)</f>
        <v/>
      </c>
      <c r="M101" s="33">
        <f>C34*C54*(1+C50)^(10-1)</f>
        <v/>
      </c>
    </row>
    <row r="102" ht="15" customHeight="1">
      <c r="B102" s="12" t="inlineStr">
        <is>
          <t>Leasing costs (TI/LC + rollover)</t>
        </is>
      </c>
      <c r="D102" s="33">
        <f>C75*(C52+C53)+C34*C55</f>
        <v/>
      </c>
      <c r="E102" s="33">
        <f>C34*C55*(1+C50)^(2-1)</f>
        <v/>
      </c>
      <c r="F102" s="33">
        <f>C34*C55*(1+C50)^(3-1)</f>
        <v/>
      </c>
      <c r="G102" s="33">
        <f>C34*C55*(1+C50)^(4-1)</f>
        <v/>
      </c>
      <c r="H102" s="33">
        <f>C34*C55*(1+C50)^(5-1)</f>
        <v/>
      </c>
      <c r="I102" s="33">
        <f>C34*C55*(1+C50)^(6-1)</f>
        <v/>
      </c>
      <c r="J102" s="33">
        <f>C34*C55*(1+C50)^(7-1)</f>
        <v/>
      </c>
      <c r="K102" s="33">
        <f>C34*C55*(1+C50)^(8-1)</f>
        <v/>
      </c>
      <c r="L102" s="33">
        <f>C34*C55*(1+C50)^(9-1)</f>
        <v/>
      </c>
      <c r="M102" s="33">
        <f>C34*C55*(1+C50)^(10-1)</f>
        <v/>
      </c>
    </row>
    <row r="103" ht="15" customHeight="1">
      <c r="B103" s="29" t="inlineStr">
        <is>
          <t>Total capital</t>
        </is>
      </c>
      <c r="D103" s="39">
        <f>D101+D102</f>
        <v/>
      </c>
      <c r="E103" s="33">
        <f>E101+E102</f>
        <v/>
      </c>
      <c r="F103" s="33">
        <f>F101+F102</f>
        <v/>
      </c>
      <c r="G103" s="33">
        <f>G101+G102</f>
        <v/>
      </c>
      <c r="H103" s="33">
        <f>H101+H102</f>
        <v/>
      </c>
      <c r="I103" s="33">
        <f>I101+I102</f>
        <v/>
      </c>
      <c r="J103" s="33">
        <f>J101+J102</f>
        <v/>
      </c>
      <c r="K103" s="33">
        <f>K101+K102</f>
        <v/>
      </c>
      <c r="L103" s="33">
        <f>L101+L102</f>
        <v/>
      </c>
      <c r="M103" s="33">
        <f>M101+M102</f>
        <v/>
      </c>
    </row>
    <row r="104" ht="15" customHeight="1">
      <c r="B104" s="29" t="inlineStr">
        <is>
          <t>Unlevered cash flow (before reversion)</t>
        </is>
      </c>
      <c r="C104" s="30">
        <f>-C57*(1+C58)</f>
        <v/>
      </c>
      <c r="D104" s="30">
        <f>D99-D103</f>
        <v/>
      </c>
      <c r="E104" s="31">
        <f>E99-E103</f>
        <v/>
      </c>
      <c r="F104" s="31">
        <f>F99-F103</f>
        <v/>
      </c>
      <c r="G104" s="31">
        <f>G99-G103</f>
        <v/>
      </c>
      <c r="H104" s="31">
        <f>H99-H103</f>
        <v/>
      </c>
      <c r="I104" s="31">
        <f>I99-I103</f>
        <v/>
      </c>
      <c r="J104" s="31">
        <f>J99-J103</f>
        <v/>
      </c>
      <c r="K104" s="31">
        <f>K99-K103</f>
        <v/>
      </c>
      <c r="L104" s="31">
        <f>L99-L103</f>
        <v/>
      </c>
      <c r="M104" s="31">
        <f>M99-M103</f>
        <v/>
      </c>
    </row>
    <row r="105"/>
    <row r="106">
      <c r="B106" s="11" t="inlineStr">
        <is>
          <t>REVERSION, DEBT SERVICE  &amp;  LEVERED CASH FLOW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12" t="inlineStr">
        <is>
          <t>Net sale proceeds (exit year)</t>
        </is>
      </c>
      <c r="D107" s="33">
        <f>IF(1=C66,(D99*(1+C41)/C64)*(1-C65),0)</f>
        <v/>
      </c>
      <c r="E107" s="33">
        <f>IF(2=C66,(E99*(1+C41)/C64)*(1-C65),0)</f>
        <v/>
      </c>
      <c r="F107" s="33">
        <f>IF(3=C66,(F99*(1+C41)/C64)*(1-C65),0)</f>
        <v/>
      </c>
      <c r="G107" s="33">
        <f>IF(4=C66,(G99*(1+C41)/C64)*(1-C65),0)</f>
        <v/>
      </c>
      <c r="H107" s="33">
        <f>IF(5=C66,(H99*(1+C41)/C64)*(1-C65),0)</f>
        <v/>
      </c>
      <c r="I107" s="33">
        <f>IF(6=C66,(I99*(1+C41)/C64)*(1-C65),0)</f>
        <v/>
      </c>
      <c r="J107" s="33">
        <f>IF(7=C66,(J99*(1+C41)/C64)*(1-C65),0)</f>
        <v/>
      </c>
      <c r="K107" s="33">
        <f>IF(8=C66,(K99*(1+C41)/C64)*(1-C65),0)</f>
        <v/>
      </c>
      <c r="L107" s="33">
        <f>IF(9=C66,(L99*(1+C41)/C64)*(1-C65),0)</f>
        <v/>
      </c>
      <c r="M107" s="33">
        <f>IF(10=C66,(M99*(1+C41)/C64)*(1-C65),0)</f>
        <v/>
      </c>
    </row>
    <row r="108" ht="15" customHeight="1">
      <c r="B108" s="29" t="inlineStr">
        <is>
          <t>UNLEVERED PROJECT CASH FLOW</t>
        </is>
      </c>
      <c r="C108" s="30">
        <f>C104</f>
        <v/>
      </c>
      <c r="D108" s="30">
        <f>IF(1&lt;=C66,D104,0)+D107</f>
        <v/>
      </c>
      <c r="E108" s="31">
        <f>IF(2&lt;=C66,E104,0)+E107</f>
        <v/>
      </c>
      <c r="F108" s="31">
        <f>IF(3&lt;=C66,F104,0)+F107</f>
        <v/>
      </c>
      <c r="G108" s="31">
        <f>IF(4&lt;=C66,G104,0)+G107</f>
        <v/>
      </c>
      <c r="H108" s="31">
        <f>IF(5&lt;=C66,H104,0)+H107</f>
        <v/>
      </c>
      <c r="I108" s="31">
        <f>IF(6&lt;=C66,I104,0)+I107</f>
        <v/>
      </c>
      <c r="J108" s="31">
        <f>IF(7&lt;=C66,J104,0)+J107</f>
        <v/>
      </c>
      <c r="K108" s="31">
        <f>IF(8&lt;=C66,K104,0)+K107</f>
        <v/>
      </c>
      <c r="L108" s="31">
        <f>IF(9&lt;=C66,L104,0)+L107</f>
        <v/>
      </c>
      <c r="M108" s="31">
        <f>IF(10&lt;=C66,M104,0)+M107</f>
        <v/>
      </c>
    </row>
    <row r="109" ht="15" customHeight="1">
      <c r="B109" s="12" t="inlineStr">
        <is>
          <t>Debt service</t>
        </is>
      </c>
      <c r="D109" s="33">
        <f>IF(1&lt;=C66,-C73,0)</f>
        <v/>
      </c>
      <c r="E109" s="33">
        <f>IF(2&lt;=C66,-C73,0)</f>
        <v/>
      </c>
      <c r="F109" s="33">
        <f>IF(3&lt;=C66,-C73,0)</f>
        <v/>
      </c>
      <c r="G109" s="33">
        <f>IF(4&lt;=C66,-C73,0)</f>
        <v/>
      </c>
      <c r="H109" s="33">
        <f>IF(5&lt;=C66,-C73,0)</f>
        <v/>
      </c>
      <c r="I109" s="33">
        <f>IF(6&lt;=C66,-C73,0)</f>
        <v/>
      </c>
      <c r="J109" s="33">
        <f>IF(7&lt;=C66,-C73,0)</f>
        <v/>
      </c>
      <c r="K109" s="33">
        <f>IF(8&lt;=C66,-C73,0)</f>
        <v/>
      </c>
      <c r="L109" s="33">
        <f>IF(9&lt;=C66,-C73,0)</f>
        <v/>
      </c>
      <c r="M109" s="33">
        <f>IF(10&lt;=C66,-C73,0)</f>
        <v/>
      </c>
    </row>
    <row r="110" ht="15" customHeight="1">
      <c r="B110" s="12" t="inlineStr">
        <is>
          <t>Loan balance (year-end)</t>
        </is>
      </c>
      <c r="D110" s="33">
        <f>C70*(1+C71)^(12*1)-(C73/12)*((1+C71)^(12*1)-1)/C71</f>
        <v/>
      </c>
      <c r="E110" s="33">
        <f>C70*(1+C71)^(12*2)-(C73/12)*((1+C71)^(12*2)-1)/C71</f>
        <v/>
      </c>
      <c r="F110" s="33">
        <f>C70*(1+C71)^(12*3)-(C73/12)*((1+C71)^(12*3)-1)/C71</f>
        <v/>
      </c>
      <c r="G110" s="33">
        <f>C70*(1+C71)^(12*4)-(C73/12)*((1+C71)^(12*4)-1)/C71</f>
        <v/>
      </c>
      <c r="H110" s="33">
        <f>C70*(1+C71)^(12*5)-(C73/12)*((1+C71)^(12*5)-1)/C71</f>
        <v/>
      </c>
      <c r="I110" s="33">
        <f>C70*(1+C71)^(12*6)-(C73/12)*((1+C71)^(12*6)-1)/C71</f>
        <v/>
      </c>
      <c r="J110" s="33">
        <f>C70*(1+C71)^(12*7)-(C73/12)*((1+C71)^(12*7)-1)/C71</f>
        <v/>
      </c>
      <c r="K110" s="33">
        <f>C70*(1+C71)^(12*8)-(C73/12)*((1+C71)^(12*8)-1)/C71</f>
        <v/>
      </c>
      <c r="L110" s="33">
        <f>C70*(1+C71)^(12*9)-(C73/12)*((1+C71)^(12*9)-1)/C71</f>
        <v/>
      </c>
      <c r="M110" s="33">
        <f>C70*(1+C71)^(12*10)-(C73/12)*((1+C71)^(12*10)-1)/C71</f>
        <v/>
      </c>
    </row>
    <row r="111" ht="15" customHeight="1">
      <c r="B111" s="12" t="inlineStr">
        <is>
          <t>DSCR (NOI ÷ DS)</t>
        </is>
      </c>
      <c r="D111" s="42">
        <f>D99/C73</f>
        <v/>
      </c>
      <c r="E111" s="42">
        <f>E99/C73</f>
        <v/>
      </c>
      <c r="F111" s="42">
        <f>F99/C73</f>
        <v/>
      </c>
      <c r="G111" s="42">
        <f>G99/C73</f>
        <v/>
      </c>
      <c r="H111" s="42">
        <f>H99/C73</f>
        <v/>
      </c>
      <c r="I111" s="42">
        <f>I99/C73</f>
        <v/>
      </c>
      <c r="J111" s="42">
        <f>J99/C73</f>
        <v/>
      </c>
      <c r="K111" s="42">
        <f>K99/C73</f>
        <v/>
      </c>
      <c r="L111" s="42">
        <f>L99/C73</f>
        <v/>
      </c>
      <c r="M111" s="42">
        <f>M99/C73</f>
        <v/>
      </c>
    </row>
    <row r="112" ht="15" customHeight="1">
      <c r="B112" s="12" t="inlineStr">
        <is>
          <t>Debt yield (NOI ÷ loan)</t>
        </is>
      </c>
      <c r="D112" s="41">
        <f>D99/C70</f>
        <v/>
      </c>
      <c r="E112" s="41">
        <f>E99/C70</f>
        <v/>
      </c>
      <c r="F112" s="41">
        <f>F99/C70</f>
        <v/>
      </c>
      <c r="G112" s="41">
        <f>G99/C70</f>
        <v/>
      </c>
      <c r="H112" s="41">
        <f>H99/C70</f>
        <v/>
      </c>
      <c r="I112" s="41">
        <f>I99/C70</f>
        <v/>
      </c>
      <c r="J112" s="41">
        <f>J99/C70</f>
        <v/>
      </c>
      <c r="K112" s="41">
        <f>K99/C70</f>
        <v/>
      </c>
      <c r="L112" s="41">
        <f>L99/C70</f>
        <v/>
      </c>
      <c r="M112" s="41">
        <f>M99/C70</f>
        <v/>
      </c>
    </row>
    <row r="113" ht="15" customHeight="1">
      <c r="B113" s="29" t="inlineStr">
        <is>
          <t>LEVERED CASH FLOW (equity)</t>
        </is>
      </c>
      <c r="C113" s="30">
        <f>-C74</f>
        <v/>
      </c>
      <c r="D113" s="30">
        <f>IF(1&lt;=C66,D104-C73,0)+IF(1=C66,D107-D110,0)</f>
        <v/>
      </c>
      <c r="E113" s="31">
        <f>IF(2&lt;=C66,E104-C73,0)+IF(2=C66,E107-E110,0)</f>
        <v/>
      </c>
      <c r="F113" s="31">
        <f>IF(3&lt;=C66,F104-C73,0)+IF(3=C66,F107-F110,0)</f>
        <v/>
      </c>
      <c r="G113" s="31">
        <f>IF(4&lt;=C66,G104-C73,0)+IF(4=C66,G107-G110,0)</f>
        <v/>
      </c>
      <c r="H113" s="31">
        <f>IF(5&lt;=C66,H104-C73,0)+IF(5=C66,H107-H110,0)</f>
        <v/>
      </c>
      <c r="I113" s="31">
        <f>IF(6&lt;=C66,I104-C73,0)+IF(6=C66,I107-I110,0)</f>
        <v/>
      </c>
      <c r="J113" s="31">
        <f>IF(7&lt;=C66,J104-C73,0)+IF(7=C66,J107-J110,0)</f>
        <v/>
      </c>
      <c r="K113" s="31">
        <f>IF(8&lt;=C66,K104-C73,0)+IF(8=C66,K107-K110,0)</f>
        <v/>
      </c>
      <c r="L113" s="31">
        <f>IF(9&lt;=C66,L104-C73,0)+IF(9=C66,L107-L110,0)</f>
        <v/>
      </c>
      <c r="M113" s="31">
        <f>IF(10&lt;=C66,M104-C73,0)+IF(10=C66,M107-M110,0)</f>
        <v/>
      </c>
    </row>
    <row r="114"/>
    <row r="115">
      <c r="B115" s="11" t="inlineStr">
        <is>
          <t>RETURNS  —  unlevered &amp; levered</t>
        </is>
      </c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3" t="n"/>
    </row>
    <row r="116" ht="15" customHeight="1">
      <c r="B116" s="12" t="inlineStr">
        <is>
          <t>Unlevered IRR</t>
        </is>
      </c>
      <c r="C116" s="41">
        <f>IRR(C108:M108)</f>
        <v/>
      </c>
    </row>
    <row r="117" ht="15" customHeight="1">
      <c r="B117" s="12" t="inlineStr">
        <is>
          <t>Unlevered equity multiple</t>
        </is>
      </c>
      <c r="C117" s="42">
        <f>SUM(D108:M108)/-C108</f>
        <v/>
      </c>
    </row>
    <row r="118" ht="15" customHeight="1">
      <c r="B118" s="12" t="inlineStr">
        <is>
          <t>Unlevered NPV @ discount rate</t>
        </is>
      </c>
      <c r="C118" s="39">
        <f>C108+NPV(C67,D108:M108)</f>
        <v/>
      </c>
    </row>
    <row r="119" ht="15" customHeight="1">
      <c r="B119" s="12" t="inlineStr">
        <is>
          <t>Levered IRR</t>
        </is>
      </c>
      <c r="C119" s="41">
        <f>IRR(C113:M113)</f>
        <v/>
      </c>
    </row>
    <row r="120" ht="15" customHeight="1">
      <c r="B120" s="12" t="inlineStr">
        <is>
          <t>Levered equity multiple</t>
        </is>
      </c>
      <c r="C120" s="42">
        <f>SUM(D113:M113)/C74</f>
        <v/>
      </c>
    </row>
    <row r="121" ht="15" customHeight="1">
      <c r="B121" s="12" t="inlineStr">
        <is>
          <t>In-place NOI (Yr-1 $, 83.17% occ)</t>
        </is>
      </c>
      <c r="C121" s="39">
        <f>(C34*C35*C39)+(C45*C37+C46+C47)*C35-(C34*C35*C39)*C43-(C45*C37+C46+C47+C48)-((C34*C35*C39)+(C45*C37+C46+C47)*C35-(C34*C35*C39)*C43)*C49</f>
        <v/>
      </c>
    </row>
    <row r="122" ht="15" customHeight="1">
      <c r="B122" s="12" t="inlineStr">
        <is>
          <t>Going-in cap (in-place NOI ÷ price)</t>
        </is>
      </c>
      <c r="C122" s="38">
        <f>C121/C57</f>
        <v/>
      </c>
    </row>
    <row r="123" ht="15" customHeight="1">
      <c r="B123" s="12" t="inlineStr">
        <is>
          <t>Stabilized NOI (Yr 2)</t>
        </is>
      </c>
      <c r="C123" s="39">
        <f>E99</f>
        <v/>
      </c>
    </row>
    <row r="124" ht="15" customHeight="1">
      <c r="B124" s="12" t="inlineStr">
        <is>
          <t>Stabilized value (÷ exit cap)</t>
        </is>
      </c>
      <c r="C124" s="39">
        <f>C123/C64</f>
        <v/>
      </c>
    </row>
    <row r="125" ht="15" customHeight="1">
      <c r="B125" s="12" t="inlineStr">
        <is>
          <t>Stabilized yield on cost</t>
        </is>
      </c>
      <c r="C125" s="41">
        <f>C123/C77</f>
        <v/>
      </c>
    </row>
    <row r="126" ht="15" customHeight="1">
      <c r="B126" s="12" t="inlineStr">
        <is>
          <t>Value created (lease-up)</t>
        </is>
      </c>
      <c r="C126" s="39">
        <f>C124-C77</f>
        <v/>
      </c>
    </row>
    <row r="127" ht="15" customHeight="1">
      <c r="B127" s="12" t="inlineStr">
        <is>
          <t>Year-1 DSCR</t>
        </is>
      </c>
      <c r="C127" s="42">
        <f>D99/C73</f>
        <v/>
      </c>
    </row>
    <row r="128" ht="15" customHeight="1">
      <c r="B128" s="12" t="inlineStr">
        <is>
          <t>Year-1 debt yield</t>
        </is>
      </c>
      <c r="C128" s="41">
        <f>D99/C70</f>
        <v/>
      </c>
    </row>
    <row r="129"/>
    <row r="130">
      <c r="B130" s="11" t="inlineStr">
        <is>
          <t>PROFIT &amp; LOSS STATEMENT  —  In-place (Yr 1) vs. Stabilized (Yr 2)</t>
        </is>
      </c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3" t="n"/>
    </row>
    <row r="131" ht="15" customHeight="1">
      <c r="B131" s="15" t="inlineStr">
        <is>
          <t>$ / year</t>
        </is>
      </c>
      <c r="F131" s="67" t="inlineStr">
        <is>
          <t>In-place (Yr 1)</t>
        </is>
      </c>
      <c r="G131" s="14" t="n"/>
      <c r="H131" s="67" t="inlineStr">
        <is>
          <t>Stabilized (Yr 2)</t>
        </is>
      </c>
      <c r="I131" s="14" t="n"/>
      <c r="J131" s="67" t="inlineStr">
        <is>
          <t>Per SF (stab.)</t>
        </is>
      </c>
      <c r="K131" s="13" t="n"/>
      <c r="L131" s="13" t="n"/>
      <c r="M131" s="14" t="n"/>
    </row>
    <row r="132" ht="15" customHeight="1">
      <c r="B132" s="40" t="inlineStr">
        <is>
          <t>Base rental income</t>
        </is>
      </c>
      <c r="F132" s="31">
        <f>D87</f>
        <v/>
      </c>
      <c r="G132" s="14" t="n"/>
      <c r="H132" s="30">
        <f>E87</f>
        <v/>
      </c>
      <c r="I132" s="14" t="n"/>
      <c r="J132" s="68">
        <f>H132/C34</f>
        <v/>
      </c>
      <c r="K132" s="13" t="n"/>
      <c r="L132" s="13" t="n"/>
      <c r="M132" s="14" t="n"/>
    </row>
    <row r="133" ht="15" customHeight="1">
      <c r="B133" s="12" t="inlineStr">
        <is>
          <t>Expense reimbursements</t>
        </is>
      </c>
      <c r="F133" s="33">
        <f>D89</f>
        <v/>
      </c>
      <c r="G133" s="14" t="n"/>
      <c r="H133" s="33">
        <f>E89</f>
        <v/>
      </c>
      <c r="I133" s="14" t="n"/>
      <c r="J133" s="56">
        <f>H133/C34</f>
        <v/>
      </c>
      <c r="K133" s="13" t="n"/>
      <c r="L133" s="13" t="n"/>
      <c r="M133" s="14" t="n"/>
    </row>
    <row r="134" ht="15" customHeight="1">
      <c r="B134" s="12" t="inlineStr">
        <is>
          <t>Less: credit loss</t>
        </is>
      </c>
      <c r="F134" s="33">
        <f>D90</f>
        <v/>
      </c>
      <c r="G134" s="14" t="n"/>
      <c r="H134" s="33">
        <f>E90</f>
        <v/>
      </c>
      <c r="I134" s="14" t="n"/>
      <c r="J134" s="56">
        <f>H134/C34</f>
        <v/>
      </c>
      <c r="K134" s="13" t="n"/>
      <c r="L134" s="13" t="n"/>
      <c r="M134" s="14" t="n"/>
    </row>
    <row r="135" ht="15" customHeight="1">
      <c r="B135" s="29" t="inlineStr">
        <is>
          <t>Effective Gross Income</t>
        </is>
      </c>
      <c r="F135" s="31">
        <f>D91</f>
        <v/>
      </c>
      <c r="G135" s="14" t="n"/>
      <c r="H135" s="30">
        <f>E91</f>
        <v/>
      </c>
      <c r="I135" s="14" t="n"/>
      <c r="J135" s="68">
        <f>H135/C34</f>
        <v/>
      </c>
      <c r="K135" s="13" t="n"/>
      <c r="L135" s="13" t="n"/>
      <c r="M135" s="14" t="n"/>
    </row>
    <row r="136" ht="15" customHeight="1">
      <c r="B136" s="12" t="inlineStr">
        <is>
          <t>Real-estate taxes</t>
        </is>
      </c>
      <c r="F136" s="33">
        <f>-D93</f>
        <v/>
      </c>
      <c r="G136" s="14" t="n"/>
      <c r="H136" s="33">
        <f>-E93</f>
        <v/>
      </c>
      <c r="I136" s="14" t="n"/>
      <c r="J136" s="56">
        <f>H136/C34</f>
        <v/>
      </c>
      <c r="K136" s="13" t="n"/>
      <c r="L136" s="13" t="n"/>
      <c r="M136" s="14" t="n"/>
    </row>
    <row r="137" ht="15" customHeight="1">
      <c r="B137" s="12" t="inlineStr">
        <is>
          <t>Insurance</t>
        </is>
      </c>
      <c r="F137" s="33">
        <f>-D94</f>
        <v/>
      </c>
      <c r="G137" s="14" t="n"/>
      <c r="H137" s="33">
        <f>-E94</f>
        <v/>
      </c>
      <c r="I137" s="14" t="n"/>
      <c r="J137" s="56">
        <f>H137/C34</f>
        <v/>
      </c>
      <c r="K137" s="13" t="n"/>
      <c r="L137" s="13" t="n"/>
      <c r="M137" s="14" t="n"/>
    </row>
    <row r="138" ht="15" customHeight="1">
      <c r="B138" s="12" t="inlineStr">
        <is>
          <t>CAM</t>
        </is>
      </c>
      <c r="F138" s="33">
        <f>-D95</f>
        <v/>
      </c>
      <c r="G138" s="14" t="n"/>
      <c r="H138" s="33">
        <f>-E95</f>
        <v/>
      </c>
      <c r="I138" s="14" t="n"/>
      <c r="J138" s="56">
        <f>H138/C34</f>
        <v/>
      </c>
      <c r="K138" s="13" t="n"/>
      <c r="L138" s="13" t="n"/>
      <c r="M138" s="14" t="n"/>
    </row>
    <row r="139" ht="15" customHeight="1">
      <c r="B139" s="12" t="inlineStr">
        <is>
          <t>Repairs &amp; maintenance</t>
        </is>
      </c>
      <c r="F139" s="33">
        <f>-D96</f>
        <v/>
      </c>
      <c r="G139" s="14" t="n"/>
      <c r="H139" s="33">
        <f>-E96</f>
        <v/>
      </c>
      <c r="I139" s="14" t="n"/>
      <c r="J139" s="56">
        <f>H139/C34</f>
        <v/>
      </c>
      <c r="K139" s="13" t="n"/>
      <c r="L139" s="13" t="n"/>
      <c r="M139" s="14" t="n"/>
    </row>
    <row r="140" ht="15" customHeight="1">
      <c r="B140" s="12" t="inlineStr">
        <is>
          <t>Management fee</t>
        </is>
      </c>
      <c r="F140" s="33">
        <f>-D97</f>
        <v/>
      </c>
      <c r="G140" s="14" t="n"/>
      <c r="H140" s="33">
        <f>-E97</f>
        <v/>
      </c>
      <c r="I140" s="14" t="n"/>
      <c r="J140" s="56">
        <f>H140/C34</f>
        <v/>
      </c>
      <c r="K140" s="13" t="n"/>
      <c r="L140" s="13" t="n"/>
      <c r="M140" s="14" t="n"/>
    </row>
    <row r="141" ht="15" customHeight="1">
      <c r="B141" s="29" t="inlineStr">
        <is>
          <t>Net Operating Income</t>
        </is>
      </c>
      <c r="F141" s="31">
        <f>D99</f>
        <v/>
      </c>
      <c r="G141" s="14" t="n"/>
      <c r="H141" s="30">
        <f>E99</f>
        <v/>
      </c>
      <c r="I141" s="14" t="n"/>
      <c r="J141" s="68">
        <f>H141/C34</f>
        <v/>
      </c>
      <c r="K141" s="13" t="n"/>
      <c r="L141" s="13" t="n"/>
      <c r="M141" s="14" t="n"/>
    </row>
    <row r="142" ht="15" customHeight="1">
      <c r="B142" s="12" t="inlineStr">
        <is>
          <t>Replacement reserves</t>
        </is>
      </c>
      <c r="F142" s="33">
        <f>-D101</f>
        <v/>
      </c>
      <c r="G142" s="14" t="n"/>
      <c r="H142" s="33">
        <f>-E101</f>
        <v/>
      </c>
      <c r="I142" s="14" t="n"/>
      <c r="J142" s="56">
        <f>H142/C34</f>
        <v/>
      </c>
      <c r="K142" s="13" t="n"/>
      <c r="L142" s="13" t="n"/>
      <c r="M142" s="14" t="n"/>
    </row>
    <row r="143" ht="15" customHeight="1">
      <c r="B143" s="12" t="inlineStr">
        <is>
          <t>Leasing costs</t>
        </is>
      </c>
      <c r="F143" s="33">
        <f>-D102</f>
        <v/>
      </c>
      <c r="G143" s="14" t="n"/>
      <c r="H143" s="33">
        <f>-E102</f>
        <v/>
      </c>
      <c r="I143" s="14" t="n"/>
      <c r="J143" s="56">
        <f>H143/C34</f>
        <v/>
      </c>
      <c r="K143" s="13" t="n"/>
      <c r="L143" s="13" t="n"/>
      <c r="M143" s="14" t="n"/>
    </row>
    <row r="144" ht="15" customHeight="1">
      <c r="B144" s="29" t="inlineStr">
        <is>
          <t>Cash Flow Before Debt</t>
        </is>
      </c>
      <c r="F144" s="31">
        <f>D104</f>
        <v/>
      </c>
      <c r="G144" s="14" t="n"/>
      <c r="H144" s="30">
        <f>E104</f>
        <v/>
      </c>
      <c r="I144" s="14" t="n"/>
      <c r="J144" s="68">
        <f>H144/C34</f>
        <v/>
      </c>
      <c r="K144" s="13" t="n"/>
      <c r="L144" s="13" t="n"/>
      <c r="M144" s="14" t="n"/>
    </row>
    <row r="145" ht="15" customHeight="1">
      <c r="B145" s="12" t="inlineStr">
        <is>
          <t>Debt service</t>
        </is>
      </c>
      <c r="F145" s="33">
        <f>-C73</f>
        <v/>
      </c>
      <c r="G145" s="14" t="n"/>
      <c r="H145" s="33">
        <f>-C73</f>
        <v/>
      </c>
      <c r="I145" s="14" t="n"/>
      <c r="J145" s="56">
        <f>H145/C34</f>
        <v/>
      </c>
      <c r="K145" s="13" t="n"/>
      <c r="L145" s="13" t="n"/>
      <c r="M145" s="14" t="n"/>
    </row>
    <row r="146" ht="15" customHeight="1">
      <c r="B146" s="29" t="inlineStr">
        <is>
          <t>Cash Flow After Debt (levered)</t>
        </is>
      </c>
      <c r="F146" s="30">
        <f>F144-C73</f>
        <v/>
      </c>
      <c r="G146" s="14" t="n"/>
      <c r="H146" s="30">
        <f>H144-C73</f>
        <v/>
      </c>
      <c r="I146" s="14" t="n"/>
      <c r="J146" s="68">
        <f>H146/C34</f>
        <v/>
      </c>
      <c r="K146" s="13" t="n"/>
      <c r="L146" s="13" t="n"/>
      <c r="M146" s="14" t="n"/>
    </row>
  </sheetData>
  <mergeCells count="147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F133:G133"/>
    <mergeCell ref="H22:J22"/>
    <mergeCell ref="K27:M27"/>
    <mergeCell ref="H133:I133"/>
    <mergeCell ref="H19:J19"/>
    <mergeCell ref="F142:G142"/>
    <mergeCell ref="H142:I142"/>
    <mergeCell ref="B92:M92"/>
    <mergeCell ref="F135:G135"/>
    <mergeCell ref="F144:G144"/>
    <mergeCell ref="J146:M146"/>
    <mergeCell ref="H144:I144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J134:M134"/>
    <mergeCell ref="D74:M74"/>
    <mergeCell ref="F146:G146"/>
    <mergeCell ref="H146:I146"/>
    <mergeCell ref="J139:M139"/>
    <mergeCell ref="D55:M55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D58:M58"/>
    <mergeCell ref="D8:M8"/>
    <mergeCell ref="F137:G137"/>
    <mergeCell ref="H137:I137"/>
    <mergeCell ref="D42:M42"/>
    <mergeCell ref="J145:M145"/>
    <mergeCell ref="F139:G139"/>
    <mergeCell ref="D35:M35"/>
    <mergeCell ref="D50:M50"/>
    <mergeCell ref="D27:E27"/>
    <mergeCell ref="D59:M59"/>
    <mergeCell ref="D34:M34"/>
    <mergeCell ref="J131:M131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B100:M100"/>
    <mergeCell ref="K24:M24"/>
    <mergeCell ref="D30:E30"/>
    <mergeCell ref="D61:M61"/>
    <mergeCell ref="J132:M132"/>
    <mergeCell ref="D70:M70"/>
    <mergeCell ref="D48:M48"/>
    <mergeCell ref="B115:M115"/>
    <mergeCell ref="K21:M21"/>
    <mergeCell ref="K26:M26"/>
    <mergeCell ref="H141:I141"/>
    <mergeCell ref="H135:I135"/>
    <mergeCell ref="B130:M130"/>
    <mergeCell ref="B86:M86"/>
    <mergeCell ref="F132:G132"/>
    <mergeCell ref="J143:M143"/>
    <mergeCell ref="H134:I134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31:G131"/>
    <mergeCell ref="H131:I131"/>
    <mergeCell ref="F140:G140"/>
    <mergeCell ref="B106:M106"/>
    <mergeCell ref="K30:M30"/>
    <mergeCell ref="H140:I140"/>
    <mergeCell ref="D11:M11"/>
    <mergeCell ref="B81:M81"/>
    <mergeCell ref="D66:M66"/>
    <mergeCell ref="D53:M53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SHADOW-ANCHOR PAD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2501–2519 E Sunrise Blvd   |   Folio 49-42-36-12-0060   |   REAL SUB LLC (Publix) — fee owner, NOT a seller · 36,822 SF · built 2011 · valued off the rent it produces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BCPA / ⚠️ REPORTED (Publix is not a seller — modeled as a mark-to-market case)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58" t="inlineStr">
        <is>
          <t>Record owner</t>
        </is>
      </c>
      <c r="D5" s="58" t="inlineStr">
        <is>
          <t>REAL SUB LLC (Publix Super Markets real-estate entity, Lakeland FL)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Status</t>
        </is>
      </c>
      <c r="D6" s="12" t="inlineStr">
        <is>
          <t>Publix bought the FEE under its own store 03/2025 — NOT a seller; modeled as assumption case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58" t="inlineStr">
        <is>
          <t>Building</t>
        </is>
      </c>
      <c r="D7" s="58" t="inlineStr">
        <is>
          <t>36,822 SF (Publix ~34,622 SF + Starbucks drive-thru pad ~2,200 SF)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58" t="inlineStr">
        <is>
          <t>Land</t>
        </is>
      </c>
      <c r="D8" s="58" t="inlineStr">
        <is>
          <t>109,791 SF  (2.520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58" t="inlineStr">
        <is>
          <t>Year built</t>
        </is>
      </c>
      <c r="D9" s="58" t="inlineStr">
        <is>
          <t>2011 (eff. 2012)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58" t="inlineStr">
        <is>
          <t>Last sale</t>
        </is>
      </c>
      <c r="D10" s="58" t="inlineStr">
        <is>
          <t>03/14/2025  —  $25,000,000  (Trustee's Deed)  =  $679/SF bldg · $228/SF land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58" t="inlineStr">
        <is>
          <t>2025 real-estate taxes</t>
        </is>
      </c>
      <c r="D11" s="58" t="inlineStr">
        <is>
          <t>$208,467   (2024: $217,404)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Rent economics (market)</t>
        </is>
      </c>
      <c r="D12" s="12" t="inlineStr">
        <is>
          <t>Publix ~$13/SF NNN (newer FL store); Starbucks pad ~$60/SF NNN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Cap rates (market)</t>
        </is>
      </c>
      <c r="D13" s="12" t="inlineStr">
        <is>
          <t>Grocery-anchored 6.0–6.75%; Starbucks pad 4.75–5.5%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Covered-land insight</t>
        </is>
      </c>
      <c r="D14" s="12" t="inlineStr">
        <is>
          <t>Publix paid $25M (land value) vs. ~$9–10M rent-supported income value — the land premium IS the covered-land thesis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RENT DETAIL  —  🔶 market mark-to-market (Publix is fee-owned; no contract rent flows today)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Tenant / component</t>
        </is>
      </c>
      <c r="C17" s="13" t="n"/>
      <c r="D17" s="14" t="n"/>
      <c r="E17" s="15" t="inlineStr">
        <is>
          <t>Category</t>
        </is>
      </c>
      <c r="F17" s="14" t="n"/>
      <c r="G17" s="16" t="inlineStr">
        <is>
          <t>SF</t>
        </is>
      </c>
      <c r="H17" s="16" t="inlineStr">
        <is>
          <t>$/SF NNN</t>
        </is>
      </c>
      <c r="I17" s="16" t="inlineStr">
        <is>
          <t>Annual rent</t>
        </is>
      </c>
      <c r="J17" s="13" t="n"/>
      <c r="K17" s="14" t="n"/>
      <c r="L17" s="15" t="inlineStr">
        <is>
          <t>Note</t>
        </is>
      </c>
      <c r="M17" s="14" t="n"/>
    </row>
    <row r="18" ht="15" customHeight="1">
      <c r="B18" s="12" t="inlineStr">
        <is>
          <t>Publix Super Market</t>
        </is>
      </c>
      <c r="C18" s="13" t="n"/>
      <c r="D18" s="14" t="n"/>
      <c r="E18" s="12" t="inlineStr">
        <is>
          <t>Grocery anchor (credit)</t>
        </is>
      </c>
      <c r="F18" s="14" t="n"/>
      <c r="G18" s="55" t="n">
        <v>34622</v>
      </c>
      <c r="H18" s="60" t="n">
        <v>13</v>
      </c>
      <c r="I18" s="33">
        <f>G18*H18</f>
        <v/>
      </c>
      <c r="J18" s="13" t="n"/>
      <c r="K18" s="14" t="n"/>
      <c r="L18" s="12" t="inlineStr">
        <is>
          <t>~$13/SF NNN newer store</t>
        </is>
      </c>
      <c r="M18" s="14" t="n"/>
    </row>
    <row r="19" ht="15" customHeight="1">
      <c r="B19" s="12" t="inlineStr">
        <is>
          <t>Starbucks (drive-thru pad)</t>
        </is>
      </c>
      <c r="C19" s="13" t="n"/>
      <c r="D19" s="14" t="n"/>
      <c r="E19" s="12" t="inlineStr">
        <is>
          <t>QSR pad (credit)</t>
        </is>
      </c>
      <c r="F19" s="14" t="n"/>
      <c r="G19" s="55" t="n">
        <v>2200</v>
      </c>
      <c r="H19" s="60" t="n">
        <v>60</v>
      </c>
      <c r="I19" s="33">
        <f>G19*H19</f>
        <v/>
      </c>
      <c r="J19" s="13" t="n"/>
      <c r="K19" s="14" t="n"/>
      <c r="L19" s="12" t="inlineStr">
        <is>
          <t>~$60/SF NNN pad</t>
        </is>
      </c>
      <c r="M19" s="14" t="n"/>
    </row>
    <row r="20" ht="15" customHeight="1">
      <c r="B20" s="19" t="inlineStr">
        <is>
          <t>TOTAL / WTD AVG</t>
        </is>
      </c>
      <c r="C20" s="13" t="n"/>
      <c r="D20" s="14" t="n"/>
      <c r="E20" s="63" t="inlineStr"/>
      <c r="F20" s="14" t="n"/>
      <c r="G20" s="53">
        <f>SUM(G18:G19)</f>
        <v/>
      </c>
      <c r="H20" s="64">
        <f>IFERROR(SUM(I18:I19)/SUM(G18:G19),0)</f>
        <v/>
      </c>
      <c r="I20" s="20">
        <f>SUM(I18:I19)</f>
        <v/>
      </c>
      <c r="J20" s="13" t="n"/>
      <c r="K20" s="14" t="n"/>
      <c r="L20" s="19" t="inlineStr">
        <is>
          <t>100% occ · credit tenants</t>
        </is>
      </c>
      <c r="M20" s="14" t="n"/>
    </row>
    <row r="21"/>
    <row r="22">
      <c r="B22" s="11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5" t="inlineStr">
        <is>
          <t>Property &amp; revenue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Rentable SF</t>
        </is>
      </c>
      <c r="C24" s="65" t="n">
        <v>36822</v>
      </c>
      <c r="D24" s="22" t="inlineStr">
        <is>
          <t>✅ BCPA (36,822 SF)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In-place occupancy</t>
        </is>
      </c>
      <c r="C25" s="35" t="n">
        <v>1</v>
      </c>
      <c r="D25" s="22" t="inlineStr">
        <is>
          <t>✅ fully occupied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Stabilized occupancy</t>
        </is>
      </c>
      <c r="C26" s="35" t="n">
        <v>1</v>
      </c>
      <c r="D26" s="22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Market rent ($/SF NNN)</t>
        </is>
      </c>
      <c r="C27" s="60" t="n">
        <v>15.81</v>
      </c>
      <c r="D27" s="22" t="inlineStr">
        <is>
          <t>🔶 blended $13 grocery + $60 pad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Rent growth</t>
        </is>
      </c>
      <c r="C28" s="35" t="n">
        <v>0.02</v>
      </c>
      <c r="D28" s="22" t="inlineStr">
        <is>
          <t>🔶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Credit &amp; collection loss</t>
        </is>
      </c>
      <c r="C29" s="35" t="n">
        <v>0.01</v>
      </c>
      <c r="D29" s="22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Effective millage</t>
        </is>
      </c>
      <c r="C30" s="34" t="n">
        <v>0.0191</v>
      </c>
      <c r="D30" s="22" t="inlineStr">
        <is>
          <t>✅ 2025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5" t="inlineStr">
        <is>
          <t>Operating expenses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Insurance ($/yr)</t>
        </is>
      </c>
      <c r="C32" s="66" t="n">
        <v>45000</v>
      </c>
      <c r="D32" s="22" t="inlineStr">
        <is>
          <t>🔶 AE flood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CAM ($/yr, recoverable)</t>
        </is>
      </c>
      <c r="C33" s="66" t="n">
        <v>35000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Repairs &amp; maintenance ($/yr)</t>
        </is>
      </c>
      <c r="C34" s="66" t="n">
        <v>25000</v>
      </c>
      <c r="D34" s="22" t="inlineStr">
        <is>
          <t>🔶 non-recoverable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Management fee (% EGR)</t>
        </is>
      </c>
      <c r="C35" s="35" t="n">
        <v>0.02</v>
      </c>
      <c r="D35" s="22" t="inlineStr">
        <is>
          <t>🔶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Expense growth</t>
        </is>
      </c>
      <c r="C36" s="35" t="n">
        <v>0.03</v>
      </c>
      <c r="D36" s="22" t="inlineStr">
        <is>
          <t>🔶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5" t="inlineStr">
        <is>
          <t>Capital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Tenant improvements ($/SF)</t>
        </is>
      </c>
      <c r="C38" s="60" t="n">
        <v>0</v>
      </c>
      <c r="D38" s="22" t="inlineStr">
        <is>
          <t>🔶 on leased-up SF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Leasing commissions ($/SF)</t>
        </is>
      </c>
      <c r="C39" s="60" t="n">
        <v>0</v>
      </c>
      <c r="D39" s="22" t="inlineStr">
        <is>
          <t>🔶 on leased-up 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Replacement reserves ($/SF/yr)</t>
        </is>
      </c>
      <c r="C40" s="60" t="n">
        <v>0.15</v>
      </c>
      <c r="D40" s="22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Rollover leasing reserve ($/SF/yr)</t>
        </is>
      </c>
      <c r="C41" s="60" t="n">
        <v>0.15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5" t="inlineStr">
        <is>
          <t>Acquisition &amp; financing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Purchase price / basis</t>
        </is>
      </c>
      <c r="C43" s="66" t="n">
        <v>9700000</v>
      </c>
      <c r="D43" s="22" t="inlineStr">
        <is>
          <t>🔶 income value (rent ÷ 6% cap); land basis $25M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Closing &amp; acq costs (% price)</t>
        </is>
      </c>
      <c r="C44" s="35" t="n">
        <v>0.02</v>
      </c>
      <c r="D44" s="22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Senior loan LTV</t>
        </is>
      </c>
      <c r="C45" s="35" t="n">
        <v>0.55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Senior loan rate</t>
        </is>
      </c>
      <c r="C46" s="34" t="n">
        <v>0.0625</v>
      </c>
      <c r="D46" s="22" t="inlineStr">
        <is>
          <t>🔶 mid-2026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Senior loan amortization (yrs)</t>
        </is>
      </c>
      <c r="C47" s="36" t="n">
        <v>30</v>
      </c>
      <c r="D47" s="22" t="inlineStr">
        <is>
          <t>🔶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5" t="inlineStr">
        <is>
          <t>Valuation &amp; hold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Going-in cap</t>
        </is>
      </c>
      <c r="C49" s="34" t="n">
        <v>0.06</v>
      </c>
      <c r="D49" s="22" t="inlineStr">
        <is>
          <t>🔶 grocery-anchored 6.0%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Exit / reversion cap</t>
        </is>
      </c>
      <c r="C50" s="34" t="n">
        <v>0.0625</v>
      </c>
      <c r="D50" s="22" t="inlineStr">
        <is>
          <t>🔶 6.25%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Cost of sale at exit</t>
        </is>
      </c>
      <c r="C51" s="35" t="n">
        <v>0.02</v>
      </c>
      <c r="D51" s="22" t="inlineStr">
        <is>
          <t>🔶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Hold period (yrs)</t>
        </is>
      </c>
      <c r="C52" s="36" t="n">
        <v>5</v>
      </c>
      <c r="D52" s="22" t="inlineStr">
        <is>
          <t>🔶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Discount rate (NPV)</t>
        </is>
      </c>
      <c r="C53" s="35" t="n">
        <v>0.07000000000000001</v>
      </c>
      <c r="D53" s="22" t="inlineStr">
        <is>
          <t>🔶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DERIVED VALUES  &amp;  DEBT SIZING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2" t="inlineStr">
        <is>
          <t>Senior loan amount</t>
        </is>
      </c>
      <c r="C56" s="39">
        <f>C43*C45</f>
        <v/>
      </c>
      <c r="D56" s="22" t="inlineStr">
        <is>
          <t>price × LTV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Monthly rate</t>
        </is>
      </c>
      <c r="C57" s="38">
        <f>C46/12</f>
        <v/>
      </c>
    </row>
    <row r="58" ht="15" customHeight="1">
      <c r="B58" s="12" t="inlineStr">
        <is>
          <t>Annual debt service</t>
        </is>
      </c>
      <c r="C58" s="39">
        <f>C56*(C57/(1-(1+C57)^(-C47*12)))*12</f>
        <v/>
      </c>
    </row>
    <row r="59" ht="15" customHeight="1">
      <c r="B59" s="12" t="inlineStr">
        <is>
          <t>Equity at acquisition</t>
        </is>
      </c>
      <c r="C59" s="39">
        <f>C43*(1+C44)-C56</f>
        <v/>
      </c>
    </row>
    <row r="60" ht="15" customHeight="1">
      <c r="B60" s="12" t="inlineStr">
        <is>
          <t>Absorption SF (lease-up)</t>
        </is>
      </c>
      <c r="C60" s="55">
        <f>C24*(C26-C25)</f>
        <v/>
      </c>
    </row>
    <row r="61" ht="15" customHeight="1">
      <c r="B61" s="12" t="inlineStr">
        <is>
          <t>Initial leasing capital</t>
        </is>
      </c>
      <c r="C61" s="39">
        <f>C60*(C38+C39)</f>
        <v/>
      </c>
    </row>
    <row r="62" ht="15" customHeight="1">
      <c r="B62" s="12" t="inlineStr">
        <is>
          <t>Total cost basis</t>
        </is>
      </c>
      <c r="C62" s="39">
        <f>C43*(1+C44)+C61</f>
        <v/>
      </c>
    </row>
    <row r="63" ht="15" customHeight="1">
      <c r="B63" s="12" t="inlineStr">
        <is>
          <t>Total equity required</t>
        </is>
      </c>
      <c r="C63" s="39">
        <f>C62-C56</f>
        <v/>
      </c>
    </row>
    <row r="64" ht="15" customHeight="1">
      <c r="B64" s="12" t="inlineStr">
        <is>
          <t>Income value (Yr-1 NOI ÷ going-in cap)</t>
        </is>
      </c>
      <c r="C64" s="39">
        <f>D85/C49</f>
        <v/>
      </c>
      <c r="D64" s="22" t="inlineStr">
        <is>
          <t>computed below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Land value (@ infill $/SF)</t>
        </is>
      </c>
      <c r="C65" s="39">
        <f>109791*227.75</f>
        <v/>
      </c>
      <c r="D65" s="22" t="inlineStr">
        <is>
          <t>🔶 109,791 land SF × $227.75/SF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/>
    <row r="67">
      <c r="B67" s="11" t="inlineStr">
        <is>
          <t>OPERATING CASH FLOW  —  10-year annual</t>
        </is>
      </c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3" t="n"/>
    </row>
    <row r="68" ht="15" customHeight="1">
      <c r="B68" s="15" t="inlineStr">
        <is>
          <t>Year</t>
        </is>
      </c>
      <c r="C68" s="16" t="inlineStr">
        <is>
          <t>0 / Acq</t>
        </is>
      </c>
      <c r="D68" s="27" t="n">
        <v>1</v>
      </c>
      <c r="E68" s="27" t="n">
        <v>2</v>
      </c>
      <c r="F68" s="27" t="n">
        <v>3</v>
      </c>
      <c r="G68" s="27" t="n">
        <v>4</v>
      </c>
      <c r="H68" s="27" t="n">
        <v>5</v>
      </c>
      <c r="I68" s="27" t="n">
        <v>6</v>
      </c>
      <c r="J68" s="27" t="n">
        <v>7</v>
      </c>
      <c r="K68" s="27" t="n">
        <v>8</v>
      </c>
      <c r="L68" s="27" t="n">
        <v>9</v>
      </c>
      <c r="M68" s="27" t="n">
        <v>10</v>
      </c>
    </row>
    <row r="69" ht="15" customHeight="1">
      <c r="B69" s="22" t="inlineStr">
        <is>
          <t>Year ending</t>
        </is>
      </c>
      <c r="C69" s="28" t="inlineStr">
        <is>
          <t>At close</t>
        </is>
      </c>
      <c r="D69" s="28" t="inlineStr">
        <is>
          <t>Dec-2027</t>
        </is>
      </c>
      <c r="E69" s="28" t="inlineStr">
        <is>
          <t>Dec-2028</t>
        </is>
      </c>
      <c r="F69" s="28" t="inlineStr">
        <is>
          <t>Dec-2029</t>
        </is>
      </c>
      <c r="G69" s="28" t="inlineStr">
        <is>
          <t>Dec-2030</t>
        </is>
      </c>
      <c r="H69" s="28" t="inlineStr">
        <is>
          <t>Dec-2031</t>
        </is>
      </c>
      <c r="I69" s="28" t="inlineStr">
        <is>
          <t>Dec-2032</t>
        </is>
      </c>
      <c r="J69" s="28" t="inlineStr">
        <is>
          <t>Dec-2033</t>
        </is>
      </c>
      <c r="K69" s="28" t="inlineStr">
        <is>
          <t>Dec-2034</t>
        </is>
      </c>
      <c r="L69" s="28" t="inlineStr">
        <is>
          <t>Dec-2035</t>
        </is>
      </c>
      <c r="M69" s="28" t="inlineStr">
        <is>
          <t>Dec-2036</t>
        </is>
      </c>
    </row>
    <row r="70" ht="15" customHeight="1">
      <c r="B70" s="12" t="inlineStr">
        <is>
          <t>Occupancy</t>
        </is>
      </c>
      <c r="D70" s="41">
        <f>(C25+C26)/2</f>
        <v/>
      </c>
      <c r="E70" s="41">
        <f>C26</f>
        <v/>
      </c>
      <c r="F70" s="41">
        <f>C26</f>
        <v/>
      </c>
      <c r="G70" s="41">
        <f>C26</f>
        <v/>
      </c>
      <c r="H70" s="41">
        <f>C26</f>
        <v/>
      </c>
      <c r="I70" s="41">
        <f>C26</f>
        <v/>
      </c>
      <c r="J70" s="41">
        <f>C26</f>
        <v/>
      </c>
      <c r="K70" s="41">
        <f>C26</f>
        <v/>
      </c>
      <c r="L70" s="41">
        <f>C26</f>
        <v/>
      </c>
      <c r="M70" s="41">
        <f>C26</f>
        <v/>
      </c>
    </row>
    <row r="71" ht="15" customHeight="1">
      <c r="B71" s="12" t="inlineStr">
        <is>
          <t>Leased SF</t>
        </is>
      </c>
      <c r="D71" s="55">
        <f>C24*D70</f>
        <v/>
      </c>
      <c r="E71" s="55">
        <f>C24*E70</f>
        <v/>
      </c>
      <c r="F71" s="55">
        <f>C24*F70</f>
        <v/>
      </c>
      <c r="G71" s="55">
        <f>C24*G70</f>
        <v/>
      </c>
      <c r="H71" s="55">
        <f>C24*H70</f>
        <v/>
      </c>
      <c r="I71" s="55">
        <f>C24*I70</f>
        <v/>
      </c>
      <c r="J71" s="55">
        <f>C24*J70</f>
        <v/>
      </c>
      <c r="K71" s="55">
        <f>C24*K70</f>
        <v/>
      </c>
      <c r="L71" s="55">
        <f>C24*L70</f>
        <v/>
      </c>
      <c r="M71" s="55">
        <f>C24*M70</f>
        <v/>
      </c>
    </row>
    <row r="72" ht="15" customHeight="1">
      <c r="B72" s="15" t="inlineStr">
        <is>
          <t>REVENUE</t>
        </is>
      </c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4" t="n"/>
    </row>
    <row r="73" ht="15" customHeight="1">
      <c r="B73" s="12" t="inlineStr">
        <is>
          <t>Base rental income</t>
        </is>
      </c>
      <c r="D73" s="39">
        <f>D71*C27*(1+C28)^(1-1)</f>
        <v/>
      </c>
      <c r="E73" s="33">
        <f>E71*C27*(1+C28)^(2-1)</f>
        <v/>
      </c>
      <c r="F73" s="33">
        <f>F71*C27*(1+C28)^(3-1)</f>
        <v/>
      </c>
      <c r="G73" s="33">
        <f>G71*C27*(1+C28)^(4-1)</f>
        <v/>
      </c>
      <c r="H73" s="33">
        <f>H71*C27*(1+C28)^(5-1)</f>
        <v/>
      </c>
      <c r="I73" s="33">
        <f>I71*C27*(1+C28)^(6-1)</f>
        <v/>
      </c>
      <c r="J73" s="33">
        <f>J71*C27*(1+C28)^(7-1)</f>
        <v/>
      </c>
      <c r="K73" s="33">
        <f>K71*C27*(1+C28)^(8-1)</f>
        <v/>
      </c>
      <c r="L73" s="33">
        <f>L71*C27*(1+C28)^(9-1)</f>
        <v/>
      </c>
      <c r="M73" s="33">
        <f>M71*C27*(1+C28)^(10-1)</f>
        <v/>
      </c>
    </row>
    <row r="74" ht="15" customHeight="1">
      <c r="B74" s="12" t="inlineStr">
        <is>
          <t>Recoverable opex (gross)</t>
        </is>
      </c>
      <c r="D74" s="33">
        <f>(C43*C30+C32+C33)*(1+C36)^(1-1)</f>
        <v/>
      </c>
      <c r="E74" s="33">
        <f>(C43*C30+C32+C33)*(1+C36)^(2-1)</f>
        <v/>
      </c>
      <c r="F74" s="33">
        <f>(C43*C30+C32+C33)*(1+C36)^(3-1)</f>
        <v/>
      </c>
      <c r="G74" s="33">
        <f>(C43*C30+C32+C33)*(1+C36)^(4-1)</f>
        <v/>
      </c>
      <c r="H74" s="33">
        <f>(C43*C30+C32+C33)*(1+C36)^(5-1)</f>
        <v/>
      </c>
      <c r="I74" s="33">
        <f>(C43*C30+C32+C33)*(1+C36)^(6-1)</f>
        <v/>
      </c>
      <c r="J74" s="33">
        <f>(C43*C30+C32+C33)*(1+C36)^(7-1)</f>
        <v/>
      </c>
      <c r="K74" s="33">
        <f>(C43*C30+C32+C33)*(1+C36)^(8-1)</f>
        <v/>
      </c>
      <c r="L74" s="33">
        <f>(C43*C30+C32+C33)*(1+C36)^(9-1)</f>
        <v/>
      </c>
      <c r="M74" s="33">
        <f>(C43*C30+C32+C33)*(1+C36)^(10-1)</f>
        <v/>
      </c>
    </row>
    <row r="75" ht="15" customHeight="1">
      <c r="B75" s="12" t="inlineStr">
        <is>
          <t>Expense reimbursements (NNN)</t>
        </is>
      </c>
      <c r="D75" s="33">
        <f>D74*D70</f>
        <v/>
      </c>
      <c r="E75" s="33">
        <f>E74*E70</f>
        <v/>
      </c>
      <c r="F75" s="33">
        <f>F74*F70</f>
        <v/>
      </c>
      <c r="G75" s="33">
        <f>G74*G70</f>
        <v/>
      </c>
      <c r="H75" s="33">
        <f>H74*H70</f>
        <v/>
      </c>
      <c r="I75" s="33">
        <f>I74*I70</f>
        <v/>
      </c>
      <c r="J75" s="33">
        <f>J74*J70</f>
        <v/>
      </c>
      <c r="K75" s="33">
        <f>K74*K70</f>
        <v/>
      </c>
      <c r="L75" s="33">
        <f>L74*L70</f>
        <v/>
      </c>
      <c r="M75" s="33">
        <f>M74*M70</f>
        <v/>
      </c>
    </row>
    <row r="76" ht="15" customHeight="1">
      <c r="B76" s="12" t="inlineStr">
        <is>
          <t>Less: credit &amp; collection loss</t>
        </is>
      </c>
      <c r="D76" s="33">
        <f>-D73*C29</f>
        <v/>
      </c>
      <c r="E76" s="33">
        <f>-E73*C29</f>
        <v/>
      </c>
      <c r="F76" s="33">
        <f>-F73*C29</f>
        <v/>
      </c>
      <c r="G76" s="33">
        <f>-G73*C29</f>
        <v/>
      </c>
      <c r="H76" s="33">
        <f>-H73*C29</f>
        <v/>
      </c>
      <c r="I76" s="33">
        <f>-I73*C29</f>
        <v/>
      </c>
      <c r="J76" s="33">
        <f>-J73*C29</f>
        <v/>
      </c>
      <c r="K76" s="33">
        <f>-K73*C29</f>
        <v/>
      </c>
      <c r="L76" s="33">
        <f>-L73*C29</f>
        <v/>
      </c>
      <c r="M76" s="33">
        <f>-M73*C29</f>
        <v/>
      </c>
    </row>
    <row r="77" ht="15" customHeight="1">
      <c r="B77" s="29" t="inlineStr">
        <is>
          <t>Effective Gross Revenue</t>
        </is>
      </c>
      <c r="D77" s="39">
        <f>D73+D75+D76</f>
        <v/>
      </c>
      <c r="E77" s="33">
        <f>E73+E75+E76</f>
        <v/>
      </c>
      <c r="F77" s="33">
        <f>F73+F75+F76</f>
        <v/>
      </c>
      <c r="G77" s="33">
        <f>G73+G75+G76</f>
        <v/>
      </c>
      <c r="H77" s="33">
        <f>H73+H75+H76</f>
        <v/>
      </c>
      <c r="I77" s="33">
        <f>I73+I75+I76</f>
        <v/>
      </c>
      <c r="J77" s="33">
        <f>J73+J75+J76</f>
        <v/>
      </c>
      <c r="K77" s="33">
        <f>K73+K75+K76</f>
        <v/>
      </c>
      <c r="L77" s="33">
        <f>L73+L75+L76</f>
        <v/>
      </c>
      <c r="M77" s="33">
        <f>M73+M75+M76</f>
        <v/>
      </c>
    </row>
    <row r="78" ht="15" customHeight="1">
      <c r="B78" s="15" t="inlineStr">
        <is>
          <t>OPERATING EXPENSES</t>
        </is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4" t="n"/>
    </row>
    <row r="79" ht="15" customHeight="1">
      <c r="B79" s="12" t="inlineStr">
        <is>
          <t>Real-estate taxes (reassessed)</t>
        </is>
      </c>
      <c r="D79" s="33">
        <f>C43*C30*(1+C36)^(1-1)</f>
        <v/>
      </c>
      <c r="E79" s="33">
        <f>C43*C30*(1+C36)^(2-1)</f>
        <v/>
      </c>
      <c r="F79" s="33">
        <f>C43*C30*(1+C36)^(3-1)</f>
        <v/>
      </c>
      <c r="G79" s="33">
        <f>C43*C30*(1+C36)^(4-1)</f>
        <v/>
      </c>
      <c r="H79" s="33">
        <f>C43*C30*(1+C36)^(5-1)</f>
        <v/>
      </c>
      <c r="I79" s="33">
        <f>C43*C30*(1+C36)^(6-1)</f>
        <v/>
      </c>
      <c r="J79" s="33">
        <f>C43*C30*(1+C36)^(7-1)</f>
        <v/>
      </c>
      <c r="K79" s="33">
        <f>C43*C30*(1+C36)^(8-1)</f>
        <v/>
      </c>
      <c r="L79" s="33">
        <f>C43*C30*(1+C36)^(9-1)</f>
        <v/>
      </c>
      <c r="M79" s="33">
        <f>C43*C30*(1+C36)^(10-1)</f>
        <v/>
      </c>
    </row>
    <row r="80" ht="15" customHeight="1">
      <c r="B80" s="12" t="inlineStr">
        <is>
          <t>Insurance</t>
        </is>
      </c>
      <c r="D80" s="33">
        <f>C32*(1+C36)^(1-1)</f>
        <v/>
      </c>
      <c r="E80" s="33">
        <f>C32*(1+C36)^(2-1)</f>
        <v/>
      </c>
      <c r="F80" s="33">
        <f>C32*(1+C36)^(3-1)</f>
        <v/>
      </c>
      <c r="G80" s="33">
        <f>C32*(1+C36)^(4-1)</f>
        <v/>
      </c>
      <c r="H80" s="33">
        <f>C32*(1+C36)^(5-1)</f>
        <v/>
      </c>
      <c r="I80" s="33">
        <f>C32*(1+C36)^(6-1)</f>
        <v/>
      </c>
      <c r="J80" s="33">
        <f>C32*(1+C36)^(7-1)</f>
        <v/>
      </c>
      <c r="K80" s="33">
        <f>C32*(1+C36)^(8-1)</f>
        <v/>
      </c>
      <c r="L80" s="33">
        <f>C32*(1+C36)^(9-1)</f>
        <v/>
      </c>
      <c r="M80" s="33">
        <f>C32*(1+C36)^(10-1)</f>
        <v/>
      </c>
    </row>
    <row r="81" ht="15" customHeight="1">
      <c r="B81" s="12" t="inlineStr">
        <is>
          <t>CAM</t>
        </is>
      </c>
      <c r="D81" s="33">
        <f>C33*(1+C36)^(1-1)</f>
        <v/>
      </c>
      <c r="E81" s="33">
        <f>C33*(1+C36)^(2-1)</f>
        <v/>
      </c>
      <c r="F81" s="33">
        <f>C33*(1+C36)^(3-1)</f>
        <v/>
      </c>
      <c r="G81" s="33">
        <f>C33*(1+C36)^(4-1)</f>
        <v/>
      </c>
      <c r="H81" s="33">
        <f>C33*(1+C36)^(5-1)</f>
        <v/>
      </c>
      <c r="I81" s="33">
        <f>C33*(1+C36)^(6-1)</f>
        <v/>
      </c>
      <c r="J81" s="33">
        <f>C33*(1+C36)^(7-1)</f>
        <v/>
      </c>
      <c r="K81" s="33">
        <f>C33*(1+C36)^(8-1)</f>
        <v/>
      </c>
      <c r="L81" s="33">
        <f>C33*(1+C36)^(9-1)</f>
        <v/>
      </c>
      <c r="M81" s="33">
        <f>C33*(1+C36)^(10-1)</f>
        <v/>
      </c>
    </row>
    <row r="82" ht="15" customHeight="1">
      <c r="B82" s="12" t="inlineStr">
        <is>
          <t>Repairs &amp; maintenance</t>
        </is>
      </c>
      <c r="D82" s="33">
        <f>C34*(1+C36)^(1-1)</f>
        <v/>
      </c>
      <c r="E82" s="33">
        <f>C34*(1+C36)^(2-1)</f>
        <v/>
      </c>
      <c r="F82" s="33">
        <f>C34*(1+C36)^(3-1)</f>
        <v/>
      </c>
      <c r="G82" s="33">
        <f>C34*(1+C36)^(4-1)</f>
        <v/>
      </c>
      <c r="H82" s="33">
        <f>C34*(1+C36)^(5-1)</f>
        <v/>
      </c>
      <c r="I82" s="33">
        <f>C34*(1+C36)^(6-1)</f>
        <v/>
      </c>
      <c r="J82" s="33">
        <f>C34*(1+C36)^(7-1)</f>
        <v/>
      </c>
      <c r="K82" s="33">
        <f>C34*(1+C36)^(8-1)</f>
        <v/>
      </c>
      <c r="L82" s="33">
        <f>C34*(1+C36)^(9-1)</f>
        <v/>
      </c>
      <c r="M82" s="33">
        <f>C34*(1+C36)^(10-1)</f>
        <v/>
      </c>
    </row>
    <row r="83" ht="15" customHeight="1">
      <c r="B83" s="12" t="inlineStr">
        <is>
          <t>Management fee</t>
        </is>
      </c>
      <c r="D83" s="33">
        <f>D77*C35</f>
        <v/>
      </c>
      <c r="E83" s="33">
        <f>E77*C35</f>
        <v/>
      </c>
      <c r="F83" s="33">
        <f>F77*C35</f>
        <v/>
      </c>
      <c r="G83" s="33">
        <f>G77*C35</f>
        <v/>
      </c>
      <c r="H83" s="33">
        <f>H77*C35</f>
        <v/>
      </c>
      <c r="I83" s="33">
        <f>I77*C35</f>
        <v/>
      </c>
      <c r="J83" s="33">
        <f>J77*C35</f>
        <v/>
      </c>
      <c r="K83" s="33">
        <f>K77*C35</f>
        <v/>
      </c>
      <c r="L83" s="33">
        <f>L77*C35</f>
        <v/>
      </c>
      <c r="M83" s="33">
        <f>M77*C35</f>
        <v/>
      </c>
    </row>
    <row r="84" ht="15" customHeight="1">
      <c r="B84" s="29" t="inlineStr">
        <is>
          <t>Total operating expenses</t>
        </is>
      </c>
      <c r="D84" s="39">
        <f>SUM(D79:D83)</f>
        <v/>
      </c>
      <c r="E84" s="33">
        <f>SUM(E79:E83)</f>
        <v/>
      </c>
      <c r="F84" s="33">
        <f>SUM(F79:F83)</f>
        <v/>
      </c>
      <c r="G84" s="33">
        <f>SUM(G79:G83)</f>
        <v/>
      </c>
      <c r="H84" s="33">
        <f>SUM(H79:H83)</f>
        <v/>
      </c>
      <c r="I84" s="33">
        <f>SUM(I79:I83)</f>
        <v/>
      </c>
      <c r="J84" s="33">
        <f>SUM(J79:J83)</f>
        <v/>
      </c>
      <c r="K84" s="33">
        <f>SUM(K79:K83)</f>
        <v/>
      </c>
      <c r="L84" s="33">
        <f>SUM(L79:L83)</f>
        <v/>
      </c>
      <c r="M84" s="33">
        <f>SUM(M79:M83)</f>
        <v/>
      </c>
    </row>
    <row r="85" ht="15" customHeight="1">
      <c r="B85" s="29" t="inlineStr">
        <is>
          <t>NET OPERATING INCOME</t>
        </is>
      </c>
      <c r="D85" s="30">
        <f>D77-D84</f>
        <v/>
      </c>
      <c r="E85" s="31">
        <f>E77-E84</f>
        <v/>
      </c>
      <c r="F85" s="31">
        <f>F77-F84</f>
        <v/>
      </c>
      <c r="G85" s="31">
        <f>G77-G84</f>
        <v/>
      </c>
      <c r="H85" s="31">
        <f>H77-H84</f>
        <v/>
      </c>
      <c r="I85" s="31">
        <f>I77-I84</f>
        <v/>
      </c>
      <c r="J85" s="31">
        <f>J77-J84</f>
        <v/>
      </c>
      <c r="K85" s="31">
        <f>K77-K84</f>
        <v/>
      </c>
      <c r="L85" s="31">
        <f>L77-L84</f>
        <v/>
      </c>
      <c r="M85" s="31">
        <f>M77-M84</f>
        <v/>
      </c>
    </row>
    <row r="86" ht="15" customHeight="1">
      <c r="B86" s="15" t="inlineStr">
        <is>
          <t>CAPITAL</t>
        </is>
      </c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4" t="n"/>
    </row>
    <row r="87" ht="15" customHeight="1">
      <c r="B87" s="12" t="inlineStr">
        <is>
          <t>Replacement reserves</t>
        </is>
      </c>
      <c r="D87" s="33">
        <f>C24*C40*(1+C36)^(1-1)</f>
        <v/>
      </c>
      <c r="E87" s="33">
        <f>C24*C40*(1+C36)^(2-1)</f>
        <v/>
      </c>
      <c r="F87" s="33">
        <f>C24*C40*(1+C36)^(3-1)</f>
        <v/>
      </c>
      <c r="G87" s="33">
        <f>C24*C40*(1+C36)^(4-1)</f>
        <v/>
      </c>
      <c r="H87" s="33">
        <f>C24*C40*(1+C36)^(5-1)</f>
        <v/>
      </c>
      <c r="I87" s="33">
        <f>C24*C40*(1+C36)^(6-1)</f>
        <v/>
      </c>
      <c r="J87" s="33">
        <f>C24*C40*(1+C36)^(7-1)</f>
        <v/>
      </c>
      <c r="K87" s="33">
        <f>C24*C40*(1+C36)^(8-1)</f>
        <v/>
      </c>
      <c r="L87" s="33">
        <f>C24*C40*(1+C36)^(9-1)</f>
        <v/>
      </c>
      <c r="M87" s="33">
        <f>C24*C40*(1+C36)^(10-1)</f>
        <v/>
      </c>
    </row>
    <row r="88" ht="15" customHeight="1">
      <c r="B88" s="12" t="inlineStr">
        <is>
          <t>Leasing costs</t>
        </is>
      </c>
      <c r="D88" s="33">
        <f>C60*(C38+C39)+C24*C41</f>
        <v/>
      </c>
      <c r="E88" s="33">
        <f>C24*C41*(1+C36)^(2-1)</f>
        <v/>
      </c>
      <c r="F88" s="33">
        <f>C24*C41*(1+C36)^(3-1)</f>
        <v/>
      </c>
      <c r="G88" s="33">
        <f>C24*C41*(1+C36)^(4-1)</f>
        <v/>
      </c>
      <c r="H88" s="33">
        <f>C24*C41*(1+C36)^(5-1)</f>
        <v/>
      </c>
      <c r="I88" s="33">
        <f>C24*C41*(1+C36)^(6-1)</f>
        <v/>
      </c>
      <c r="J88" s="33">
        <f>C24*C41*(1+C36)^(7-1)</f>
        <v/>
      </c>
      <c r="K88" s="33">
        <f>C24*C41*(1+C36)^(8-1)</f>
        <v/>
      </c>
      <c r="L88" s="33">
        <f>C24*C41*(1+C36)^(9-1)</f>
        <v/>
      </c>
      <c r="M88" s="33">
        <f>C24*C41*(1+C36)^(10-1)</f>
        <v/>
      </c>
    </row>
    <row r="89" ht="15" customHeight="1">
      <c r="B89" s="29" t="inlineStr">
        <is>
          <t>Total capital</t>
        </is>
      </c>
      <c r="D89" s="39">
        <f>D87+D88</f>
        <v/>
      </c>
      <c r="E89" s="33">
        <f>E87+E88</f>
        <v/>
      </c>
      <c r="F89" s="33">
        <f>F87+F88</f>
        <v/>
      </c>
      <c r="G89" s="33">
        <f>G87+G88</f>
        <v/>
      </c>
      <c r="H89" s="33">
        <f>H87+H88</f>
        <v/>
      </c>
      <c r="I89" s="33">
        <f>I87+I88</f>
        <v/>
      </c>
      <c r="J89" s="33">
        <f>J87+J88</f>
        <v/>
      </c>
      <c r="K89" s="33">
        <f>K87+K88</f>
        <v/>
      </c>
      <c r="L89" s="33">
        <f>L87+L88</f>
        <v/>
      </c>
      <c r="M89" s="33">
        <f>M87+M88</f>
        <v/>
      </c>
    </row>
    <row r="90" ht="15" customHeight="1">
      <c r="B90" s="29" t="inlineStr">
        <is>
          <t>Unlevered cash flow (before reversion)</t>
        </is>
      </c>
      <c r="C90" s="30">
        <f>-C43*(1+C44)</f>
        <v/>
      </c>
      <c r="D90" s="30">
        <f>D85-D89</f>
        <v/>
      </c>
      <c r="E90" s="31">
        <f>E85-E89</f>
        <v/>
      </c>
      <c r="F90" s="31">
        <f>F85-F89</f>
        <v/>
      </c>
      <c r="G90" s="31">
        <f>G85-G89</f>
        <v/>
      </c>
      <c r="H90" s="31">
        <f>H85-H89</f>
        <v/>
      </c>
      <c r="I90" s="31">
        <f>I85-I89</f>
        <v/>
      </c>
      <c r="J90" s="31">
        <f>J85-J89</f>
        <v/>
      </c>
      <c r="K90" s="31">
        <f>K85-K89</f>
        <v/>
      </c>
      <c r="L90" s="31">
        <f>L85-L89</f>
        <v/>
      </c>
      <c r="M90" s="31">
        <f>M85-M89</f>
        <v/>
      </c>
    </row>
    <row r="91"/>
    <row r="92">
      <c r="B92" s="11" t="inlineStr">
        <is>
          <t>REVERSION, DEBT SERVICE  &amp;  LEVERED CASH FLOW</t>
        </is>
      </c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3" t="n"/>
    </row>
    <row r="93" ht="15" customHeight="1">
      <c r="B93" s="12" t="inlineStr">
        <is>
          <t>Net sale proceeds (exit year)</t>
        </is>
      </c>
      <c r="D93" s="33">
        <f>IF(1=C52,(D85*(1+C28)/C50)*(1-C51),0)</f>
        <v/>
      </c>
      <c r="E93" s="33">
        <f>IF(2=C52,(E85*(1+C28)/C50)*(1-C51),0)</f>
        <v/>
      </c>
      <c r="F93" s="33">
        <f>IF(3=C52,(F85*(1+C28)/C50)*(1-C51),0)</f>
        <v/>
      </c>
      <c r="G93" s="33">
        <f>IF(4=C52,(G85*(1+C28)/C50)*(1-C51),0)</f>
        <v/>
      </c>
      <c r="H93" s="33">
        <f>IF(5=C52,(H85*(1+C28)/C50)*(1-C51),0)</f>
        <v/>
      </c>
      <c r="I93" s="33">
        <f>IF(6=C52,(I85*(1+C28)/C50)*(1-C51),0)</f>
        <v/>
      </c>
      <c r="J93" s="33">
        <f>IF(7=C52,(J85*(1+C28)/C50)*(1-C51),0)</f>
        <v/>
      </c>
      <c r="K93" s="33">
        <f>IF(8=C52,(K85*(1+C28)/C50)*(1-C51),0)</f>
        <v/>
      </c>
      <c r="L93" s="33">
        <f>IF(9=C52,(L85*(1+C28)/C50)*(1-C51),0)</f>
        <v/>
      </c>
      <c r="M93" s="33">
        <f>IF(10=C52,(M85*(1+C28)/C50)*(1-C51),0)</f>
        <v/>
      </c>
    </row>
    <row r="94" ht="15" customHeight="1">
      <c r="B94" s="29" t="inlineStr">
        <is>
          <t>UNLEVERED PROJECT CASH FLOW</t>
        </is>
      </c>
      <c r="C94" s="30">
        <f>C90</f>
        <v/>
      </c>
      <c r="D94" s="30">
        <f>IF(1&lt;=C52,D90,0)+D93</f>
        <v/>
      </c>
      <c r="E94" s="31">
        <f>IF(2&lt;=C52,E90,0)+E93</f>
        <v/>
      </c>
      <c r="F94" s="31">
        <f>IF(3&lt;=C52,F90,0)+F93</f>
        <v/>
      </c>
      <c r="G94" s="31">
        <f>IF(4&lt;=C52,G90,0)+G93</f>
        <v/>
      </c>
      <c r="H94" s="31">
        <f>IF(5&lt;=C52,H90,0)+H93</f>
        <v/>
      </c>
      <c r="I94" s="31">
        <f>IF(6&lt;=C52,I90,0)+I93</f>
        <v/>
      </c>
      <c r="J94" s="31">
        <f>IF(7&lt;=C52,J90,0)+J93</f>
        <v/>
      </c>
      <c r="K94" s="31">
        <f>IF(8&lt;=C52,K90,0)+K93</f>
        <v/>
      </c>
      <c r="L94" s="31">
        <f>IF(9&lt;=C52,L90,0)+L93</f>
        <v/>
      </c>
      <c r="M94" s="31">
        <f>IF(10&lt;=C52,M90,0)+M93</f>
        <v/>
      </c>
    </row>
    <row r="95" ht="15" customHeight="1">
      <c r="B95" s="12" t="inlineStr">
        <is>
          <t>Debt service</t>
        </is>
      </c>
      <c r="D95" s="33">
        <f>IF(1&lt;=C52,-C58,0)</f>
        <v/>
      </c>
      <c r="E95" s="33">
        <f>IF(2&lt;=C52,-C58,0)</f>
        <v/>
      </c>
      <c r="F95" s="33">
        <f>IF(3&lt;=C52,-C58,0)</f>
        <v/>
      </c>
      <c r="G95" s="33">
        <f>IF(4&lt;=C52,-C58,0)</f>
        <v/>
      </c>
      <c r="H95" s="33">
        <f>IF(5&lt;=C52,-C58,0)</f>
        <v/>
      </c>
      <c r="I95" s="33">
        <f>IF(6&lt;=C52,-C58,0)</f>
        <v/>
      </c>
      <c r="J95" s="33">
        <f>IF(7&lt;=C52,-C58,0)</f>
        <v/>
      </c>
      <c r="K95" s="33">
        <f>IF(8&lt;=C52,-C58,0)</f>
        <v/>
      </c>
      <c r="L95" s="33">
        <f>IF(9&lt;=C52,-C58,0)</f>
        <v/>
      </c>
      <c r="M95" s="33">
        <f>IF(10&lt;=C52,-C58,0)</f>
        <v/>
      </c>
    </row>
    <row r="96" ht="15" customHeight="1">
      <c r="B96" s="12" t="inlineStr">
        <is>
          <t>Loan balance (year-end)</t>
        </is>
      </c>
      <c r="D96" s="33">
        <f>C56*(1+C57)^(12*1)-(C58/12)*((1+C57)^(12*1)-1)/C57</f>
        <v/>
      </c>
      <c r="E96" s="33">
        <f>C56*(1+C57)^(12*2)-(C58/12)*((1+C57)^(12*2)-1)/C57</f>
        <v/>
      </c>
      <c r="F96" s="33">
        <f>C56*(1+C57)^(12*3)-(C58/12)*((1+C57)^(12*3)-1)/C57</f>
        <v/>
      </c>
      <c r="G96" s="33">
        <f>C56*(1+C57)^(12*4)-(C58/12)*((1+C57)^(12*4)-1)/C57</f>
        <v/>
      </c>
      <c r="H96" s="33">
        <f>C56*(1+C57)^(12*5)-(C58/12)*((1+C57)^(12*5)-1)/C57</f>
        <v/>
      </c>
      <c r="I96" s="33">
        <f>C56*(1+C57)^(12*6)-(C58/12)*((1+C57)^(12*6)-1)/C57</f>
        <v/>
      </c>
      <c r="J96" s="33">
        <f>C56*(1+C57)^(12*7)-(C58/12)*((1+C57)^(12*7)-1)/C57</f>
        <v/>
      </c>
      <c r="K96" s="33">
        <f>C56*(1+C57)^(12*8)-(C58/12)*((1+C57)^(12*8)-1)/C57</f>
        <v/>
      </c>
      <c r="L96" s="33">
        <f>C56*(1+C57)^(12*9)-(C58/12)*((1+C57)^(12*9)-1)/C57</f>
        <v/>
      </c>
      <c r="M96" s="33">
        <f>C56*(1+C57)^(12*10)-(C58/12)*((1+C57)^(12*10)-1)/C57</f>
        <v/>
      </c>
    </row>
    <row r="97" ht="15" customHeight="1">
      <c r="B97" s="12" t="inlineStr">
        <is>
          <t>DSCR (NOI ÷ DS)</t>
        </is>
      </c>
      <c r="D97" s="42">
        <f>D85/C58</f>
        <v/>
      </c>
      <c r="E97" s="42">
        <f>E85/C58</f>
        <v/>
      </c>
      <c r="F97" s="42">
        <f>F85/C58</f>
        <v/>
      </c>
      <c r="G97" s="42">
        <f>G85/C58</f>
        <v/>
      </c>
      <c r="H97" s="42">
        <f>H85/C58</f>
        <v/>
      </c>
      <c r="I97" s="42">
        <f>I85/C58</f>
        <v/>
      </c>
      <c r="J97" s="42">
        <f>J85/C58</f>
        <v/>
      </c>
      <c r="K97" s="42">
        <f>K85/C58</f>
        <v/>
      </c>
      <c r="L97" s="42">
        <f>L85/C58</f>
        <v/>
      </c>
      <c r="M97" s="42">
        <f>M85/C58</f>
        <v/>
      </c>
    </row>
    <row r="98" ht="15" customHeight="1">
      <c r="B98" s="12" t="inlineStr">
        <is>
          <t>Debt yield (NOI ÷ loan)</t>
        </is>
      </c>
      <c r="D98" s="41">
        <f>D85/C56</f>
        <v/>
      </c>
      <c r="E98" s="41">
        <f>E85/C56</f>
        <v/>
      </c>
      <c r="F98" s="41">
        <f>F85/C56</f>
        <v/>
      </c>
      <c r="G98" s="41">
        <f>G85/C56</f>
        <v/>
      </c>
      <c r="H98" s="41">
        <f>H85/C56</f>
        <v/>
      </c>
      <c r="I98" s="41">
        <f>I85/C56</f>
        <v/>
      </c>
      <c r="J98" s="41">
        <f>J85/C56</f>
        <v/>
      </c>
      <c r="K98" s="41">
        <f>K85/C56</f>
        <v/>
      </c>
      <c r="L98" s="41">
        <f>L85/C56</f>
        <v/>
      </c>
      <c r="M98" s="41">
        <f>M85/C56</f>
        <v/>
      </c>
    </row>
    <row r="99" ht="15" customHeight="1">
      <c r="B99" s="29" t="inlineStr">
        <is>
          <t>LEVERED CASH FLOW (equity)</t>
        </is>
      </c>
      <c r="C99" s="30">
        <f>-C59</f>
        <v/>
      </c>
      <c r="D99" s="30">
        <f>IF(1&lt;=C52,D90-C58,0)+IF(1=C52,D93-D96,0)</f>
        <v/>
      </c>
      <c r="E99" s="31">
        <f>IF(2&lt;=C52,E90-C58,0)+IF(2=C52,E93-E96,0)</f>
        <v/>
      </c>
      <c r="F99" s="31">
        <f>IF(3&lt;=C52,F90-C58,0)+IF(3=C52,F93-F96,0)</f>
        <v/>
      </c>
      <c r="G99" s="31">
        <f>IF(4&lt;=C52,G90-C58,0)+IF(4=C52,G93-G96,0)</f>
        <v/>
      </c>
      <c r="H99" s="31">
        <f>IF(5&lt;=C52,H90-C58,0)+IF(5=C52,H93-H96,0)</f>
        <v/>
      </c>
      <c r="I99" s="31">
        <f>IF(6&lt;=C52,I90-C58,0)+IF(6=C52,I93-I96,0)</f>
        <v/>
      </c>
      <c r="J99" s="31">
        <f>IF(7&lt;=C52,J90-C58,0)+IF(7=C52,J93-J96,0)</f>
        <v/>
      </c>
      <c r="K99" s="31">
        <f>IF(8&lt;=C52,K90-C58,0)+IF(8=C52,K93-K96,0)</f>
        <v/>
      </c>
      <c r="L99" s="31">
        <f>IF(9&lt;=C52,L90-C58,0)+IF(9=C52,L93-L96,0)</f>
        <v/>
      </c>
      <c r="M99" s="31">
        <f>IF(10&lt;=C52,M90-C58,0)+IF(10=C52,M93-M96,0)</f>
        <v/>
      </c>
    </row>
    <row r="100"/>
    <row r="101">
      <c r="B101" s="11" t="inlineStr">
        <is>
          <t>RETURNS  —  unlevered &amp; levered</t>
        </is>
      </c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3" t="n"/>
    </row>
    <row r="102" ht="15" customHeight="1">
      <c r="B102" s="12" t="inlineStr">
        <is>
          <t>Unlevered IRR</t>
        </is>
      </c>
      <c r="C102" s="41">
        <f>IRR(C94:M94)</f>
        <v/>
      </c>
    </row>
    <row r="103" ht="15" customHeight="1">
      <c r="B103" s="12" t="inlineStr">
        <is>
          <t>Unlevered equity multiple</t>
        </is>
      </c>
      <c r="C103" s="42">
        <f>SUM(D94:M94)/-C94</f>
        <v/>
      </c>
    </row>
    <row r="104" ht="15" customHeight="1">
      <c r="B104" s="12" t="inlineStr">
        <is>
          <t>Unlevered NPV @ discount rate</t>
        </is>
      </c>
      <c r="C104" s="39">
        <f>C94+NPV(C53,D94:M94)</f>
        <v/>
      </c>
    </row>
    <row r="105" ht="15" customHeight="1">
      <c r="B105" s="12" t="inlineStr">
        <is>
          <t>Levered IRR</t>
        </is>
      </c>
      <c r="C105" s="41">
        <f>IRR(C99:M99)</f>
        <v/>
      </c>
    </row>
    <row r="106" ht="15" customHeight="1">
      <c r="B106" s="12" t="inlineStr">
        <is>
          <t>Levered equity multiple</t>
        </is>
      </c>
      <c r="C106" s="42">
        <f>SUM(D99:M99)/C59</f>
        <v/>
      </c>
    </row>
    <row r="107" ht="15" customHeight="1">
      <c r="B107" s="12" t="inlineStr">
        <is>
          <t>Year-1 NOI (pro-forma)</t>
        </is>
      </c>
      <c r="C107" s="39">
        <f>D85</f>
        <v/>
      </c>
    </row>
    <row r="108" ht="15" customHeight="1">
      <c r="B108" s="12" t="inlineStr">
        <is>
          <t>As-is in-place NOI (at occ0, no lease-up)</t>
        </is>
      </c>
      <c r="C108" s="39">
        <f>(C24*C25*C27)+(C43*C30+C32+C33)*C25-(C24*C25*C27)*C29-(C43*C30+C32+C33+C34)-((C24*C25*C27)+(C43*C30+C32+C33)*C25-(C24*C25*C27)*C29)*C35</f>
        <v/>
      </c>
    </row>
    <row r="109" ht="15" customHeight="1">
      <c r="B109" s="12" t="inlineStr">
        <is>
          <t>Going-in cap (as-is NOI ÷ price)</t>
        </is>
      </c>
      <c r="C109" s="38">
        <f>C108/C43</f>
        <v/>
      </c>
    </row>
    <row r="110" ht="15" customHeight="1">
      <c r="B110" s="12" t="inlineStr">
        <is>
          <t>Stabilized NOI (Yr 2)</t>
        </is>
      </c>
      <c r="C110" s="39">
        <f>E85</f>
        <v/>
      </c>
    </row>
    <row r="111" ht="15" customHeight="1">
      <c r="B111" s="12" t="inlineStr">
        <is>
          <t>Stabilized value (÷ exit cap)</t>
        </is>
      </c>
      <c r="C111" s="39">
        <f>C110/C50</f>
        <v/>
      </c>
    </row>
    <row r="112" ht="15" customHeight="1">
      <c r="B112" s="12" t="inlineStr">
        <is>
          <t>Stabilized yield on cost</t>
        </is>
      </c>
      <c r="C112" s="41">
        <f>C110/C62</f>
        <v/>
      </c>
    </row>
    <row r="113" ht="15" customHeight="1">
      <c r="B113" s="12" t="inlineStr">
        <is>
          <t>Year-1 DSCR</t>
        </is>
      </c>
      <c r="C113" s="42">
        <f>D85/C58</f>
        <v/>
      </c>
    </row>
    <row r="114" ht="15" customHeight="1">
      <c r="B114" s="12" t="inlineStr">
        <is>
          <t>Year-1 debt yield</t>
        </is>
      </c>
      <c r="C114" s="41">
        <f>D85/C56</f>
        <v/>
      </c>
    </row>
    <row r="115"/>
    <row r="116">
      <c r="B116" s="11" t="inlineStr">
        <is>
          <t>PROFIT &amp; LOSS STATEMENT  —  Year 1 vs. Stabilized (Yr 2)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15" t="inlineStr">
        <is>
          <t>$ / year</t>
        </is>
      </c>
      <c r="F117" s="67" t="inlineStr">
        <is>
          <t>Year 1</t>
        </is>
      </c>
      <c r="G117" s="14" t="n"/>
      <c r="H117" s="67" t="inlineStr">
        <is>
          <t>Stabilized</t>
        </is>
      </c>
      <c r="I117" s="14" t="n"/>
      <c r="J117" s="67" t="inlineStr">
        <is>
          <t>Per SF (stab.)</t>
        </is>
      </c>
      <c r="K117" s="13" t="n"/>
      <c r="L117" s="13" t="n"/>
      <c r="M117" s="14" t="n"/>
    </row>
    <row r="118" ht="15" customHeight="1">
      <c r="B118" s="40" t="inlineStr">
        <is>
          <t>Base rental income</t>
        </is>
      </c>
      <c r="F118" s="31">
        <f>D73</f>
        <v/>
      </c>
      <c r="G118" s="14" t="n"/>
      <c r="H118" s="30">
        <f>E73</f>
        <v/>
      </c>
      <c r="I118" s="14" t="n"/>
      <c r="J118" s="68">
        <f>H118/C24</f>
        <v/>
      </c>
      <c r="K118" s="13" t="n"/>
      <c r="L118" s="13" t="n"/>
      <c r="M118" s="14" t="n"/>
    </row>
    <row r="119" ht="15" customHeight="1">
      <c r="B119" s="12" t="inlineStr">
        <is>
          <t>Expense reimbursements</t>
        </is>
      </c>
      <c r="F119" s="33">
        <f>D75</f>
        <v/>
      </c>
      <c r="G119" s="14" t="n"/>
      <c r="H119" s="33">
        <f>E75</f>
        <v/>
      </c>
      <c r="I119" s="14" t="n"/>
      <c r="J119" s="56">
        <f>H119/C24</f>
        <v/>
      </c>
      <c r="K119" s="13" t="n"/>
      <c r="L119" s="13" t="n"/>
      <c r="M119" s="14" t="n"/>
    </row>
    <row r="120" ht="15" customHeight="1">
      <c r="B120" s="12" t="inlineStr">
        <is>
          <t>Less: credit loss</t>
        </is>
      </c>
      <c r="F120" s="33">
        <f>D76</f>
        <v/>
      </c>
      <c r="G120" s="14" t="n"/>
      <c r="H120" s="33">
        <f>E76</f>
        <v/>
      </c>
      <c r="I120" s="14" t="n"/>
      <c r="J120" s="56">
        <f>H120/C24</f>
        <v/>
      </c>
      <c r="K120" s="13" t="n"/>
      <c r="L120" s="13" t="n"/>
      <c r="M120" s="14" t="n"/>
    </row>
    <row r="121" ht="15" customHeight="1">
      <c r="B121" s="29" t="inlineStr">
        <is>
          <t>Effective Gross Income</t>
        </is>
      </c>
      <c r="F121" s="31">
        <f>D77</f>
        <v/>
      </c>
      <c r="G121" s="14" t="n"/>
      <c r="H121" s="30">
        <f>E77</f>
        <v/>
      </c>
      <c r="I121" s="14" t="n"/>
      <c r="J121" s="68">
        <f>H121/C24</f>
        <v/>
      </c>
      <c r="K121" s="13" t="n"/>
      <c r="L121" s="13" t="n"/>
      <c r="M121" s="14" t="n"/>
    </row>
    <row r="122" ht="15" customHeight="1">
      <c r="B122" s="12" t="inlineStr">
        <is>
          <t>Real-estate taxes</t>
        </is>
      </c>
      <c r="F122" s="33">
        <f>-D79</f>
        <v/>
      </c>
      <c r="G122" s="14" t="n"/>
      <c r="H122" s="33">
        <f>-E79</f>
        <v/>
      </c>
      <c r="I122" s="14" t="n"/>
      <c r="J122" s="56">
        <f>H122/C24</f>
        <v/>
      </c>
      <c r="K122" s="13" t="n"/>
      <c r="L122" s="13" t="n"/>
      <c r="M122" s="14" t="n"/>
    </row>
    <row r="123" ht="15" customHeight="1">
      <c r="B123" s="12" t="inlineStr">
        <is>
          <t>Insurance</t>
        </is>
      </c>
      <c r="F123" s="33">
        <f>-D80</f>
        <v/>
      </c>
      <c r="G123" s="14" t="n"/>
      <c r="H123" s="33">
        <f>-E80</f>
        <v/>
      </c>
      <c r="I123" s="14" t="n"/>
      <c r="J123" s="56">
        <f>H123/C24</f>
        <v/>
      </c>
      <c r="K123" s="13" t="n"/>
      <c r="L123" s="13" t="n"/>
      <c r="M123" s="14" t="n"/>
    </row>
    <row r="124" ht="15" customHeight="1">
      <c r="B124" s="12" t="inlineStr">
        <is>
          <t>CAM</t>
        </is>
      </c>
      <c r="F124" s="33">
        <f>-D81</f>
        <v/>
      </c>
      <c r="G124" s="14" t="n"/>
      <c r="H124" s="33">
        <f>-E81</f>
        <v/>
      </c>
      <c r="I124" s="14" t="n"/>
      <c r="J124" s="56">
        <f>H124/C24</f>
        <v/>
      </c>
      <c r="K124" s="13" t="n"/>
      <c r="L124" s="13" t="n"/>
      <c r="M124" s="14" t="n"/>
    </row>
    <row r="125" ht="15" customHeight="1">
      <c r="B125" s="12" t="inlineStr">
        <is>
          <t>Repairs &amp; maintenance</t>
        </is>
      </c>
      <c r="F125" s="33">
        <f>-D82</f>
        <v/>
      </c>
      <c r="G125" s="14" t="n"/>
      <c r="H125" s="33">
        <f>-E82</f>
        <v/>
      </c>
      <c r="I125" s="14" t="n"/>
      <c r="J125" s="56">
        <f>H125/C24</f>
        <v/>
      </c>
      <c r="K125" s="13" t="n"/>
      <c r="L125" s="13" t="n"/>
      <c r="M125" s="14" t="n"/>
    </row>
    <row r="126" ht="15" customHeight="1">
      <c r="B126" s="12" t="inlineStr">
        <is>
          <t>Management fee</t>
        </is>
      </c>
      <c r="F126" s="33">
        <f>-D83</f>
        <v/>
      </c>
      <c r="G126" s="14" t="n"/>
      <c r="H126" s="33">
        <f>-E83</f>
        <v/>
      </c>
      <c r="I126" s="14" t="n"/>
      <c r="J126" s="56">
        <f>H126/C24</f>
        <v/>
      </c>
      <c r="K126" s="13" t="n"/>
      <c r="L126" s="13" t="n"/>
      <c r="M126" s="14" t="n"/>
    </row>
    <row r="127" ht="15" customHeight="1">
      <c r="B127" s="29" t="inlineStr">
        <is>
          <t>Net Operating Income</t>
        </is>
      </c>
      <c r="F127" s="31">
        <f>D85</f>
        <v/>
      </c>
      <c r="G127" s="14" t="n"/>
      <c r="H127" s="30">
        <f>E85</f>
        <v/>
      </c>
      <c r="I127" s="14" t="n"/>
      <c r="J127" s="68">
        <f>H127/C24</f>
        <v/>
      </c>
      <c r="K127" s="13" t="n"/>
      <c r="L127" s="13" t="n"/>
      <c r="M127" s="14" t="n"/>
    </row>
    <row r="128" ht="15" customHeight="1">
      <c r="B128" s="12" t="inlineStr">
        <is>
          <t>Replacement reserves</t>
        </is>
      </c>
      <c r="F128" s="33">
        <f>-D87</f>
        <v/>
      </c>
      <c r="G128" s="14" t="n"/>
      <c r="H128" s="33">
        <f>-E87</f>
        <v/>
      </c>
      <c r="I128" s="14" t="n"/>
      <c r="J128" s="56">
        <f>H128/C24</f>
        <v/>
      </c>
      <c r="K128" s="13" t="n"/>
      <c r="L128" s="13" t="n"/>
      <c r="M128" s="14" t="n"/>
    </row>
    <row r="129" ht="15" customHeight="1">
      <c r="B129" s="12" t="inlineStr">
        <is>
          <t>Leasing costs</t>
        </is>
      </c>
      <c r="F129" s="33">
        <f>-D88</f>
        <v/>
      </c>
      <c r="G129" s="14" t="n"/>
      <c r="H129" s="33">
        <f>-E88</f>
        <v/>
      </c>
      <c r="I129" s="14" t="n"/>
      <c r="J129" s="56">
        <f>H129/C24</f>
        <v/>
      </c>
      <c r="K129" s="13" t="n"/>
      <c r="L129" s="13" t="n"/>
      <c r="M129" s="14" t="n"/>
    </row>
    <row r="130" ht="15" customHeight="1">
      <c r="B130" s="29" t="inlineStr">
        <is>
          <t>Cash Flow Before Debt</t>
        </is>
      </c>
      <c r="F130" s="31">
        <f>D90</f>
        <v/>
      </c>
      <c r="G130" s="14" t="n"/>
      <c r="H130" s="30">
        <f>E90</f>
        <v/>
      </c>
      <c r="I130" s="14" t="n"/>
      <c r="J130" s="68">
        <f>H130/C24</f>
        <v/>
      </c>
      <c r="K130" s="13" t="n"/>
      <c r="L130" s="13" t="n"/>
      <c r="M130" s="14" t="n"/>
    </row>
    <row r="131" ht="15" customHeight="1">
      <c r="B131" s="12" t="inlineStr">
        <is>
          <t>Debt service</t>
        </is>
      </c>
      <c r="F131" s="33">
        <f>-C58</f>
        <v/>
      </c>
      <c r="G131" s="14" t="n"/>
      <c r="H131" s="33">
        <f>-C58</f>
        <v/>
      </c>
      <c r="I131" s="14" t="n"/>
      <c r="J131" s="56">
        <f>H131/C24</f>
        <v/>
      </c>
      <c r="K131" s="13" t="n"/>
      <c r="L131" s="13" t="n"/>
      <c r="M131" s="14" t="n"/>
    </row>
    <row r="132" ht="15" customHeight="1">
      <c r="B132" s="29" t="inlineStr">
        <is>
          <t>Cash Flow After Debt (levered)</t>
        </is>
      </c>
      <c r="F132" s="30">
        <f>F130-C58</f>
        <v/>
      </c>
      <c r="G132" s="14" t="n"/>
      <c r="H132" s="30">
        <f>H130-C58</f>
        <v/>
      </c>
      <c r="I132" s="14" t="n"/>
      <c r="J132" s="68">
        <f>H132/C24</f>
        <v/>
      </c>
      <c r="K132" s="13" t="n"/>
      <c r="L132" s="13" t="n"/>
      <c r="M132" s="14" t="n"/>
    </row>
  </sheetData>
  <mergeCells count="121">
    <mergeCell ref="L17:M17"/>
    <mergeCell ref="B2:M2"/>
    <mergeCell ref="B42:M42"/>
    <mergeCell ref="D12:M12"/>
    <mergeCell ref="D9:M9"/>
    <mergeCell ref="D30:M30"/>
    <mergeCell ref="D39:M39"/>
    <mergeCell ref="L19:M19"/>
    <mergeCell ref="F118:G118"/>
    <mergeCell ref="D14:M14"/>
    <mergeCell ref="D29:M29"/>
    <mergeCell ref="H118:I118"/>
    <mergeCell ref="B116:M116"/>
    <mergeCell ref="B37:M37"/>
    <mergeCell ref="J126:M126"/>
    <mergeCell ref="I17:K17"/>
    <mergeCell ref="H129:I129"/>
    <mergeCell ref="B92:M92"/>
    <mergeCell ref="B20:D20"/>
    <mergeCell ref="F122:G122"/>
    <mergeCell ref="F125:G125"/>
    <mergeCell ref="H128:I128"/>
    <mergeCell ref="F121:G121"/>
    <mergeCell ref="D49:M49"/>
    <mergeCell ref="D27:M27"/>
    <mergeCell ref="D41:M41"/>
    <mergeCell ref="B72:M72"/>
    <mergeCell ref="F120:G120"/>
    <mergeCell ref="H120:I120"/>
    <mergeCell ref="D43:M43"/>
    <mergeCell ref="J128:M128"/>
    <mergeCell ref="J124:M124"/>
    <mergeCell ref="B17:D17"/>
    <mergeCell ref="D25:M25"/>
    <mergeCell ref="J129:M129"/>
    <mergeCell ref="H130:I130"/>
    <mergeCell ref="D5:M5"/>
    <mergeCell ref="B19:D19"/>
    <mergeCell ref="H117:I117"/>
    <mergeCell ref="J120:M120"/>
    <mergeCell ref="H132:I132"/>
    <mergeCell ref="H119:I119"/>
    <mergeCell ref="F126:G126"/>
    <mergeCell ref="D46:M46"/>
    <mergeCell ref="L20:M20"/>
    <mergeCell ref="D40:M40"/>
    <mergeCell ref="J117:M117"/>
    <mergeCell ref="B4:M4"/>
    <mergeCell ref="D32:M32"/>
    <mergeCell ref="J119:M119"/>
    <mergeCell ref="B31:M31"/>
    <mergeCell ref="D7:M7"/>
    <mergeCell ref="E18:F18"/>
    <mergeCell ref="B48:M48"/>
    <mergeCell ref="B23:M23"/>
    <mergeCell ref="F128:G128"/>
    <mergeCell ref="H122:I122"/>
    <mergeCell ref="J125:M125"/>
    <mergeCell ref="D8:M8"/>
    <mergeCell ref="F124:G124"/>
    <mergeCell ref="D51:M51"/>
    <mergeCell ref="H121:I121"/>
    <mergeCell ref="E20:F20"/>
    <mergeCell ref="D35:M35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F117:G117"/>
    <mergeCell ref="J132:M132"/>
    <mergeCell ref="B22:M22"/>
    <mergeCell ref="F119:G119"/>
    <mergeCell ref="B86:M86"/>
    <mergeCell ref="H125:I125"/>
    <mergeCell ref="J118:M118"/>
    <mergeCell ref="D56:M56"/>
    <mergeCell ref="B67:M67"/>
    <mergeCell ref="B101:M101"/>
    <mergeCell ref="J121:M121"/>
    <mergeCell ref="I18:K18"/>
    <mergeCell ref="B1:M1"/>
    <mergeCell ref="F127:G127"/>
    <mergeCell ref="E17:F17"/>
    <mergeCell ref="D24:M24"/>
    <mergeCell ref="D64:M64"/>
    <mergeCell ref="D38:M38"/>
    <mergeCell ref="D33:M33"/>
    <mergeCell ref="H127:I127"/>
    <mergeCell ref="J130:M130"/>
    <mergeCell ref="B78:M78"/>
    <mergeCell ref="E19:F19"/>
    <mergeCell ref="D26:M26"/>
    <mergeCell ref="J122:M122"/>
    <mergeCell ref="D10:M10"/>
    <mergeCell ref="B55:M55"/>
    <mergeCell ref="I19:K19"/>
    <mergeCell ref="F129:G129"/>
    <mergeCell ref="D65:M65"/>
    <mergeCell ref="J127:M127"/>
    <mergeCell ref="D52:M52"/>
    <mergeCell ref="J123:M123"/>
    <mergeCell ref="F131:G131"/>
    <mergeCell ref="H131:I131"/>
    <mergeCell ref="D11:M11"/>
    <mergeCell ref="B16:M16"/>
    <mergeCell ref="F130:G130"/>
    <mergeCell ref="H124:I124"/>
    <mergeCell ref="B18:D18"/>
    <mergeCell ref="D53:M53"/>
    <mergeCell ref="D47:M47"/>
    <mergeCell ref="F123:G123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Kar Luen Inc  (FL corp est. 1994; registered at 2465 E Sunrise)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 scope</t>
        </is>
      </c>
      <c r="D6" s="12" t="inlineStr">
        <is>
          <t>2465 / 2473 / 2485 E Sunrise — one folio (-0011); DISTINCT from the 2455 office condo (its own tab)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Building</t>
        </is>
      </c>
      <c r="D7" s="12" t="inlineStr">
        <is>
          <t>25,105 SF, 2-story retail/commercial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Land</t>
        </is>
      </c>
      <c r="D8" s="12" t="inlineStr">
        <is>
          <t>0.71 ac  ≈  30,928 SF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Year built</t>
        </is>
      </c>
      <c r="D9" s="12" t="inlineStr">
        <is>
          <t>1962 (remodeled 1987)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Zoning</t>
        </is>
      </c>
      <c r="D10" s="12" t="inlineStr">
        <is>
          <t>Community Business (CB) / B-1 corridor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Anchor tenant</t>
        </is>
      </c>
      <c r="D11" s="12" t="inlineStr">
        <is>
          <t>Daoud's Fine Jewelry — 100+ yr family jeweler at 2473 (~6,000 SF)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Reported value</t>
        </is>
      </c>
      <c r="D12" s="12" t="inlineStr">
        <is>
          <t>≈ $8.5M  (UNVERIFIED — no recent arm's-length sale)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Last recorded sale</t>
        </is>
      </c>
      <c r="D13" s="12" t="inlineStr">
        <is>
          <t>Oct 2000 — $128,000 (stale/partial; not a value indicator)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5" t="inlineStr">
        <is>
          <t>Tenant / component</t>
        </is>
      </c>
      <c r="C16" s="13" t="n"/>
      <c r="D16" s="14" t="n"/>
      <c r="E16" s="15" t="inlineStr">
        <is>
          <t>Category</t>
        </is>
      </c>
      <c r="F16" s="14" t="n"/>
      <c r="G16" s="16" t="inlineStr">
        <is>
          <t>SF</t>
        </is>
      </c>
      <c r="H16" s="16" t="inlineStr">
        <is>
          <t>$/SF NNN</t>
        </is>
      </c>
      <c r="I16" s="16" t="inlineStr">
        <is>
          <t>Annual rent</t>
        </is>
      </c>
      <c r="J16" s="13" t="n"/>
      <c r="K16" s="14" t="n"/>
      <c r="L16" s="15" t="inlineStr">
        <is>
          <t>Note</t>
        </is>
      </c>
      <c r="M16" s="14" t="n"/>
    </row>
    <row r="17" ht="15" customHeight="1">
      <c r="B17" s="12" t="inlineStr">
        <is>
          <t>2473 · Daoud's Fine Jewelry</t>
        </is>
      </c>
      <c r="C17" s="13" t="n"/>
      <c r="D17" s="14" t="n"/>
      <c r="E17" s="12" t="inlineStr">
        <is>
          <t>Retail – jeweler (anchor)</t>
        </is>
      </c>
      <c r="F17" s="14" t="n"/>
      <c r="G17" s="55" t="n">
        <v>6000</v>
      </c>
      <c r="H17" s="60" t="n">
        <v>34</v>
      </c>
      <c r="I17" s="33">
        <f>G17*H17</f>
        <v/>
      </c>
      <c r="J17" s="13" t="n"/>
      <c r="K17" s="14" t="n"/>
      <c r="L17" s="12" t="inlineStr">
        <is>
          <t>100+ yr family business</t>
        </is>
      </c>
      <c r="M17" s="14" t="n"/>
    </row>
    <row r="18" ht="15" customHeight="1">
      <c r="B18" s="12" t="inlineStr">
        <is>
          <t>2465 · Sunness Supper Club</t>
        </is>
      </c>
      <c r="C18" s="13" t="n"/>
      <c r="D18" s="14" t="n"/>
      <c r="E18" s="12" t="inlineStr">
        <is>
          <t>Restaurant</t>
        </is>
      </c>
      <c r="F18" s="14" t="n"/>
      <c r="G18" s="55" t="n">
        <v>4000</v>
      </c>
      <c r="H18" s="60" t="n">
        <v>36</v>
      </c>
      <c r="I18" s="33">
        <f>G18*H18</f>
        <v/>
      </c>
      <c r="J18" s="13" t="n"/>
      <c r="K18" s="14" t="n"/>
      <c r="L18" s="12" t="inlineStr">
        <is>
          <t>corner restaurant</t>
        </is>
      </c>
      <c r="M18" s="14" t="n"/>
    </row>
    <row r="19" ht="15" customHeight="1">
      <c r="B19" s="12" t="inlineStr">
        <is>
          <t>2475 · BurgerFi</t>
        </is>
      </c>
      <c r="C19" s="13" t="n"/>
      <c r="D19" s="14" t="n"/>
      <c r="E19" s="12" t="inlineStr">
        <is>
          <t>Fast-casual restaurant</t>
        </is>
      </c>
      <c r="F19" s="14" t="n"/>
      <c r="G19" s="55" t="n">
        <v>3000</v>
      </c>
      <c r="H19" s="60" t="n">
        <v>40</v>
      </c>
      <c r="I19" s="33">
        <f>G19*H19</f>
        <v/>
      </c>
      <c r="J19" s="13" t="n"/>
      <c r="K19" s="14" t="n"/>
      <c r="L19" s="12" t="inlineStr">
        <is>
          <t>national franchise</t>
        </is>
      </c>
      <c r="M19" s="14" t="n"/>
    </row>
    <row r="20" ht="15" customHeight="1">
      <c r="B20" s="12" t="inlineStr">
        <is>
          <t>2485 · In-line shops</t>
        </is>
      </c>
      <c r="C20" s="13" t="n"/>
      <c r="D20" s="14" t="n"/>
      <c r="E20" s="12" t="inlineStr">
        <is>
          <t>Various local retail/service</t>
        </is>
      </c>
      <c r="F20" s="14" t="n"/>
      <c r="G20" s="55" t="n">
        <v>6005</v>
      </c>
      <c r="H20" s="60" t="n">
        <v>30</v>
      </c>
      <c r="I20" s="33">
        <f>G20*H20</f>
        <v/>
      </c>
      <c r="J20" s="13" t="n"/>
      <c r="K20" s="14" t="n"/>
      <c r="L20" s="12" t="inlineStr">
        <is>
          <t>balance of occupied</t>
        </is>
      </c>
      <c r="M20" s="14" t="n"/>
    </row>
    <row r="21" ht="15" customHeight="1">
      <c r="B21" s="12" t="inlineStr">
        <is>
          <t>2481 · SFL Maven</t>
        </is>
      </c>
      <c r="C21" s="13" t="n"/>
      <c r="D21" s="14" t="n"/>
      <c r="E21" s="12" t="inlineStr">
        <is>
          <t>Retail / resale</t>
        </is>
      </c>
      <c r="F21" s="14" t="n"/>
      <c r="G21" s="55" t="n">
        <v>1100</v>
      </c>
      <c r="H21" s="60" t="n">
        <v>32</v>
      </c>
      <c r="I21" s="33">
        <f>G21*H21</f>
        <v/>
      </c>
      <c r="J21" s="13" t="n"/>
      <c r="K21" s="14" t="n"/>
      <c r="L21" s="12" t="inlineStr">
        <is>
          <t>small-shop</t>
        </is>
      </c>
      <c r="M21" s="14" t="n"/>
    </row>
    <row r="22" ht="15" customHeight="1">
      <c r="B22" s="43" t="inlineStr">
        <is>
          <t>VACANT / available</t>
        </is>
      </c>
      <c r="C22" s="13" t="n"/>
      <c r="D22" s="14" t="n"/>
      <c r="E22" s="43" t="inlineStr">
        <is>
          <t>Lease-up upside</t>
        </is>
      </c>
      <c r="F22" s="14" t="n"/>
      <c r="G22" s="61" t="n">
        <v>5000</v>
      </c>
      <c r="H22" s="62" t="inlineStr">
        <is>
          <t>—</t>
        </is>
      </c>
      <c r="I22" s="62" t="inlineStr">
        <is>
          <t>—</t>
        </is>
      </c>
      <c r="J22" s="13" t="n"/>
      <c r="K22" s="14" t="n"/>
      <c r="L22" s="43" t="inlineStr">
        <is>
          <t>value-add</t>
        </is>
      </c>
      <c r="M22" s="14" t="n"/>
    </row>
    <row r="23" ht="15" customHeight="1">
      <c r="B23" s="19" t="inlineStr">
        <is>
          <t>TOTAL / WTD AVG</t>
        </is>
      </c>
      <c r="C23" s="13" t="n"/>
      <c r="D23" s="14" t="n"/>
      <c r="E23" s="63" t="inlineStr"/>
      <c r="F23" s="14" t="n"/>
      <c r="G23" s="53">
        <f>SUM(G17:G22)</f>
        <v/>
      </c>
      <c r="H23" s="64">
        <f>IFERROR(SUM(I17:I21)/SUM(G17:G21),0)</f>
        <v/>
      </c>
      <c r="I23" s="20">
        <f>SUM(I17:I21)</f>
        <v/>
      </c>
      <c r="J23" s="13" t="n"/>
      <c r="K23" s="14" t="n"/>
      <c r="L23" s="19" t="inlineStr">
        <is>
          <t>Daoud's = anchor; ~20% vacant</t>
        </is>
      </c>
      <c r="M23" s="14" t="n"/>
    </row>
    <row r="24"/>
    <row r="25">
      <c r="B25" s="11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Property &amp; revenue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Rentable SF</t>
        </is>
      </c>
      <c r="C27" s="65" t="n">
        <v>25105</v>
      </c>
      <c r="D27" s="22" t="inlineStr">
        <is>
          <t>⚠️ LoopNet (25,105 SF)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In-place occupancy</t>
        </is>
      </c>
      <c r="C28" s="35" t="n">
        <v>0.801</v>
      </c>
      <c r="D28" s="22" t="inlineStr">
        <is>
          <t>🔶 ~20% vacant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Stabilized occupancy</t>
        </is>
      </c>
      <c r="C29" s="35" t="n">
        <v>0.95</v>
      </c>
      <c r="D29" s="22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Market rent ($/SF NNN)</t>
        </is>
      </c>
      <c r="C30" s="60" t="n">
        <v>34</v>
      </c>
      <c r="D30" s="22" t="inlineStr">
        <is>
          <t>🔶 corridor $32–45 NNN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Rent growth</t>
        </is>
      </c>
      <c r="C31" s="35" t="n">
        <v>0.03</v>
      </c>
      <c r="D31" s="22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Credit &amp; collection loss</t>
        </is>
      </c>
      <c r="C32" s="35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Effective millage</t>
        </is>
      </c>
      <c r="C33" s="34" t="n">
        <v>0.0191</v>
      </c>
      <c r="D33" s="22" t="inlineStr">
        <is>
          <t>✅ 2025 area millage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5" t="inlineStr">
        <is>
          <t>Operating expenses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Insurance ($/yr)</t>
        </is>
      </c>
      <c r="C35" s="66" t="n">
        <v>40000</v>
      </c>
      <c r="D35" s="22" t="inlineStr">
        <is>
          <t>🔶 AE flood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CAM ($/yr, recoverable)</t>
        </is>
      </c>
      <c r="C36" s="66" t="n">
        <v>40000</v>
      </c>
      <c r="D36" s="22" t="inlineStr">
        <is>
          <t>🔶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Repairs &amp; maintenance ($/yr)</t>
        </is>
      </c>
      <c r="C37" s="66" t="n">
        <v>30000</v>
      </c>
      <c r="D37" s="22" t="inlineStr">
        <is>
          <t>🔶 non-recoverable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Management fee (% EGR)</t>
        </is>
      </c>
      <c r="C38" s="35" t="n">
        <v>0.04</v>
      </c>
      <c r="D38" s="22" t="inlineStr">
        <is>
          <t>🔶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Expense growth</t>
        </is>
      </c>
      <c r="C39" s="35" t="n">
        <v>0.03</v>
      </c>
      <c r="D39" s="22" t="inlineStr">
        <is>
          <t>🔶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5" t="inlineStr">
        <is>
          <t>Capital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Tenant improvements ($/SF)</t>
        </is>
      </c>
      <c r="C41" s="60" t="n">
        <v>30</v>
      </c>
      <c r="D41" s="22" t="inlineStr">
        <is>
          <t>🔶 on leased-up SF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Leasing commissions ($/SF)</t>
        </is>
      </c>
      <c r="C42" s="60" t="n">
        <v>20</v>
      </c>
      <c r="D42" s="22" t="inlineStr">
        <is>
          <t>🔶 on leased-up SF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Replacement reserves ($/SF/yr)</t>
        </is>
      </c>
      <c r="C43" s="60" t="n">
        <v>0.15</v>
      </c>
      <c r="D43" s="22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Rollover leasing reserve ($/SF/yr)</t>
        </is>
      </c>
      <c r="C44" s="60" t="n">
        <v>0.75</v>
      </c>
      <c r="D44" s="22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5" t="inlineStr">
        <is>
          <t>Acquisition &amp; financing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Purchase price / basis</t>
        </is>
      </c>
      <c r="C46" s="66" t="n">
        <v>8500000</v>
      </c>
      <c r="D46" s="22" t="inlineStr">
        <is>
          <t>⚠️ reported ~$8.5M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Closing &amp; acq costs (% price)</t>
        </is>
      </c>
      <c r="C47" s="35" t="n">
        <v>0.025</v>
      </c>
      <c r="D47" s="22" t="inlineStr">
        <is>
          <t>🔶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Senior loan LTV</t>
        </is>
      </c>
      <c r="C48" s="35" t="n">
        <v>0.6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Senior loan rate</t>
        </is>
      </c>
      <c r="C49" s="34" t="n">
        <v>0.075</v>
      </c>
      <c r="D49" s="22" t="inlineStr">
        <is>
          <t>🔶 mid-2026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Senior loan amortization (yrs)</t>
        </is>
      </c>
      <c r="C50" s="36" t="n">
        <v>30</v>
      </c>
      <c r="D50" s="22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5" t="inlineStr">
        <is>
          <t>Valuation &amp; hold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Going-in cap</t>
        </is>
      </c>
      <c r="C52" s="34" t="n">
        <v>0.075</v>
      </c>
      <c r="D52" s="22" t="inlineStr">
        <is>
          <t>🔶 value-add strip 7.5%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Exit / reversion cap</t>
        </is>
      </c>
      <c r="C53" s="34" t="n">
        <v>0.0775</v>
      </c>
      <c r="D53" s="22" t="inlineStr">
        <is>
          <t>🔶 7.75%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Cost of sale at exit</t>
        </is>
      </c>
      <c r="C54" s="35" t="n">
        <v>0.02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Hold period (yrs)</t>
        </is>
      </c>
      <c r="C55" s="36" t="n">
        <v>5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Discount rate (NPV)</t>
        </is>
      </c>
      <c r="C56" s="35" t="n">
        <v>0.09</v>
      </c>
      <c r="D56" s="22" t="inlineStr">
        <is>
          <t>🔶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/>
    <row r="58">
      <c r="B58" s="11" t="inlineStr">
        <is>
          <t>DERIVED VALUES  &amp;  DEBT SIZING</t>
        </is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3" t="n"/>
    </row>
    <row r="59" ht="15" customHeight="1">
      <c r="B59" s="12" t="inlineStr">
        <is>
          <t>Senior loan amount</t>
        </is>
      </c>
      <c r="C59" s="39">
        <f>C46*C48</f>
        <v/>
      </c>
      <c r="D59" s="22" t="inlineStr">
        <is>
          <t>price × LTV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Monthly rate</t>
        </is>
      </c>
      <c r="C60" s="38">
        <f>C49/12</f>
        <v/>
      </c>
    </row>
    <row r="61" ht="15" customHeight="1">
      <c r="B61" s="12" t="inlineStr">
        <is>
          <t>Annual debt service</t>
        </is>
      </c>
      <c r="C61" s="39">
        <f>C59*(C60/(1-(1+C60)^(-C50*12)))*12</f>
        <v/>
      </c>
    </row>
    <row r="62" ht="15" customHeight="1">
      <c r="B62" s="12" t="inlineStr">
        <is>
          <t>Equity at acquisition</t>
        </is>
      </c>
      <c r="C62" s="39">
        <f>C46*(1+C47)-C59</f>
        <v/>
      </c>
    </row>
    <row r="63" ht="15" customHeight="1">
      <c r="B63" s="12" t="inlineStr">
        <is>
          <t>Absorption SF (lease-up)</t>
        </is>
      </c>
      <c r="C63" s="55">
        <f>C27*(C29-C28)</f>
        <v/>
      </c>
    </row>
    <row r="64" ht="15" customHeight="1">
      <c r="B64" s="12" t="inlineStr">
        <is>
          <t>Initial leasing capital</t>
        </is>
      </c>
      <c r="C64" s="39">
        <f>C63*(C41+C42)</f>
        <v/>
      </c>
    </row>
    <row r="65" ht="15" customHeight="1">
      <c r="B65" s="12" t="inlineStr">
        <is>
          <t>Total cost basis</t>
        </is>
      </c>
      <c r="C65" s="39">
        <f>C46*(1+C47)+C64</f>
        <v/>
      </c>
    </row>
    <row r="66" ht="15" customHeight="1">
      <c r="B66" s="12" t="inlineStr">
        <is>
          <t>Total equity required</t>
        </is>
      </c>
      <c r="C66" s="39">
        <f>C65-C59</f>
        <v/>
      </c>
    </row>
    <row r="67" ht="15" customHeight="1">
      <c r="B67" s="12" t="inlineStr">
        <is>
          <t>Income value (Yr-1 NOI ÷ going-in cap)</t>
        </is>
      </c>
      <c r="C67" s="39">
        <f>D88/C52</f>
        <v/>
      </c>
      <c r="D67" s="22" t="inlineStr">
        <is>
          <t>computed below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 ht="15" customHeight="1">
      <c r="B68" s="12" t="inlineStr">
        <is>
          <t>Land value (@ infill $/SF)</t>
        </is>
      </c>
      <c r="C68" s="39">
        <f>30928*248.0</f>
        <v/>
      </c>
      <c r="D68" s="22" t="inlineStr">
        <is>
          <t>🔶 30,928 land SF × $248.0/SF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/>
    </row>
    <row r="69"/>
    <row r="70">
      <c r="B70" s="11" t="inlineStr">
        <is>
          <t>OPERATING CASH FLOW  —  10-year annual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5" t="inlineStr">
        <is>
          <t>Year</t>
        </is>
      </c>
      <c r="C71" s="16" t="inlineStr">
        <is>
          <t>0 / Acq</t>
        </is>
      </c>
      <c r="D71" s="27" t="n">
        <v>1</v>
      </c>
      <c r="E71" s="27" t="n">
        <v>2</v>
      </c>
      <c r="F71" s="27" t="n">
        <v>3</v>
      </c>
      <c r="G71" s="27" t="n">
        <v>4</v>
      </c>
      <c r="H71" s="27" t="n">
        <v>5</v>
      </c>
      <c r="I71" s="27" t="n">
        <v>6</v>
      </c>
      <c r="J71" s="27" t="n">
        <v>7</v>
      </c>
      <c r="K71" s="27" t="n">
        <v>8</v>
      </c>
      <c r="L71" s="27" t="n">
        <v>9</v>
      </c>
      <c r="M71" s="27" t="n">
        <v>10</v>
      </c>
    </row>
    <row r="72" ht="15" customHeight="1">
      <c r="B72" s="22" t="inlineStr">
        <is>
          <t>Year ending</t>
        </is>
      </c>
      <c r="C72" s="28" t="inlineStr">
        <is>
          <t>At close</t>
        </is>
      </c>
      <c r="D72" s="28" t="inlineStr">
        <is>
          <t>Dec-2027</t>
        </is>
      </c>
      <c r="E72" s="28" t="inlineStr">
        <is>
          <t>Dec-2028</t>
        </is>
      </c>
      <c r="F72" s="28" t="inlineStr">
        <is>
          <t>Dec-2029</t>
        </is>
      </c>
      <c r="G72" s="28" t="inlineStr">
        <is>
          <t>Dec-2030</t>
        </is>
      </c>
      <c r="H72" s="28" t="inlineStr">
        <is>
          <t>Dec-2031</t>
        </is>
      </c>
      <c r="I72" s="28" t="inlineStr">
        <is>
          <t>Dec-2032</t>
        </is>
      </c>
      <c r="J72" s="28" t="inlineStr">
        <is>
          <t>Dec-2033</t>
        </is>
      </c>
      <c r="K72" s="28" t="inlineStr">
        <is>
          <t>Dec-2034</t>
        </is>
      </c>
      <c r="L72" s="28" t="inlineStr">
        <is>
          <t>Dec-2035</t>
        </is>
      </c>
      <c r="M72" s="28" t="inlineStr">
        <is>
          <t>Dec-2036</t>
        </is>
      </c>
    </row>
    <row r="73" ht="15" customHeight="1">
      <c r="B73" s="12" t="inlineStr">
        <is>
          <t>Occupancy</t>
        </is>
      </c>
      <c r="D73" s="41">
        <f>(C28+C29)/2</f>
        <v/>
      </c>
      <c r="E73" s="41">
        <f>C29</f>
        <v/>
      </c>
      <c r="F73" s="41">
        <f>C29</f>
        <v/>
      </c>
      <c r="G73" s="41">
        <f>C29</f>
        <v/>
      </c>
      <c r="H73" s="41">
        <f>C29</f>
        <v/>
      </c>
      <c r="I73" s="41">
        <f>C29</f>
        <v/>
      </c>
      <c r="J73" s="41">
        <f>C29</f>
        <v/>
      </c>
      <c r="K73" s="41">
        <f>C29</f>
        <v/>
      </c>
      <c r="L73" s="41">
        <f>C29</f>
        <v/>
      </c>
      <c r="M73" s="41">
        <f>C29</f>
        <v/>
      </c>
    </row>
    <row r="74" ht="15" customHeight="1">
      <c r="B74" s="12" t="inlineStr">
        <is>
          <t>Leased SF</t>
        </is>
      </c>
      <c r="D74" s="55">
        <f>C27*D73</f>
        <v/>
      </c>
      <c r="E74" s="55">
        <f>C27*E73</f>
        <v/>
      </c>
      <c r="F74" s="55">
        <f>C27*F73</f>
        <v/>
      </c>
      <c r="G74" s="55">
        <f>C27*G73</f>
        <v/>
      </c>
      <c r="H74" s="55">
        <f>C27*H73</f>
        <v/>
      </c>
      <c r="I74" s="55">
        <f>C27*I73</f>
        <v/>
      </c>
      <c r="J74" s="55">
        <f>C27*J73</f>
        <v/>
      </c>
      <c r="K74" s="55">
        <f>C27*K73</f>
        <v/>
      </c>
      <c r="L74" s="55">
        <f>C27*L73</f>
        <v/>
      </c>
      <c r="M74" s="55">
        <f>C27*M73</f>
        <v/>
      </c>
    </row>
    <row r="75" ht="15" customHeight="1">
      <c r="B75" s="15" t="inlineStr">
        <is>
          <t>REVENUE</t>
        </is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Base rental income</t>
        </is>
      </c>
      <c r="D76" s="39">
        <f>D74*C30*(1+C31)^(1-1)</f>
        <v/>
      </c>
      <c r="E76" s="33">
        <f>E74*C30*(1+C31)^(2-1)</f>
        <v/>
      </c>
      <c r="F76" s="33">
        <f>F74*C30*(1+C31)^(3-1)</f>
        <v/>
      </c>
      <c r="G76" s="33">
        <f>G74*C30*(1+C31)^(4-1)</f>
        <v/>
      </c>
      <c r="H76" s="33">
        <f>H74*C30*(1+C31)^(5-1)</f>
        <v/>
      </c>
      <c r="I76" s="33">
        <f>I74*C30*(1+C31)^(6-1)</f>
        <v/>
      </c>
      <c r="J76" s="33">
        <f>J74*C30*(1+C31)^(7-1)</f>
        <v/>
      </c>
      <c r="K76" s="33">
        <f>K74*C30*(1+C31)^(8-1)</f>
        <v/>
      </c>
      <c r="L76" s="33">
        <f>L74*C30*(1+C31)^(9-1)</f>
        <v/>
      </c>
      <c r="M76" s="33">
        <f>M74*C30*(1+C31)^(10-1)</f>
        <v/>
      </c>
    </row>
    <row r="77" ht="15" customHeight="1">
      <c r="B77" s="12" t="inlineStr">
        <is>
          <t>Recoverable opex (gross)</t>
        </is>
      </c>
      <c r="D77" s="33">
        <f>(C46*C33+C35+C36)*(1+C39)^(1-1)</f>
        <v/>
      </c>
      <c r="E77" s="33">
        <f>(C46*C33+C35+C36)*(1+C39)^(2-1)</f>
        <v/>
      </c>
      <c r="F77" s="33">
        <f>(C46*C33+C35+C36)*(1+C39)^(3-1)</f>
        <v/>
      </c>
      <c r="G77" s="33">
        <f>(C46*C33+C35+C36)*(1+C39)^(4-1)</f>
        <v/>
      </c>
      <c r="H77" s="33">
        <f>(C46*C33+C35+C36)*(1+C39)^(5-1)</f>
        <v/>
      </c>
      <c r="I77" s="33">
        <f>(C46*C33+C35+C36)*(1+C39)^(6-1)</f>
        <v/>
      </c>
      <c r="J77" s="33">
        <f>(C46*C33+C35+C36)*(1+C39)^(7-1)</f>
        <v/>
      </c>
      <c r="K77" s="33">
        <f>(C46*C33+C35+C36)*(1+C39)^(8-1)</f>
        <v/>
      </c>
      <c r="L77" s="33">
        <f>(C46*C33+C35+C36)*(1+C39)^(9-1)</f>
        <v/>
      </c>
      <c r="M77" s="33">
        <f>(C46*C33+C35+C36)*(1+C39)^(10-1)</f>
        <v/>
      </c>
    </row>
    <row r="78" ht="15" customHeight="1">
      <c r="B78" s="12" t="inlineStr">
        <is>
          <t>Expense reimbursements (NNN)</t>
        </is>
      </c>
      <c r="D78" s="33">
        <f>D77*D73</f>
        <v/>
      </c>
      <c r="E78" s="33">
        <f>E77*E73</f>
        <v/>
      </c>
      <c r="F78" s="33">
        <f>F77*F73</f>
        <v/>
      </c>
      <c r="G78" s="33">
        <f>G77*G73</f>
        <v/>
      </c>
      <c r="H78" s="33">
        <f>H77*H73</f>
        <v/>
      </c>
      <c r="I78" s="33">
        <f>I77*I73</f>
        <v/>
      </c>
      <c r="J78" s="33">
        <f>J77*J73</f>
        <v/>
      </c>
      <c r="K78" s="33">
        <f>K77*K73</f>
        <v/>
      </c>
      <c r="L78" s="33">
        <f>L77*L73</f>
        <v/>
      </c>
      <c r="M78" s="33">
        <f>M77*M73</f>
        <v/>
      </c>
    </row>
    <row r="79" ht="15" customHeight="1">
      <c r="B79" s="12" t="inlineStr">
        <is>
          <t>Less: credit &amp; collection loss</t>
        </is>
      </c>
      <c r="D79" s="33">
        <f>-D76*C32</f>
        <v/>
      </c>
      <c r="E79" s="33">
        <f>-E76*C32</f>
        <v/>
      </c>
      <c r="F79" s="33">
        <f>-F76*C32</f>
        <v/>
      </c>
      <c r="G79" s="33">
        <f>-G76*C32</f>
        <v/>
      </c>
      <c r="H79" s="33">
        <f>-H76*C32</f>
        <v/>
      </c>
      <c r="I79" s="33">
        <f>-I76*C32</f>
        <v/>
      </c>
      <c r="J79" s="33">
        <f>-J76*C32</f>
        <v/>
      </c>
      <c r="K79" s="33">
        <f>-K76*C32</f>
        <v/>
      </c>
      <c r="L79" s="33">
        <f>-L76*C32</f>
        <v/>
      </c>
      <c r="M79" s="33">
        <f>-M76*C32</f>
        <v/>
      </c>
    </row>
    <row r="80" ht="15" customHeight="1">
      <c r="B80" s="29" t="inlineStr">
        <is>
          <t>Effective Gross Revenue</t>
        </is>
      </c>
      <c r="D80" s="39">
        <f>D76+D78+D79</f>
        <v/>
      </c>
      <c r="E80" s="33">
        <f>E76+E78+E79</f>
        <v/>
      </c>
      <c r="F80" s="33">
        <f>F76+F78+F79</f>
        <v/>
      </c>
      <c r="G80" s="33">
        <f>G76+G78+G79</f>
        <v/>
      </c>
      <c r="H80" s="33">
        <f>H76+H78+H79</f>
        <v/>
      </c>
      <c r="I80" s="33">
        <f>I76+I78+I79</f>
        <v/>
      </c>
      <c r="J80" s="33">
        <f>J76+J78+J79</f>
        <v/>
      </c>
      <c r="K80" s="33">
        <f>K76+K78+K79</f>
        <v/>
      </c>
      <c r="L80" s="33">
        <f>L76+L78+L79</f>
        <v/>
      </c>
      <c r="M80" s="33">
        <f>M76+M78+M79</f>
        <v/>
      </c>
    </row>
    <row r="81" ht="15" customHeight="1">
      <c r="B81" s="15" t="inlineStr">
        <is>
          <t>OPERATING EXPENSES</t>
        </is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4" t="n"/>
    </row>
    <row r="82" ht="15" customHeight="1">
      <c r="B82" s="12" t="inlineStr">
        <is>
          <t>Real-estate taxes (reassessed)</t>
        </is>
      </c>
      <c r="D82" s="33">
        <f>C46*C33*(1+C39)^(1-1)</f>
        <v/>
      </c>
      <c r="E82" s="33">
        <f>C46*C33*(1+C39)^(2-1)</f>
        <v/>
      </c>
      <c r="F82" s="33">
        <f>C46*C33*(1+C39)^(3-1)</f>
        <v/>
      </c>
      <c r="G82" s="33">
        <f>C46*C33*(1+C39)^(4-1)</f>
        <v/>
      </c>
      <c r="H82" s="33">
        <f>C46*C33*(1+C39)^(5-1)</f>
        <v/>
      </c>
      <c r="I82" s="33">
        <f>C46*C33*(1+C39)^(6-1)</f>
        <v/>
      </c>
      <c r="J82" s="33">
        <f>C46*C33*(1+C39)^(7-1)</f>
        <v/>
      </c>
      <c r="K82" s="33">
        <f>C46*C33*(1+C39)^(8-1)</f>
        <v/>
      </c>
      <c r="L82" s="33">
        <f>C46*C33*(1+C39)^(9-1)</f>
        <v/>
      </c>
      <c r="M82" s="33">
        <f>C46*C33*(1+C39)^(10-1)</f>
        <v/>
      </c>
    </row>
    <row r="83" ht="15" customHeight="1">
      <c r="B83" s="12" t="inlineStr">
        <is>
          <t>Insurance</t>
        </is>
      </c>
      <c r="D83" s="33">
        <f>C35*(1+C39)^(1-1)</f>
        <v/>
      </c>
      <c r="E83" s="33">
        <f>C35*(1+C39)^(2-1)</f>
        <v/>
      </c>
      <c r="F83" s="33">
        <f>C35*(1+C39)^(3-1)</f>
        <v/>
      </c>
      <c r="G83" s="33">
        <f>C35*(1+C39)^(4-1)</f>
        <v/>
      </c>
      <c r="H83" s="33">
        <f>C35*(1+C39)^(5-1)</f>
        <v/>
      </c>
      <c r="I83" s="33">
        <f>C35*(1+C39)^(6-1)</f>
        <v/>
      </c>
      <c r="J83" s="33">
        <f>C35*(1+C39)^(7-1)</f>
        <v/>
      </c>
      <c r="K83" s="33">
        <f>C35*(1+C39)^(8-1)</f>
        <v/>
      </c>
      <c r="L83" s="33">
        <f>C35*(1+C39)^(9-1)</f>
        <v/>
      </c>
      <c r="M83" s="33">
        <f>C35*(1+C39)^(10-1)</f>
        <v/>
      </c>
    </row>
    <row r="84" ht="15" customHeight="1">
      <c r="B84" s="12" t="inlineStr">
        <is>
          <t>CAM</t>
        </is>
      </c>
      <c r="D84" s="33">
        <f>C36*(1+C39)^(1-1)</f>
        <v/>
      </c>
      <c r="E84" s="33">
        <f>C36*(1+C39)^(2-1)</f>
        <v/>
      </c>
      <c r="F84" s="33">
        <f>C36*(1+C39)^(3-1)</f>
        <v/>
      </c>
      <c r="G84" s="33">
        <f>C36*(1+C39)^(4-1)</f>
        <v/>
      </c>
      <c r="H84" s="33">
        <f>C36*(1+C39)^(5-1)</f>
        <v/>
      </c>
      <c r="I84" s="33">
        <f>C36*(1+C39)^(6-1)</f>
        <v/>
      </c>
      <c r="J84" s="33">
        <f>C36*(1+C39)^(7-1)</f>
        <v/>
      </c>
      <c r="K84" s="33">
        <f>C36*(1+C39)^(8-1)</f>
        <v/>
      </c>
      <c r="L84" s="33">
        <f>C36*(1+C39)^(9-1)</f>
        <v/>
      </c>
      <c r="M84" s="33">
        <f>C36*(1+C39)^(10-1)</f>
        <v/>
      </c>
    </row>
    <row r="85" ht="15" customHeight="1">
      <c r="B85" s="12" t="inlineStr">
        <is>
          <t>Repairs &amp; maintenance</t>
        </is>
      </c>
      <c r="D85" s="33">
        <f>C37*(1+C39)^(1-1)</f>
        <v/>
      </c>
      <c r="E85" s="33">
        <f>C37*(1+C39)^(2-1)</f>
        <v/>
      </c>
      <c r="F85" s="33">
        <f>C37*(1+C39)^(3-1)</f>
        <v/>
      </c>
      <c r="G85" s="33">
        <f>C37*(1+C39)^(4-1)</f>
        <v/>
      </c>
      <c r="H85" s="33">
        <f>C37*(1+C39)^(5-1)</f>
        <v/>
      </c>
      <c r="I85" s="33">
        <f>C37*(1+C39)^(6-1)</f>
        <v/>
      </c>
      <c r="J85" s="33">
        <f>C37*(1+C39)^(7-1)</f>
        <v/>
      </c>
      <c r="K85" s="33">
        <f>C37*(1+C39)^(8-1)</f>
        <v/>
      </c>
      <c r="L85" s="33">
        <f>C37*(1+C39)^(9-1)</f>
        <v/>
      </c>
      <c r="M85" s="33">
        <f>C37*(1+C39)^(10-1)</f>
        <v/>
      </c>
    </row>
    <row r="86" ht="15" customHeight="1">
      <c r="B86" s="12" t="inlineStr">
        <is>
          <t>Management fee</t>
        </is>
      </c>
      <c r="D86" s="33">
        <f>D80*C38</f>
        <v/>
      </c>
      <c r="E86" s="33">
        <f>E80*C38</f>
        <v/>
      </c>
      <c r="F86" s="33">
        <f>F80*C38</f>
        <v/>
      </c>
      <c r="G86" s="33">
        <f>G80*C38</f>
        <v/>
      </c>
      <c r="H86" s="33">
        <f>H80*C38</f>
        <v/>
      </c>
      <c r="I86" s="33">
        <f>I80*C38</f>
        <v/>
      </c>
      <c r="J86" s="33">
        <f>J80*C38</f>
        <v/>
      </c>
      <c r="K86" s="33">
        <f>K80*C38</f>
        <v/>
      </c>
      <c r="L86" s="33">
        <f>L80*C38</f>
        <v/>
      </c>
      <c r="M86" s="33">
        <f>M80*C38</f>
        <v/>
      </c>
    </row>
    <row r="87" ht="15" customHeight="1">
      <c r="B87" s="29" t="inlineStr">
        <is>
          <t>Total operating expenses</t>
        </is>
      </c>
      <c r="D87" s="39">
        <f>SUM(D82:D86)</f>
        <v/>
      </c>
      <c r="E87" s="33">
        <f>SUM(E82:E86)</f>
        <v/>
      </c>
      <c r="F87" s="33">
        <f>SUM(F82:F86)</f>
        <v/>
      </c>
      <c r="G87" s="33">
        <f>SUM(G82:G86)</f>
        <v/>
      </c>
      <c r="H87" s="33">
        <f>SUM(H82:H86)</f>
        <v/>
      </c>
      <c r="I87" s="33">
        <f>SUM(I82:I86)</f>
        <v/>
      </c>
      <c r="J87" s="33">
        <f>SUM(J82:J86)</f>
        <v/>
      </c>
      <c r="K87" s="33">
        <f>SUM(K82:K86)</f>
        <v/>
      </c>
      <c r="L87" s="33">
        <f>SUM(L82:L86)</f>
        <v/>
      </c>
      <c r="M87" s="33">
        <f>SUM(M82:M86)</f>
        <v/>
      </c>
    </row>
    <row r="88" ht="15" customHeight="1">
      <c r="B88" s="29" t="inlineStr">
        <is>
          <t>NET OPERATING INCOME</t>
        </is>
      </c>
      <c r="D88" s="30">
        <f>D80-D87</f>
        <v/>
      </c>
      <c r="E88" s="31">
        <f>E80-E87</f>
        <v/>
      </c>
      <c r="F88" s="31">
        <f>F80-F87</f>
        <v/>
      </c>
      <c r="G88" s="31">
        <f>G80-G87</f>
        <v/>
      </c>
      <c r="H88" s="31">
        <f>H80-H87</f>
        <v/>
      </c>
      <c r="I88" s="31">
        <f>I80-I87</f>
        <v/>
      </c>
      <c r="J88" s="31">
        <f>J80-J87</f>
        <v/>
      </c>
      <c r="K88" s="31">
        <f>K80-K87</f>
        <v/>
      </c>
      <c r="L88" s="31">
        <f>L80-L87</f>
        <v/>
      </c>
      <c r="M88" s="31">
        <f>M80-M87</f>
        <v/>
      </c>
    </row>
    <row r="89" ht="15" customHeight="1">
      <c r="B89" s="15" t="inlineStr">
        <is>
          <t>CAPITAL</t>
        </is>
      </c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4" t="n"/>
    </row>
    <row r="90" ht="15" customHeight="1">
      <c r="B90" s="12" t="inlineStr">
        <is>
          <t>Replacement reserves</t>
        </is>
      </c>
      <c r="D90" s="33">
        <f>C27*C43*(1+C39)^(1-1)</f>
        <v/>
      </c>
      <c r="E90" s="33">
        <f>C27*C43*(1+C39)^(2-1)</f>
        <v/>
      </c>
      <c r="F90" s="33">
        <f>C27*C43*(1+C39)^(3-1)</f>
        <v/>
      </c>
      <c r="G90" s="33">
        <f>C27*C43*(1+C39)^(4-1)</f>
        <v/>
      </c>
      <c r="H90" s="33">
        <f>C27*C43*(1+C39)^(5-1)</f>
        <v/>
      </c>
      <c r="I90" s="33">
        <f>C27*C43*(1+C39)^(6-1)</f>
        <v/>
      </c>
      <c r="J90" s="33">
        <f>C27*C43*(1+C39)^(7-1)</f>
        <v/>
      </c>
      <c r="K90" s="33">
        <f>C27*C43*(1+C39)^(8-1)</f>
        <v/>
      </c>
      <c r="L90" s="33">
        <f>C27*C43*(1+C39)^(9-1)</f>
        <v/>
      </c>
      <c r="M90" s="33">
        <f>C27*C43*(1+C39)^(10-1)</f>
        <v/>
      </c>
    </row>
    <row r="91" ht="15" customHeight="1">
      <c r="B91" s="12" t="inlineStr">
        <is>
          <t>Leasing costs</t>
        </is>
      </c>
      <c r="D91" s="33">
        <f>C63*(C41+C42)+C27*C44</f>
        <v/>
      </c>
      <c r="E91" s="33">
        <f>C27*C44*(1+C39)^(2-1)</f>
        <v/>
      </c>
      <c r="F91" s="33">
        <f>C27*C44*(1+C39)^(3-1)</f>
        <v/>
      </c>
      <c r="G91" s="33">
        <f>C27*C44*(1+C39)^(4-1)</f>
        <v/>
      </c>
      <c r="H91" s="33">
        <f>C27*C44*(1+C39)^(5-1)</f>
        <v/>
      </c>
      <c r="I91" s="33">
        <f>C27*C44*(1+C39)^(6-1)</f>
        <v/>
      </c>
      <c r="J91" s="33">
        <f>C27*C44*(1+C39)^(7-1)</f>
        <v/>
      </c>
      <c r="K91" s="33">
        <f>C27*C44*(1+C39)^(8-1)</f>
        <v/>
      </c>
      <c r="L91" s="33">
        <f>C27*C44*(1+C39)^(9-1)</f>
        <v/>
      </c>
      <c r="M91" s="33">
        <f>C27*C44*(1+C39)^(10-1)</f>
        <v/>
      </c>
    </row>
    <row r="92" ht="15" customHeight="1">
      <c r="B92" s="29" t="inlineStr">
        <is>
          <t>Total capital</t>
        </is>
      </c>
      <c r="D92" s="39">
        <f>D90+D91</f>
        <v/>
      </c>
      <c r="E92" s="33">
        <f>E90+E91</f>
        <v/>
      </c>
      <c r="F92" s="33">
        <f>F90+F91</f>
        <v/>
      </c>
      <c r="G92" s="33">
        <f>G90+G91</f>
        <v/>
      </c>
      <c r="H92" s="33">
        <f>H90+H91</f>
        <v/>
      </c>
      <c r="I92" s="33">
        <f>I90+I91</f>
        <v/>
      </c>
      <c r="J92" s="33">
        <f>J90+J91</f>
        <v/>
      </c>
      <c r="K92" s="33">
        <f>K90+K91</f>
        <v/>
      </c>
      <c r="L92" s="33">
        <f>L90+L91</f>
        <v/>
      </c>
      <c r="M92" s="33">
        <f>M90+M91</f>
        <v/>
      </c>
    </row>
    <row r="93" ht="15" customHeight="1">
      <c r="B93" s="29" t="inlineStr">
        <is>
          <t>Unlevered cash flow (before reversion)</t>
        </is>
      </c>
      <c r="C93" s="30">
        <f>-C46*(1+C47)</f>
        <v/>
      </c>
      <c r="D93" s="30">
        <f>D88-D92</f>
        <v/>
      </c>
      <c r="E93" s="31">
        <f>E88-E92</f>
        <v/>
      </c>
      <c r="F93" s="31">
        <f>F88-F92</f>
        <v/>
      </c>
      <c r="G93" s="31">
        <f>G88-G92</f>
        <v/>
      </c>
      <c r="H93" s="31">
        <f>H88-H92</f>
        <v/>
      </c>
      <c r="I93" s="31">
        <f>I88-I92</f>
        <v/>
      </c>
      <c r="J93" s="31">
        <f>J88-J92</f>
        <v/>
      </c>
      <c r="K93" s="31">
        <f>K88-K92</f>
        <v/>
      </c>
      <c r="L93" s="31">
        <f>L88-L92</f>
        <v/>
      </c>
      <c r="M93" s="31">
        <f>M88-M92</f>
        <v/>
      </c>
    </row>
    <row r="94"/>
    <row r="95">
      <c r="B95" s="11" t="inlineStr">
        <is>
          <t>REVERSION, DEBT SERVICE  &amp;  LEVERED CASH FLOW</t>
        </is>
      </c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3" t="n"/>
    </row>
    <row r="96" ht="15" customHeight="1">
      <c r="B96" s="12" t="inlineStr">
        <is>
          <t>Net sale proceeds (exit year)</t>
        </is>
      </c>
      <c r="D96" s="33">
        <f>IF(1=C55,(D88*(1+C31)/C53)*(1-C54),0)</f>
        <v/>
      </c>
      <c r="E96" s="33">
        <f>IF(2=C55,(E88*(1+C31)/C53)*(1-C54),0)</f>
        <v/>
      </c>
      <c r="F96" s="33">
        <f>IF(3=C55,(F88*(1+C31)/C53)*(1-C54),0)</f>
        <v/>
      </c>
      <c r="G96" s="33">
        <f>IF(4=C55,(G88*(1+C31)/C53)*(1-C54),0)</f>
        <v/>
      </c>
      <c r="H96" s="33">
        <f>IF(5=C55,(H88*(1+C31)/C53)*(1-C54),0)</f>
        <v/>
      </c>
      <c r="I96" s="33">
        <f>IF(6=C55,(I88*(1+C31)/C53)*(1-C54),0)</f>
        <v/>
      </c>
      <c r="J96" s="33">
        <f>IF(7=C55,(J88*(1+C31)/C53)*(1-C54),0)</f>
        <v/>
      </c>
      <c r="K96" s="33">
        <f>IF(8=C55,(K88*(1+C31)/C53)*(1-C54),0)</f>
        <v/>
      </c>
      <c r="L96" s="33">
        <f>IF(9=C55,(L88*(1+C31)/C53)*(1-C54),0)</f>
        <v/>
      </c>
      <c r="M96" s="33">
        <f>IF(10=C55,(M88*(1+C31)/C53)*(1-C54),0)</f>
        <v/>
      </c>
    </row>
    <row r="97" ht="15" customHeight="1">
      <c r="B97" s="29" t="inlineStr">
        <is>
          <t>UNLEVERED PROJECT CASH FLOW</t>
        </is>
      </c>
      <c r="C97" s="30">
        <f>C93</f>
        <v/>
      </c>
      <c r="D97" s="30">
        <f>IF(1&lt;=C55,D93,0)+D96</f>
        <v/>
      </c>
      <c r="E97" s="31">
        <f>IF(2&lt;=C55,E93,0)+E96</f>
        <v/>
      </c>
      <c r="F97" s="31">
        <f>IF(3&lt;=C55,F93,0)+F96</f>
        <v/>
      </c>
      <c r="G97" s="31">
        <f>IF(4&lt;=C55,G93,0)+G96</f>
        <v/>
      </c>
      <c r="H97" s="31">
        <f>IF(5&lt;=C55,H93,0)+H96</f>
        <v/>
      </c>
      <c r="I97" s="31">
        <f>IF(6&lt;=C55,I93,0)+I96</f>
        <v/>
      </c>
      <c r="J97" s="31">
        <f>IF(7&lt;=C55,J93,0)+J96</f>
        <v/>
      </c>
      <c r="K97" s="31">
        <f>IF(8&lt;=C55,K93,0)+K96</f>
        <v/>
      </c>
      <c r="L97" s="31">
        <f>IF(9&lt;=C55,L93,0)+L96</f>
        <v/>
      </c>
      <c r="M97" s="31">
        <f>IF(10&lt;=C55,M93,0)+M96</f>
        <v/>
      </c>
    </row>
    <row r="98" ht="15" customHeight="1">
      <c r="B98" s="12" t="inlineStr">
        <is>
          <t>Debt service</t>
        </is>
      </c>
      <c r="D98" s="33">
        <f>IF(1&lt;=C55,-C61,0)</f>
        <v/>
      </c>
      <c r="E98" s="33">
        <f>IF(2&lt;=C55,-C61,0)</f>
        <v/>
      </c>
      <c r="F98" s="33">
        <f>IF(3&lt;=C55,-C61,0)</f>
        <v/>
      </c>
      <c r="G98" s="33">
        <f>IF(4&lt;=C55,-C61,0)</f>
        <v/>
      </c>
      <c r="H98" s="33">
        <f>IF(5&lt;=C55,-C61,0)</f>
        <v/>
      </c>
      <c r="I98" s="33">
        <f>IF(6&lt;=C55,-C61,0)</f>
        <v/>
      </c>
      <c r="J98" s="33">
        <f>IF(7&lt;=C55,-C61,0)</f>
        <v/>
      </c>
      <c r="K98" s="33">
        <f>IF(8&lt;=C55,-C61,0)</f>
        <v/>
      </c>
      <c r="L98" s="33">
        <f>IF(9&lt;=C55,-C61,0)</f>
        <v/>
      </c>
      <c r="M98" s="33">
        <f>IF(10&lt;=C55,-C61,0)</f>
        <v/>
      </c>
    </row>
    <row r="99" ht="15" customHeight="1">
      <c r="B99" s="12" t="inlineStr">
        <is>
          <t>Loan balance (year-end)</t>
        </is>
      </c>
      <c r="D99" s="33">
        <f>C59*(1+C60)^(12*1)-(C61/12)*((1+C60)^(12*1)-1)/C60</f>
        <v/>
      </c>
      <c r="E99" s="33">
        <f>C59*(1+C60)^(12*2)-(C61/12)*((1+C60)^(12*2)-1)/C60</f>
        <v/>
      </c>
      <c r="F99" s="33">
        <f>C59*(1+C60)^(12*3)-(C61/12)*((1+C60)^(12*3)-1)/C60</f>
        <v/>
      </c>
      <c r="G99" s="33">
        <f>C59*(1+C60)^(12*4)-(C61/12)*((1+C60)^(12*4)-1)/C60</f>
        <v/>
      </c>
      <c r="H99" s="33">
        <f>C59*(1+C60)^(12*5)-(C61/12)*((1+C60)^(12*5)-1)/C60</f>
        <v/>
      </c>
      <c r="I99" s="33">
        <f>C59*(1+C60)^(12*6)-(C61/12)*((1+C60)^(12*6)-1)/C60</f>
        <v/>
      </c>
      <c r="J99" s="33">
        <f>C59*(1+C60)^(12*7)-(C61/12)*((1+C60)^(12*7)-1)/C60</f>
        <v/>
      </c>
      <c r="K99" s="33">
        <f>C59*(1+C60)^(12*8)-(C61/12)*((1+C60)^(12*8)-1)/C60</f>
        <v/>
      </c>
      <c r="L99" s="33">
        <f>C59*(1+C60)^(12*9)-(C61/12)*((1+C60)^(12*9)-1)/C60</f>
        <v/>
      </c>
      <c r="M99" s="33">
        <f>C59*(1+C60)^(12*10)-(C61/12)*((1+C60)^(12*10)-1)/C60</f>
        <v/>
      </c>
    </row>
    <row r="100" ht="15" customHeight="1">
      <c r="B100" s="12" t="inlineStr">
        <is>
          <t>DSCR (NOI ÷ DS)</t>
        </is>
      </c>
      <c r="D100" s="42">
        <f>D88/C61</f>
        <v/>
      </c>
      <c r="E100" s="42">
        <f>E88/C61</f>
        <v/>
      </c>
      <c r="F100" s="42">
        <f>F88/C61</f>
        <v/>
      </c>
      <c r="G100" s="42">
        <f>G88/C61</f>
        <v/>
      </c>
      <c r="H100" s="42">
        <f>H88/C61</f>
        <v/>
      </c>
      <c r="I100" s="42">
        <f>I88/C61</f>
        <v/>
      </c>
      <c r="J100" s="42">
        <f>J88/C61</f>
        <v/>
      </c>
      <c r="K100" s="42">
        <f>K88/C61</f>
        <v/>
      </c>
      <c r="L100" s="42">
        <f>L88/C61</f>
        <v/>
      </c>
      <c r="M100" s="42">
        <f>M88/C61</f>
        <v/>
      </c>
    </row>
    <row r="101" ht="15" customHeight="1">
      <c r="B101" s="12" t="inlineStr">
        <is>
          <t>Debt yield (NOI ÷ loan)</t>
        </is>
      </c>
      <c r="D101" s="41">
        <f>D88/C59</f>
        <v/>
      </c>
      <c r="E101" s="41">
        <f>E88/C59</f>
        <v/>
      </c>
      <c r="F101" s="41">
        <f>F88/C59</f>
        <v/>
      </c>
      <c r="G101" s="41">
        <f>G88/C59</f>
        <v/>
      </c>
      <c r="H101" s="41">
        <f>H88/C59</f>
        <v/>
      </c>
      <c r="I101" s="41">
        <f>I88/C59</f>
        <v/>
      </c>
      <c r="J101" s="41">
        <f>J88/C59</f>
        <v/>
      </c>
      <c r="K101" s="41">
        <f>K88/C59</f>
        <v/>
      </c>
      <c r="L101" s="41">
        <f>L88/C59</f>
        <v/>
      </c>
      <c r="M101" s="41">
        <f>M88/C59</f>
        <v/>
      </c>
    </row>
    <row r="102" ht="15" customHeight="1">
      <c r="B102" s="29" t="inlineStr">
        <is>
          <t>LEVERED CASH FLOW (equity)</t>
        </is>
      </c>
      <c r="C102" s="30">
        <f>-C62</f>
        <v/>
      </c>
      <c r="D102" s="30">
        <f>IF(1&lt;=C55,D93-C61,0)+IF(1=C55,D96-D99,0)</f>
        <v/>
      </c>
      <c r="E102" s="31">
        <f>IF(2&lt;=C55,E93-C61,0)+IF(2=C55,E96-E99,0)</f>
        <v/>
      </c>
      <c r="F102" s="31">
        <f>IF(3&lt;=C55,F93-C61,0)+IF(3=C55,F96-F99,0)</f>
        <v/>
      </c>
      <c r="G102" s="31">
        <f>IF(4&lt;=C55,G93-C61,0)+IF(4=C55,G96-G99,0)</f>
        <v/>
      </c>
      <c r="H102" s="31">
        <f>IF(5&lt;=C55,H93-C61,0)+IF(5=C55,H96-H99,0)</f>
        <v/>
      </c>
      <c r="I102" s="31">
        <f>IF(6&lt;=C55,I93-C61,0)+IF(6=C55,I96-I99,0)</f>
        <v/>
      </c>
      <c r="J102" s="31">
        <f>IF(7&lt;=C55,J93-C61,0)+IF(7=C55,J96-J99,0)</f>
        <v/>
      </c>
      <c r="K102" s="31">
        <f>IF(8&lt;=C55,K93-C61,0)+IF(8=C55,K96-K99,0)</f>
        <v/>
      </c>
      <c r="L102" s="31">
        <f>IF(9&lt;=C55,L93-C61,0)+IF(9=C55,L96-L99,0)</f>
        <v/>
      </c>
      <c r="M102" s="31">
        <f>IF(10&lt;=C55,M93-C61,0)+IF(10=C55,M96-M99,0)</f>
        <v/>
      </c>
    </row>
    <row r="103"/>
    <row r="104">
      <c r="B104" s="11" t="inlineStr">
        <is>
          <t>RETURNS  —  unlevered &amp; levered</t>
        </is>
      </c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3" t="n"/>
    </row>
    <row r="105" ht="15" customHeight="1">
      <c r="B105" s="12" t="inlineStr">
        <is>
          <t>Unlevered IRR</t>
        </is>
      </c>
      <c r="C105" s="41">
        <f>IRR(C97:M97)</f>
        <v/>
      </c>
    </row>
    <row r="106" ht="15" customHeight="1">
      <c r="B106" s="12" t="inlineStr">
        <is>
          <t>Unlevered equity multiple</t>
        </is>
      </c>
      <c r="C106" s="42">
        <f>SUM(D97:M97)/-C97</f>
        <v/>
      </c>
    </row>
    <row r="107" ht="15" customHeight="1">
      <c r="B107" s="12" t="inlineStr">
        <is>
          <t>Unlevered NPV @ discount rate</t>
        </is>
      </c>
      <c r="C107" s="39">
        <f>C97+NPV(C56,D97:M97)</f>
        <v/>
      </c>
    </row>
    <row r="108" ht="15" customHeight="1">
      <c r="B108" s="12" t="inlineStr">
        <is>
          <t>Levered IRR</t>
        </is>
      </c>
      <c r="C108" s="41">
        <f>IRR(C102:M102)</f>
        <v/>
      </c>
    </row>
    <row r="109" ht="15" customHeight="1">
      <c r="B109" s="12" t="inlineStr">
        <is>
          <t>Levered equity multiple</t>
        </is>
      </c>
      <c r="C109" s="42">
        <f>SUM(D102:M102)/C62</f>
        <v/>
      </c>
    </row>
    <row r="110" ht="15" customHeight="1">
      <c r="B110" s="12" t="inlineStr">
        <is>
          <t>Year-1 NOI (pro-forma)</t>
        </is>
      </c>
      <c r="C110" s="39">
        <f>D88</f>
        <v/>
      </c>
    </row>
    <row r="111" ht="15" customHeight="1">
      <c r="B111" s="12" t="inlineStr">
        <is>
          <t>As-is in-place NOI (at occ0, no lease-up)</t>
        </is>
      </c>
      <c r="C111" s="39">
        <f>(C27*C28*C30)+(C46*C33+C35+C36)*C28-(C27*C28*C30)*C32-(C46*C33+C35+C36+C37)-((C27*C28*C30)+(C46*C33+C35+C36)*C28-(C27*C28*C30)*C32)*C38</f>
        <v/>
      </c>
    </row>
    <row r="112" ht="15" customHeight="1">
      <c r="B112" s="12" t="inlineStr">
        <is>
          <t>Going-in cap (as-is NOI ÷ price)</t>
        </is>
      </c>
      <c r="C112" s="38">
        <f>C111/C46</f>
        <v/>
      </c>
    </row>
    <row r="113" ht="15" customHeight="1">
      <c r="B113" s="12" t="inlineStr">
        <is>
          <t>Stabilized NOI (Yr 2)</t>
        </is>
      </c>
      <c r="C113" s="39">
        <f>E88</f>
        <v/>
      </c>
    </row>
    <row r="114" ht="15" customHeight="1">
      <c r="B114" s="12" t="inlineStr">
        <is>
          <t>Stabilized value (÷ exit cap)</t>
        </is>
      </c>
      <c r="C114" s="39">
        <f>C113/C53</f>
        <v/>
      </c>
    </row>
    <row r="115" ht="15" customHeight="1">
      <c r="B115" s="12" t="inlineStr">
        <is>
          <t>Stabilized yield on cost</t>
        </is>
      </c>
      <c r="C115" s="41">
        <f>C113/C65</f>
        <v/>
      </c>
    </row>
    <row r="116" ht="15" customHeight="1">
      <c r="B116" s="12" t="inlineStr">
        <is>
          <t>Year-1 DSCR</t>
        </is>
      </c>
      <c r="C116" s="42">
        <f>D88/C61</f>
        <v/>
      </c>
    </row>
    <row r="117" ht="15" customHeight="1">
      <c r="B117" s="12" t="inlineStr">
        <is>
          <t>Year-1 debt yield</t>
        </is>
      </c>
      <c r="C117" s="41">
        <f>D88/C59</f>
        <v/>
      </c>
    </row>
    <row r="118"/>
    <row r="119">
      <c r="B119" s="11" t="inlineStr">
        <is>
          <t>PROFIT &amp; LOSS STATEMENT  —  Year 1 vs. Stabilized (Yr 2)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15" t="inlineStr">
        <is>
          <t>$ / year</t>
        </is>
      </c>
      <c r="F120" s="67" t="inlineStr">
        <is>
          <t>Year 1</t>
        </is>
      </c>
      <c r="G120" s="14" t="n"/>
      <c r="H120" s="67" t="inlineStr">
        <is>
          <t>Stabilized</t>
        </is>
      </c>
      <c r="I120" s="14" t="n"/>
      <c r="J120" s="67" t="inlineStr">
        <is>
          <t>Per SF (stab.)</t>
        </is>
      </c>
      <c r="K120" s="13" t="n"/>
      <c r="L120" s="13" t="n"/>
      <c r="M120" s="14" t="n"/>
    </row>
    <row r="121" ht="15" customHeight="1">
      <c r="B121" s="40" t="inlineStr">
        <is>
          <t>Base rental income</t>
        </is>
      </c>
      <c r="F121" s="31">
        <f>D76</f>
        <v/>
      </c>
      <c r="G121" s="14" t="n"/>
      <c r="H121" s="30">
        <f>E76</f>
        <v/>
      </c>
      <c r="I121" s="14" t="n"/>
      <c r="J121" s="68">
        <f>H121/C27</f>
        <v/>
      </c>
      <c r="K121" s="13" t="n"/>
      <c r="L121" s="13" t="n"/>
      <c r="M121" s="14" t="n"/>
    </row>
    <row r="122" ht="15" customHeight="1">
      <c r="B122" s="12" t="inlineStr">
        <is>
          <t>Expense reimbursements</t>
        </is>
      </c>
      <c r="F122" s="33">
        <f>D78</f>
        <v/>
      </c>
      <c r="G122" s="14" t="n"/>
      <c r="H122" s="33">
        <f>E78</f>
        <v/>
      </c>
      <c r="I122" s="14" t="n"/>
      <c r="J122" s="56">
        <f>H122/C27</f>
        <v/>
      </c>
      <c r="K122" s="13" t="n"/>
      <c r="L122" s="13" t="n"/>
      <c r="M122" s="14" t="n"/>
    </row>
    <row r="123" ht="15" customHeight="1">
      <c r="B123" s="12" t="inlineStr">
        <is>
          <t>Less: credit loss</t>
        </is>
      </c>
      <c r="F123" s="33">
        <f>D79</f>
        <v/>
      </c>
      <c r="G123" s="14" t="n"/>
      <c r="H123" s="33">
        <f>E79</f>
        <v/>
      </c>
      <c r="I123" s="14" t="n"/>
      <c r="J123" s="56">
        <f>H123/C27</f>
        <v/>
      </c>
      <c r="K123" s="13" t="n"/>
      <c r="L123" s="13" t="n"/>
      <c r="M123" s="14" t="n"/>
    </row>
    <row r="124" ht="15" customHeight="1">
      <c r="B124" s="29" t="inlineStr">
        <is>
          <t>Effective Gross Income</t>
        </is>
      </c>
      <c r="F124" s="31">
        <f>D80</f>
        <v/>
      </c>
      <c r="G124" s="14" t="n"/>
      <c r="H124" s="30">
        <f>E80</f>
        <v/>
      </c>
      <c r="I124" s="14" t="n"/>
      <c r="J124" s="68">
        <f>H124/C27</f>
        <v/>
      </c>
      <c r="K124" s="13" t="n"/>
      <c r="L124" s="13" t="n"/>
      <c r="M124" s="14" t="n"/>
    </row>
    <row r="125" ht="15" customHeight="1">
      <c r="B125" s="12" t="inlineStr">
        <is>
          <t>Real-estate taxes</t>
        </is>
      </c>
      <c r="F125" s="33">
        <f>-D82</f>
        <v/>
      </c>
      <c r="G125" s="14" t="n"/>
      <c r="H125" s="33">
        <f>-E82</f>
        <v/>
      </c>
      <c r="I125" s="14" t="n"/>
      <c r="J125" s="56">
        <f>H125/C27</f>
        <v/>
      </c>
      <c r="K125" s="13" t="n"/>
      <c r="L125" s="13" t="n"/>
      <c r="M125" s="14" t="n"/>
    </row>
    <row r="126" ht="15" customHeight="1">
      <c r="B126" s="12" t="inlineStr">
        <is>
          <t>Insurance</t>
        </is>
      </c>
      <c r="F126" s="33">
        <f>-D83</f>
        <v/>
      </c>
      <c r="G126" s="14" t="n"/>
      <c r="H126" s="33">
        <f>-E83</f>
        <v/>
      </c>
      <c r="I126" s="14" t="n"/>
      <c r="J126" s="56">
        <f>H126/C27</f>
        <v/>
      </c>
      <c r="K126" s="13" t="n"/>
      <c r="L126" s="13" t="n"/>
      <c r="M126" s="14" t="n"/>
    </row>
    <row r="127" ht="15" customHeight="1">
      <c r="B127" s="12" t="inlineStr">
        <is>
          <t>CAM</t>
        </is>
      </c>
      <c r="F127" s="33">
        <f>-D84</f>
        <v/>
      </c>
      <c r="G127" s="14" t="n"/>
      <c r="H127" s="33">
        <f>-E84</f>
        <v/>
      </c>
      <c r="I127" s="14" t="n"/>
      <c r="J127" s="56">
        <f>H127/C27</f>
        <v/>
      </c>
      <c r="K127" s="13" t="n"/>
      <c r="L127" s="13" t="n"/>
      <c r="M127" s="14" t="n"/>
    </row>
    <row r="128" ht="15" customHeight="1">
      <c r="B128" s="12" t="inlineStr">
        <is>
          <t>Repairs &amp; maintenance</t>
        </is>
      </c>
      <c r="F128" s="33">
        <f>-D85</f>
        <v/>
      </c>
      <c r="G128" s="14" t="n"/>
      <c r="H128" s="33">
        <f>-E85</f>
        <v/>
      </c>
      <c r="I128" s="14" t="n"/>
      <c r="J128" s="56">
        <f>H128/C27</f>
        <v/>
      </c>
      <c r="K128" s="13" t="n"/>
      <c r="L128" s="13" t="n"/>
      <c r="M128" s="14" t="n"/>
    </row>
    <row r="129" ht="15" customHeight="1">
      <c r="B129" s="12" t="inlineStr">
        <is>
          <t>Management fee</t>
        </is>
      </c>
      <c r="F129" s="33">
        <f>-D86</f>
        <v/>
      </c>
      <c r="G129" s="14" t="n"/>
      <c r="H129" s="33">
        <f>-E86</f>
        <v/>
      </c>
      <c r="I129" s="14" t="n"/>
      <c r="J129" s="56">
        <f>H129/C27</f>
        <v/>
      </c>
      <c r="K129" s="13" t="n"/>
      <c r="L129" s="13" t="n"/>
      <c r="M129" s="14" t="n"/>
    </row>
    <row r="130" ht="15" customHeight="1">
      <c r="B130" s="29" t="inlineStr">
        <is>
          <t>Net Operating Income</t>
        </is>
      </c>
      <c r="F130" s="31">
        <f>D88</f>
        <v/>
      </c>
      <c r="G130" s="14" t="n"/>
      <c r="H130" s="30">
        <f>E88</f>
        <v/>
      </c>
      <c r="I130" s="14" t="n"/>
      <c r="J130" s="68">
        <f>H130/C27</f>
        <v/>
      </c>
      <c r="K130" s="13" t="n"/>
      <c r="L130" s="13" t="n"/>
      <c r="M130" s="14" t="n"/>
    </row>
    <row r="131" ht="15" customHeight="1">
      <c r="B131" s="12" t="inlineStr">
        <is>
          <t>Replacement reserves</t>
        </is>
      </c>
      <c r="F131" s="33">
        <f>-D90</f>
        <v/>
      </c>
      <c r="G131" s="14" t="n"/>
      <c r="H131" s="33">
        <f>-E90</f>
        <v/>
      </c>
      <c r="I131" s="14" t="n"/>
      <c r="J131" s="56">
        <f>H131/C27</f>
        <v/>
      </c>
      <c r="K131" s="13" t="n"/>
      <c r="L131" s="13" t="n"/>
      <c r="M131" s="14" t="n"/>
    </row>
    <row r="132" ht="15" customHeight="1">
      <c r="B132" s="12" t="inlineStr">
        <is>
          <t>Leasing costs</t>
        </is>
      </c>
      <c r="F132" s="33">
        <f>-D91</f>
        <v/>
      </c>
      <c r="G132" s="14" t="n"/>
      <c r="H132" s="33">
        <f>-E91</f>
        <v/>
      </c>
      <c r="I132" s="14" t="n"/>
      <c r="J132" s="56">
        <f>H132/C27</f>
        <v/>
      </c>
      <c r="K132" s="13" t="n"/>
      <c r="L132" s="13" t="n"/>
      <c r="M132" s="14" t="n"/>
    </row>
    <row r="133" ht="15" customHeight="1">
      <c r="B133" s="29" t="inlineStr">
        <is>
          <t>Cash Flow Before Debt</t>
        </is>
      </c>
      <c r="F133" s="31">
        <f>D93</f>
        <v/>
      </c>
      <c r="G133" s="14" t="n"/>
      <c r="H133" s="30">
        <f>E93</f>
        <v/>
      </c>
      <c r="I133" s="14" t="n"/>
      <c r="J133" s="68">
        <f>H133/C27</f>
        <v/>
      </c>
      <c r="K133" s="13" t="n"/>
      <c r="L133" s="13" t="n"/>
      <c r="M133" s="14" t="n"/>
    </row>
    <row r="134" ht="15" customHeight="1">
      <c r="B134" s="12" t="inlineStr">
        <is>
          <t>Debt service</t>
        </is>
      </c>
      <c r="F134" s="33">
        <f>-C61</f>
        <v/>
      </c>
      <c r="G134" s="14" t="n"/>
      <c r="H134" s="33">
        <f>-C61</f>
        <v/>
      </c>
      <c r="I134" s="14" t="n"/>
      <c r="J134" s="56">
        <f>H134/C27</f>
        <v/>
      </c>
      <c r="K134" s="13" t="n"/>
      <c r="L134" s="13" t="n"/>
      <c r="M134" s="14" t="n"/>
    </row>
    <row r="135" ht="15" customHeight="1">
      <c r="B135" s="29" t="inlineStr">
        <is>
          <t>Cash Flow After Debt (levered)</t>
        </is>
      </c>
      <c r="F135" s="30">
        <f>F133-C61</f>
        <v/>
      </c>
      <c r="G135" s="14" t="n"/>
      <c r="H135" s="30">
        <f>H133-C61</f>
        <v/>
      </c>
      <c r="I135" s="14" t="n"/>
      <c r="J135" s="68">
        <f>H135/C27</f>
        <v/>
      </c>
      <c r="K135" s="13" t="n"/>
      <c r="L135" s="13" t="n"/>
      <c r="M135" s="14" t="n"/>
    </row>
  </sheetData>
  <mergeCells count="136">
    <mergeCell ref="L17:M17"/>
    <mergeCell ref="B2:M2"/>
    <mergeCell ref="D37:M37"/>
    <mergeCell ref="D12:M12"/>
    <mergeCell ref="D9:M9"/>
    <mergeCell ref="E23:F23"/>
    <mergeCell ref="D30:M30"/>
    <mergeCell ref="D39:M39"/>
    <mergeCell ref="L19:M19"/>
    <mergeCell ref="D29:M29"/>
    <mergeCell ref="B34:M34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F121:G121"/>
    <mergeCell ref="D49:M49"/>
    <mergeCell ref="D27:M27"/>
    <mergeCell ref="D41:M41"/>
    <mergeCell ref="L21:M21"/>
    <mergeCell ref="F120:G120"/>
    <mergeCell ref="H120:I120"/>
    <mergeCell ref="E22:F22"/>
    <mergeCell ref="D43:M43"/>
    <mergeCell ref="J128:M128"/>
    <mergeCell ref="J124:M124"/>
    <mergeCell ref="I22:K22"/>
    <mergeCell ref="L16:M16"/>
    <mergeCell ref="J134:M134"/>
    <mergeCell ref="B17:D17"/>
    <mergeCell ref="D68:M68"/>
    <mergeCell ref="D55:M55"/>
    <mergeCell ref="I21:K21"/>
    <mergeCell ref="J129:M129"/>
    <mergeCell ref="D67:M67"/>
    <mergeCell ref="H130:I130"/>
    <mergeCell ref="D5:M5"/>
    <mergeCell ref="B19:D19"/>
    <mergeCell ref="D54:M54"/>
    <mergeCell ref="I23:K23"/>
    <mergeCell ref="J120:M120"/>
    <mergeCell ref="H132:I132"/>
    <mergeCell ref="F126:G126"/>
    <mergeCell ref="D31:M31"/>
    <mergeCell ref="D46:M46"/>
    <mergeCell ref="L20:M20"/>
    <mergeCell ref="B45:M45"/>
    <mergeCell ref="B4:M4"/>
    <mergeCell ref="L22:M22"/>
    <mergeCell ref="B75:M75"/>
    <mergeCell ref="E16:F16"/>
    <mergeCell ref="D32:M32"/>
    <mergeCell ref="D7:M7"/>
    <mergeCell ref="B21:D21"/>
    <mergeCell ref="E18:F18"/>
    <mergeCell ref="B70:M70"/>
    <mergeCell ref="B23:D23"/>
    <mergeCell ref="F128:G128"/>
    <mergeCell ref="H122:I122"/>
    <mergeCell ref="J125:M125"/>
    <mergeCell ref="D8:M8"/>
    <mergeCell ref="F124:G124"/>
    <mergeCell ref="D42:M42"/>
    <mergeCell ref="H121:I121"/>
    <mergeCell ref="E20:F20"/>
    <mergeCell ref="D35:M35"/>
    <mergeCell ref="D50:M50"/>
    <mergeCell ref="D44:M44"/>
    <mergeCell ref="D59:M59"/>
    <mergeCell ref="L18:M18"/>
    <mergeCell ref="H123:I123"/>
    <mergeCell ref="I20:K20"/>
    <mergeCell ref="J131:M131"/>
    <mergeCell ref="D36:M36"/>
    <mergeCell ref="D6:M6"/>
    <mergeCell ref="D13:M13"/>
    <mergeCell ref="E21:F21"/>
    <mergeCell ref="J132:M132"/>
    <mergeCell ref="B22:D22"/>
    <mergeCell ref="D48:M48"/>
    <mergeCell ref="H135:I135"/>
    <mergeCell ref="I16:K16"/>
    <mergeCell ref="H125:I125"/>
    <mergeCell ref="D56:M56"/>
    <mergeCell ref="H134:I134"/>
    <mergeCell ref="J121:M121"/>
    <mergeCell ref="J133:M133"/>
    <mergeCell ref="I18:K18"/>
    <mergeCell ref="B119:M119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B40:M40"/>
    <mergeCell ref="L23:M23"/>
    <mergeCell ref="D10:M10"/>
    <mergeCell ref="I19:K19"/>
    <mergeCell ref="F129:G129"/>
    <mergeCell ref="B95:M95"/>
    <mergeCell ref="B89:M89"/>
    <mergeCell ref="B104:M104"/>
    <mergeCell ref="B51:M51"/>
    <mergeCell ref="J127:M127"/>
    <mergeCell ref="D52:M52"/>
    <mergeCell ref="J123:M123"/>
    <mergeCell ref="B26:M26"/>
    <mergeCell ref="F131:G131"/>
    <mergeCell ref="H131:I131"/>
    <mergeCell ref="B16:D16"/>
    <mergeCell ref="D11:M11"/>
    <mergeCell ref="B81:M81"/>
    <mergeCell ref="B25:M25"/>
    <mergeCell ref="F130:G130"/>
    <mergeCell ref="H124:I124"/>
    <mergeCell ref="B18:D18"/>
    <mergeCell ref="D53:M53"/>
    <mergeCell ref="D47:M47"/>
    <mergeCell ref="B58:M58"/>
    <mergeCell ref="F123:G123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0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2455 E Sunrise Blvd   |   13-story Class B office condo · ~168,807 SF · built 1973 (renov. 2007) · two dominant owners — lease-position valuation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Building</t>
        </is>
      </c>
      <c r="D5" s="12" t="inlineStr">
        <is>
          <t>~168,807 SF, 13-story Class B office condominium (+ ground-floor retail)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Year built / reno</t>
        </is>
      </c>
      <c r="D6" s="12" t="inlineStr">
        <is>
          <t>1973 (renovated 2007)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Condo regime</t>
        </is>
      </c>
      <c r="D7" s="12" t="inlineStr">
        <is>
          <t>Created 2007; converted to condos 2011 by Bush Development Group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Association</t>
        </is>
      </c>
      <c r="D8" s="12" t="inlineStr">
        <is>
          <t>Galleria Corporate Centre Condominium Association, Inc. (Sunbiz N07000001902)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Lease economics</t>
        </is>
      </c>
      <c r="D9" s="12" t="inlineStr">
        <is>
          <t>Office units leased ≈ $26/SF Modified Gross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Sale comp (historical)</t>
        </is>
      </c>
      <c r="D10" s="12" t="inlineStr">
        <is>
          <t>Unit sales ≈ $300/SF (pre-2020; office values since softened)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Amenities</t>
        </is>
      </c>
      <c r="D11" s="12" t="inlineStr">
        <is>
          <t>Covered/valet parking, concierge, on-site café, two conference facilities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Deal note</t>
        </is>
      </c>
      <c r="D12" s="12" t="inlineStr">
        <is>
          <t>Assembling the building = buying out BOTH dominant owners' condo positions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 (Modified-Gross office)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Rentable SF (both owners)</t>
        </is>
      </c>
      <c r="C15" s="65" t="n">
        <v>168807</v>
      </c>
      <c r="D15" s="22" t="inlineStr">
        <is>
          <t>⚠️ ~168,807 SF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In-place occupancy</t>
        </is>
      </c>
      <c r="C16" s="35" t="n">
        <v>0.85</v>
      </c>
      <c r="D16" s="22" t="inlineStr">
        <is>
          <t>🔶 office vacancy ~12%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Stabilized occupancy</t>
        </is>
      </c>
      <c r="C17" s="35" t="n">
        <v>0.88</v>
      </c>
      <c r="D17" s="22" t="inlineStr">
        <is>
          <t>🔶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Market rent ($/SF Modified Gross)</t>
        </is>
      </c>
      <c r="C18" s="60" t="n">
        <v>26</v>
      </c>
      <c r="D18" s="22" t="inlineStr">
        <is>
          <t>⚠️ ~$26/SF MG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Rent growth</t>
        </is>
      </c>
      <c r="C19" s="35" t="n">
        <v>0.03</v>
      </c>
      <c r="D19" s="22" t="inlineStr">
        <is>
          <t>🔶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Credit &amp; vacancy loss</t>
        </is>
      </c>
      <c r="C20" s="35" t="n">
        <v>0.03</v>
      </c>
      <c r="D20" s="22" t="inlineStr">
        <is>
          <t>🔶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Effective millage</t>
        </is>
      </c>
      <c r="C21" s="34" t="n">
        <v>0.0191</v>
      </c>
      <c r="D21" s="22" t="inlineStr">
        <is>
          <t>✅ area millage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Office opex ex-taxes ($/SF, landlord)</t>
        </is>
      </c>
      <c r="C22" s="60" t="n">
        <v>8</v>
      </c>
      <c r="D22" s="22" t="inlineStr">
        <is>
          <t>🔶 MG — landlord pays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Management fee (% EGR)</t>
        </is>
      </c>
      <c r="C23" s="35" t="n">
        <v>0.03</v>
      </c>
      <c r="D23" s="22" t="inlineStr">
        <is>
          <t>🔶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Expense growth</t>
        </is>
      </c>
      <c r="C24" s="35" t="n">
        <v>0.03</v>
      </c>
      <c r="D24" s="22" t="inlineStr">
        <is>
          <t>🔶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Replacement reserves ($/SF/yr)</t>
        </is>
      </c>
      <c r="C25" s="60" t="n">
        <v>0.2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Acquisition basis (income value)</t>
        </is>
      </c>
      <c r="C26" s="66" t="n">
        <v>21700000</v>
      </c>
      <c r="D26" s="22" t="inlineStr">
        <is>
          <t>🔶 both positions @ ~8% cap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Closing &amp; acq costs (% price)</t>
        </is>
      </c>
      <c r="C27" s="35" t="n">
        <v>0.02</v>
      </c>
      <c r="D27" s="22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Senior loan LTV</t>
        </is>
      </c>
      <c r="C28" s="35" t="n">
        <v>0.55</v>
      </c>
      <c r="D28" s="22" t="inlineStr">
        <is>
          <t>🔶 office conservative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Senior loan rate</t>
        </is>
      </c>
      <c r="C29" s="34" t="n">
        <v>0.075</v>
      </c>
      <c r="D29" s="22" t="inlineStr">
        <is>
          <t>🔶 office premium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Amortization (yrs)</t>
        </is>
      </c>
      <c r="C30" s="36" t="n">
        <v>30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Going-in cap</t>
        </is>
      </c>
      <c r="C31" s="34" t="n">
        <v>0.08</v>
      </c>
      <c r="D31" s="22" t="inlineStr">
        <is>
          <t>🔶 small Class B office 8%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Exit cap</t>
        </is>
      </c>
      <c r="C32" s="34" t="n">
        <v>0.0825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Cost of sale</t>
        </is>
      </c>
      <c r="C33" s="35" t="n">
        <v>0.02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36" t="n">
        <v>5</v>
      </c>
      <c r="D34" s="22" t="inlineStr">
        <is>
          <t>🔶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Discount rate (NPV)</t>
        </is>
      </c>
      <c r="C35" s="35" t="n">
        <v>0.1</v>
      </c>
      <c r="D35" s="22" t="inlineStr">
        <is>
          <t>🔶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Sale comp ($/SF)</t>
        </is>
      </c>
      <c r="C36" s="60" t="n">
        <v>300</v>
      </c>
      <c r="D36" s="22" t="inlineStr">
        <is>
          <t>⚠️ historical ~$300/SF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/>
    <row r="38">
      <c r="B38" s="11" t="inlineStr">
        <is>
          <t>DERIVED VALUES  &amp;  DEBT SIZING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 ht="15" customHeight="1">
      <c r="B39" s="12" t="inlineStr">
        <is>
          <t>Senior loan amount</t>
        </is>
      </c>
      <c r="C39" s="39">
        <f>C26*C28</f>
        <v/>
      </c>
      <c r="D39" s="22" t="inlineStr">
        <is>
          <t>price × LTV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Monthly rate</t>
        </is>
      </c>
      <c r="C40" s="38">
        <f>C29/12</f>
        <v/>
      </c>
    </row>
    <row r="41" ht="15" customHeight="1">
      <c r="B41" s="12" t="inlineStr">
        <is>
          <t>Annual debt service</t>
        </is>
      </c>
      <c r="C41" s="39">
        <f>C39*(C40/(1-(1+C40)^(-C30*12)))*12</f>
        <v/>
      </c>
    </row>
    <row r="42" ht="15" customHeight="1">
      <c r="B42" s="12" t="inlineStr">
        <is>
          <t>Equity at acquisition</t>
        </is>
      </c>
      <c r="C42" s="39">
        <f>C26*(1+C27)-C39</f>
        <v/>
      </c>
    </row>
    <row r="43" ht="15" customHeight="1">
      <c r="B43" s="12" t="inlineStr">
        <is>
          <t>Total cost basis</t>
        </is>
      </c>
      <c r="C43" s="39">
        <f>C26*(1+C27)</f>
        <v/>
      </c>
    </row>
    <row r="44" ht="15" customHeight="1">
      <c r="B44" s="12" t="inlineStr">
        <is>
          <t>Total equity required</t>
        </is>
      </c>
      <c r="C44" s="39">
        <f>C43-C39</f>
        <v/>
      </c>
    </row>
    <row r="45"/>
    <row r="46">
      <c r="B46" s="11" t="inlineStr">
        <is>
          <t>OPERATING CASH FLOW  —  10-year annual (Modified Gross)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5" t="inlineStr">
        <is>
          <t>Year</t>
        </is>
      </c>
      <c r="C47" s="16" t="inlineStr">
        <is>
          <t>0 / Acq</t>
        </is>
      </c>
      <c r="D47" s="27" t="n">
        <v>1</v>
      </c>
      <c r="E47" s="27" t="n">
        <v>2</v>
      </c>
      <c r="F47" s="27" t="n">
        <v>3</v>
      </c>
      <c r="G47" s="27" t="n">
        <v>4</v>
      </c>
      <c r="H47" s="27" t="n">
        <v>5</v>
      </c>
      <c r="I47" s="27" t="n">
        <v>6</v>
      </c>
      <c r="J47" s="27" t="n">
        <v>7</v>
      </c>
      <c r="K47" s="27" t="n">
        <v>8</v>
      </c>
      <c r="L47" s="27" t="n">
        <v>9</v>
      </c>
      <c r="M47" s="27" t="n">
        <v>10</v>
      </c>
    </row>
    <row r="48" ht="15" customHeight="1">
      <c r="B48" s="22" t="inlineStr">
        <is>
          <t>Year ending</t>
        </is>
      </c>
      <c r="C48" s="28" t="inlineStr">
        <is>
          <t>At close</t>
        </is>
      </c>
      <c r="D48" s="28" t="inlineStr">
        <is>
          <t>Dec-2027</t>
        </is>
      </c>
      <c r="E48" s="28" t="inlineStr">
        <is>
          <t>Dec-2028</t>
        </is>
      </c>
      <c r="F48" s="28" t="inlineStr">
        <is>
          <t>Dec-2029</t>
        </is>
      </c>
      <c r="G48" s="28" t="inlineStr">
        <is>
          <t>Dec-2030</t>
        </is>
      </c>
      <c r="H48" s="28" t="inlineStr">
        <is>
          <t>Dec-2031</t>
        </is>
      </c>
      <c r="I48" s="28" t="inlineStr">
        <is>
          <t>Dec-2032</t>
        </is>
      </c>
      <c r="J48" s="28" t="inlineStr">
        <is>
          <t>Dec-2033</t>
        </is>
      </c>
      <c r="K48" s="28" t="inlineStr">
        <is>
          <t>Dec-2034</t>
        </is>
      </c>
      <c r="L48" s="28" t="inlineStr">
        <is>
          <t>Dec-2035</t>
        </is>
      </c>
      <c r="M48" s="28" t="inlineStr">
        <is>
          <t>Dec-2036</t>
        </is>
      </c>
    </row>
    <row r="49" ht="15" customHeight="1">
      <c r="B49" s="12" t="inlineStr">
        <is>
          <t>Occupancy</t>
        </is>
      </c>
      <c r="D49" s="41">
        <f>(C16+C17)/2</f>
        <v/>
      </c>
      <c r="E49" s="41">
        <f>C17</f>
        <v/>
      </c>
      <c r="F49" s="41">
        <f>C17</f>
        <v/>
      </c>
      <c r="G49" s="41">
        <f>C17</f>
        <v/>
      </c>
      <c r="H49" s="41">
        <f>C17</f>
        <v/>
      </c>
      <c r="I49" s="41">
        <f>C17</f>
        <v/>
      </c>
      <c r="J49" s="41">
        <f>C17</f>
        <v/>
      </c>
      <c r="K49" s="41">
        <f>C17</f>
        <v/>
      </c>
      <c r="L49" s="41">
        <f>C17</f>
        <v/>
      </c>
      <c r="M49" s="41">
        <f>C17</f>
        <v/>
      </c>
    </row>
    <row r="50" ht="15" customHeight="1">
      <c r="B50" s="12" t="inlineStr">
        <is>
          <t>Leased SF</t>
        </is>
      </c>
      <c r="D50" s="55">
        <f>C15*D49</f>
        <v/>
      </c>
      <c r="E50" s="55">
        <f>C15*E49</f>
        <v/>
      </c>
      <c r="F50" s="55">
        <f>C15*F49</f>
        <v/>
      </c>
      <c r="G50" s="55">
        <f>C15*G49</f>
        <v/>
      </c>
      <c r="H50" s="55">
        <f>C15*H49</f>
        <v/>
      </c>
      <c r="I50" s="55">
        <f>C15*I49</f>
        <v/>
      </c>
      <c r="J50" s="55">
        <f>C15*J49</f>
        <v/>
      </c>
      <c r="K50" s="55">
        <f>C15*K49</f>
        <v/>
      </c>
      <c r="L50" s="55">
        <f>C15*L49</f>
        <v/>
      </c>
      <c r="M50" s="55">
        <f>C15*M49</f>
        <v/>
      </c>
    </row>
    <row r="51" ht="15" customHeight="1">
      <c r="B51" s="40" t="inlineStr">
        <is>
          <t>Gross rental income (MG)</t>
        </is>
      </c>
      <c r="D51" s="39">
        <f>D50*C18*(1+C19)^(1-1)</f>
        <v/>
      </c>
      <c r="E51" s="33">
        <f>E50*C18*(1+C19)^(2-1)</f>
        <v/>
      </c>
      <c r="F51" s="33">
        <f>F50*C18*(1+C19)^(3-1)</f>
        <v/>
      </c>
      <c r="G51" s="33">
        <f>G50*C18*(1+C19)^(4-1)</f>
        <v/>
      </c>
      <c r="H51" s="33">
        <f>H50*C18*(1+C19)^(5-1)</f>
        <v/>
      </c>
      <c r="I51" s="33">
        <f>I50*C18*(1+C19)^(6-1)</f>
        <v/>
      </c>
      <c r="J51" s="33">
        <f>J50*C18*(1+C19)^(7-1)</f>
        <v/>
      </c>
      <c r="K51" s="33">
        <f>K50*C18*(1+C19)^(8-1)</f>
        <v/>
      </c>
      <c r="L51" s="33">
        <f>L50*C18*(1+C19)^(9-1)</f>
        <v/>
      </c>
      <c r="M51" s="33">
        <f>M50*C18*(1+C19)^(10-1)</f>
        <v/>
      </c>
    </row>
    <row r="52" ht="15" customHeight="1">
      <c r="B52" s="12" t="inlineStr">
        <is>
          <t>Less: credit &amp; vacancy loss</t>
        </is>
      </c>
      <c r="D52" s="33">
        <f>-D51*C20</f>
        <v/>
      </c>
      <c r="E52" s="33">
        <f>-E51*C20</f>
        <v/>
      </c>
      <c r="F52" s="33">
        <f>-F51*C20</f>
        <v/>
      </c>
      <c r="G52" s="33">
        <f>-G51*C20</f>
        <v/>
      </c>
      <c r="H52" s="33">
        <f>-H51*C20</f>
        <v/>
      </c>
      <c r="I52" s="33">
        <f>-I51*C20</f>
        <v/>
      </c>
      <c r="J52" s="33">
        <f>-J51*C20</f>
        <v/>
      </c>
      <c r="K52" s="33">
        <f>-K51*C20</f>
        <v/>
      </c>
      <c r="L52" s="33">
        <f>-L51*C20</f>
        <v/>
      </c>
      <c r="M52" s="33">
        <f>-M51*C20</f>
        <v/>
      </c>
    </row>
    <row r="53" ht="15" customHeight="1">
      <c r="B53" s="29" t="inlineStr">
        <is>
          <t>Effective Gross Revenue</t>
        </is>
      </c>
      <c r="D53" s="39">
        <f>D51+D52</f>
        <v/>
      </c>
      <c r="E53" s="33">
        <f>E51+E52</f>
        <v/>
      </c>
      <c r="F53" s="33">
        <f>F51+F52</f>
        <v/>
      </c>
      <c r="G53" s="33">
        <f>G51+G52</f>
        <v/>
      </c>
      <c r="H53" s="33">
        <f>H51+H52</f>
        <v/>
      </c>
      <c r="I53" s="33">
        <f>I51+I52</f>
        <v/>
      </c>
      <c r="J53" s="33">
        <f>J51+J52</f>
        <v/>
      </c>
      <c r="K53" s="33">
        <f>K51+K52</f>
        <v/>
      </c>
      <c r="L53" s="33">
        <f>L51+L52</f>
        <v/>
      </c>
      <c r="M53" s="33">
        <f>M51+M52</f>
        <v/>
      </c>
    </row>
    <row r="54" ht="15" customHeight="1">
      <c r="B54" s="15" t="inlineStr">
        <is>
          <t>OPERATING EXPENSES (landlord — Modified Gross)</t>
        </is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Real-estate taxes</t>
        </is>
      </c>
      <c r="D55" s="33">
        <f>C26*C21*(1+C24)^(1-1)</f>
        <v/>
      </c>
      <c r="E55" s="33">
        <f>C26*C21*(1+C24)^(2-1)</f>
        <v/>
      </c>
      <c r="F55" s="33">
        <f>C26*C21*(1+C24)^(3-1)</f>
        <v/>
      </c>
      <c r="G55" s="33">
        <f>C26*C21*(1+C24)^(4-1)</f>
        <v/>
      </c>
      <c r="H55" s="33">
        <f>C26*C21*(1+C24)^(5-1)</f>
        <v/>
      </c>
      <c r="I55" s="33">
        <f>C26*C21*(1+C24)^(6-1)</f>
        <v/>
      </c>
      <c r="J55" s="33">
        <f>C26*C21*(1+C24)^(7-1)</f>
        <v/>
      </c>
      <c r="K55" s="33">
        <f>C26*C21*(1+C24)^(8-1)</f>
        <v/>
      </c>
      <c r="L55" s="33">
        <f>C26*C21*(1+C24)^(9-1)</f>
        <v/>
      </c>
      <c r="M55" s="33">
        <f>C26*C21*(1+C24)^(10-1)</f>
        <v/>
      </c>
    </row>
    <row r="56" ht="15" customHeight="1">
      <c r="B56" s="12" t="inlineStr">
        <is>
          <t>Office opex (utilities, R&amp;M, ins, CAM)</t>
        </is>
      </c>
      <c r="D56" s="33">
        <f>C15*C22*(1+C24)^(1-1)</f>
        <v/>
      </c>
      <c r="E56" s="33">
        <f>C15*C22*(1+C24)^(2-1)</f>
        <v/>
      </c>
      <c r="F56" s="33">
        <f>C15*C22*(1+C24)^(3-1)</f>
        <v/>
      </c>
      <c r="G56" s="33">
        <f>C15*C22*(1+C24)^(4-1)</f>
        <v/>
      </c>
      <c r="H56" s="33">
        <f>C15*C22*(1+C24)^(5-1)</f>
        <v/>
      </c>
      <c r="I56" s="33">
        <f>C15*C22*(1+C24)^(6-1)</f>
        <v/>
      </c>
      <c r="J56" s="33">
        <f>C15*C22*(1+C24)^(7-1)</f>
        <v/>
      </c>
      <c r="K56" s="33">
        <f>C15*C22*(1+C24)^(8-1)</f>
        <v/>
      </c>
      <c r="L56" s="33">
        <f>C15*C22*(1+C24)^(9-1)</f>
        <v/>
      </c>
      <c r="M56" s="33">
        <f>C15*C22*(1+C24)^(10-1)</f>
        <v/>
      </c>
    </row>
    <row r="57" ht="15" customHeight="1">
      <c r="B57" s="12" t="inlineStr">
        <is>
          <t>Management fee</t>
        </is>
      </c>
      <c r="D57" s="33">
        <f>D53*C23</f>
        <v/>
      </c>
      <c r="E57" s="33">
        <f>E53*C23</f>
        <v/>
      </c>
      <c r="F57" s="33">
        <f>F53*C23</f>
        <v/>
      </c>
      <c r="G57" s="33">
        <f>G53*C23</f>
        <v/>
      </c>
      <c r="H57" s="33">
        <f>H53*C23</f>
        <v/>
      </c>
      <c r="I57" s="33">
        <f>I53*C23</f>
        <v/>
      </c>
      <c r="J57" s="33">
        <f>J53*C23</f>
        <v/>
      </c>
      <c r="K57" s="33">
        <f>K53*C23</f>
        <v/>
      </c>
      <c r="L57" s="33">
        <f>L53*C23</f>
        <v/>
      </c>
      <c r="M57" s="33">
        <f>M53*C23</f>
        <v/>
      </c>
    </row>
    <row r="58" ht="15" customHeight="1">
      <c r="B58" s="29" t="inlineStr">
        <is>
          <t>Total operating expenses</t>
        </is>
      </c>
      <c r="D58" s="39">
        <f>SUM(D55:D57)</f>
        <v/>
      </c>
      <c r="E58" s="33">
        <f>SUM(E55:E57)</f>
        <v/>
      </c>
      <c r="F58" s="33">
        <f>SUM(F55:F57)</f>
        <v/>
      </c>
      <c r="G58" s="33">
        <f>SUM(G55:G57)</f>
        <v/>
      </c>
      <c r="H58" s="33">
        <f>SUM(H55:H57)</f>
        <v/>
      </c>
      <c r="I58" s="33">
        <f>SUM(I55:I57)</f>
        <v/>
      </c>
      <c r="J58" s="33">
        <f>SUM(J55:J57)</f>
        <v/>
      </c>
      <c r="K58" s="33">
        <f>SUM(K55:K57)</f>
        <v/>
      </c>
      <c r="L58" s="33">
        <f>SUM(L55:L57)</f>
        <v/>
      </c>
      <c r="M58" s="33">
        <f>SUM(M55:M57)</f>
        <v/>
      </c>
    </row>
    <row r="59" ht="15" customHeight="1">
      <c r="B59" s="29" t="inlineStr">
        <is>
          <t>NET OPERATING INCOME</t>
        </is>
      </c>
      <c r="D59" s="30">
        <f>D53-D58</f>
        <v/>
      </c>
      <c r="E59" s="31">
        <f>E53-E58</f>
        <v/>
      </c>
      <c r="F59" s="31">
        <f>F53-F58</f>
        <v/>
      </c>
      <c r="G59" s="31">
        <f>G53-G58</f>
        <v/>
      </c>
      <c r="H59" s="31">
        <f>H53-H58</f>
        <v/>
      </c>
      <c r="I59" s="31">
        <f>I53-I58</f>
        <v/>
      </c>
      <c r="J59" s="31">
        <f>J53-J58</f>
        <v/>
      </c>
      <c r="K59" s="31">
        <f>K53-K58</f>
        <v/>
      </c>
      <c r="L59" s="31">
        <f>L53-L58</f>
        <v/>
      </c>
      <c r="M59" s="31">
        <f>M53-M58</f>
        <v/>
      </c>
    </row>
    <row r="60" ht="15" customHeight="1">
      <c r="B60" s="12" t="inlineStr">
        <is>
          <t>Replacement reserves</t>
        </is>
      </c>
      <c r="D60" s="33">
        <f>C15*C25*(1+C24)^(1-1)</f>
        <v/>
      </c>
      <c r="E60" s="33">
        <f>C15*C25*(1+C24)^(2-1)</f>
        <v/>
      </c>
      <c r="F60" s="33">
        <f>C15*C25*(1+C24)^(3-1)</f>
        <v/>
      </c>
      <c r="G60" s="33">
        <f>C15*C25*(1+C24)^(4-1)</f>
        <v/>
      </c>
      <c r="H60" s="33">
        <f>C15*C25*(1+C24)^(5-1)</f>
        <v/>
      </c>
      <c r="I60" s="33">
        <f>C15*C25*(1+C24)^(6-1)</f>
        <v/>
      </c>
      <c r="J60" s="33">
        <f>C15*C25*(1+C24)^(7-1)</f>
        <v/>
      </c>
      <c r="K60" s="33">
        <f>C15*C25*(1+C24)^(8-1)</f>
        <v/>
      </c>
      <c r="L60" s="33">
        <f>C15*C25*(1+C24)^(9-1)</f>
        <v/>
      </c>
      <c r="M60" s="33">
        <f>C15*C25*(1+C24)^(10-1)</f>
        <v/>
      </c>
    </row>
    <row r="61" ht="15" customHeight="1">
      <c r="B61" s="29" t="inlineStr">
        <is>
          <t>Unlevered cash flow (before reversion)</t>
        </is>
      </c>
      <c r="C61" s="30">
        <f>-C26*(1+C27)</f>
        <v/>
      </c>
      <c r="D61" s="30">
        <f>D59-D60</f>
        <v/>
      </c>
      <c r="E61" s="31">
        <f>E59-E60</f>
        <v/>
      </c>
      <c r="F61" s="31">
        <f>F59-F60</f>
        <v/>
      </c>
      <c r="G61" s="31">
        <f>G59-G60</f>
        <v/>
      </c>
      <c r="H61" s="31">
        <f>H59-H60</f>
        <v/>
      </c>
      <c r="I61" s="31">
        <f>I59-I60</f>
        <v/>
      </c>
      <c r="J61" s="31">
        <f>J59-J60</f>
        <v/>
      </c>
      <c r="K61" s="31">
        <f>K59-K60</f>
        <v/>
      </c>
      <c r="L61" s="31">
        <f>L59-L60</f>
        <v/>
      </c>
      <c r="M61" s="31">
        <f>M59-M60</f>
        <v/>
      </c>
    </row>
    <row r="62"/>
    <row r="63">
      <c r="B63" s="11" t="inlineStr">
        <is>
          <t>REVERSION, DEBT SERVICE  &amp;  LEVERED CASH FLOW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12" t="inlineStr">
        <is>
          <t>Net sale proceeds (exit year)</t>
        </is>
      </c>
      <c r="D64" s="33">
        <f>IF(1=C34,(D59*(1+C19)/C32)*(1-C33),0)</f>
        <v/>
      </c>
      <c r="E64" s="33">
        <f>IF(2=C34,(E59*(1+C19)/C32)*(1-C33),0)</f>
        <v/>
      </c>
      <c r="F64" s="33">
        <f>IF(3=C34,(F59*(1+C19)/C32)*(1-C33),0)</f>
        <v/>
      </c>
      <c r="G64" s="33">
        <f>IF(4=C34,(G59*(1+C19)/C32)*(1-C33),0)</f>
        <v/>
      </c>
      <c r="H64" s="33">
        <f>IF(5=C34,(H59*(1+C19)/C32)*(1-C33),0)</f>
        <v/>
      </c>
      <c r="I64" s="33">
        <f>IF(6=C34,(I59*(1+C19)/C32)*(1-C33),0)</f>
        <v/>
      </c>
      <c r="J64" s="33">
        <f>IF(7=C34,(J59*(1+C19)/C32)*(1-C33),0)</f>
        <v/>
      </c>
      <c r="K64" s="33">
        <f>IF(8=C34,(K59*(1+C19)/C32)*(1-C33),0)</f>
        <v/>
      </c>
      <c r="L64" s="33">
        <f>IF(9=C34,(L59*(1+C19)/C32)*(1-C33),0)</f>
        <v/>
      </c>
      <c r="M64" s="33">
        <f>IF(10=C34,(M59*(1+C19)/C32)*(1-C33),0)</f>
        <v/>
      </c>
    </row>
    <row r="65" ht="15" customHeight="1">
      <c r="B65" s="29" t="inlineStr">
        <is>
          <t>UNLEVERED PROJECT CASH FLOW</t>
        </is>
      </c>
      <c r="C65" s="30">
        <f>C61</f>
        <v/>
      </c>
      <c r="D65" s="30">
        <f>IF(1&lt;=C34,D61,0)+D64</f>
        <v/>
      </c>
      <c r="E65" s="31">
        <f>IF(2&lt;=C34,E61,0)+E64</f>
        <v/>
      </c>
      <c r="F65" s="31">
        <f>IF(3&lt;=C34,F61,0)+F64</f>
        <v/>
      </c>
      <c r="G65" s="31">
        <f>IF(4&lt;=C34,G61,0)+G64</f>
        <v/>
      </c>
      <c r="H65" s="31">
        <f>IF(5&lt;=C34,H61,0)+H64</f>
        <v/>
      </c>
      <c r="I65" s="31">
        <f>IF(6&lt;=C34,I61,0)+I64</f>
        <v/>
      </c>
      <c r="J65" s="31">
        <f>IF(7&lt;=C34,J61,0)+J64</f>
        <v/>
      </c>
      <c r="K65" s="31">
        <f>IF(8&lt;=C34,K61,0)+K64</f>
        <v/>
      </c>
      <c r="L65" s="31">
        <f>IF(9&lt;=C34,L61,0)+L64</f>
        <v/>
      </c>
      <c r="M65" s="31">
        <f>IF(10&lt;=C34,M61,0)+M64</f>
        <v/>
      </c>
    </row>
    <row r="66" ht="15" customHeight="1">
      <c r="B66" s="12" t="inlineStr">
        <is>
          <t>Loan balance (year-end)</t>
        </is>
      </c>
      <c r="D66" s="33">
        <f>C39*(1+C40)^(12*1)-(C41/12)*((1+C40)^(12*1)-1)/C40</f>
        <v/>
      </c>
      <c r="E66" s="33">
        <f>C39*(1+C40)^(12*2)-(C41/12)*((1+C40)^(12*2)-1)/C40</f>
        <v/>
      </c>
      <c r="F66" s="33">
        <f>C39*(1+C40)^(12*3)-(C41/12)*((1+C40)^(12*3)-1)/C40</f>
        <v/>
      </c>
      <c r="G66" s="33">
        <f>C39*(1+C40)^(12*4)-(C41/12)*((1+C40)^(12*4)-1)/C40</f>
        <v/>
      </c>
      <c r="H66" s="33">
        <f>C39*(1+C40)^(12*5)-(C41/12)*((1+C40)^(12*5)-1)/C40</f>
        <v/>
      </c>
      <c r="I66" s="33">
        <f>C39*(1+C40)^(12*6)-(C41/12)*((1+C40)^(12*6)-1)/C40</f>
        <v/>
      </c>
      <c r="J66" s="33">
        <f>C39*(1+C40)^(12*7)-(C41/12)*((1+C40)^(12*7)-1)/C40</f>
        <v/>
      </c>
      <c r="K66" s="33">
        <f>C39*(1+C40)^(12*8)-(C41/12)*((1+C40)^(12*8)-1)/C40</f>
        <v/>
      </c>
      <c r="L66" s="33">
        <f>C39*(1+C40)^(12*9)-(C41/12)*((1+C40)^(12*9)-1)/C40</f>
        <v/>
      </c>
      <c r="M66" s="33">
        <f>C39*(1+C40)^(12*10)-(C41/12)*((1+C40)^(12*10)-1)/C40</f>
        <v/>
      </c>
    </row>
    <row r="67" ht="15" customHeight="1">
      <c r="B67" s="12" t="inlineStr">
        <is>
          <t>DSCR (NOI ÷ DS)</t>
        </is>
      </c>
      <c r="D67" s="42">
        <f>D59/C41</f>
        <v/>
      </c>
      <c r="E67" s="42">
        <f>E59/C41</f>
        <v/>
      </c>
      <c r="F67" s="42">
        <f>F59/C41</f>
        <v/>
      </c>
      <c r="G67" s="42">
        <f>G59/C41</f>
        <v/>
      </c>
      <c r="H67" s="42">
        <f>H59/C41</f>
        <v/>
      </c>
      <c r="I67" s="42">
        <f>I59/C41</f>
        <v/>
      </c>
      <c r="J67" s="42">
        <f>J59/C41</f>
        <v/>
      </c>
      <c r="K67" s="42">
        <f>K59/C41</f>
        <v/>
      </c>
      <c r="L67" s="42">
        <f>L59/C41</f>
        <v/>
      </c>
      <c r="M67" s="42">
        <f>M59/C41</f>
        <v/>
      </c>
    </row>
    <row r="68" ht="15" customHeight="1">
      <c r="B68" s="29" t="inlineStr">
        <is>
          <t>LEVERED CASH FLOW (equity)</t>
        </is>
      </c>
      <c r="C68" s="30">
        <f>-C42</f>
        <v/>
      </c>
      <c r="D68" s="30">
        <f>IF(1&lt;=C34,D61-C41,0)+IF(1=C34,D64-D66,0)</f>
        <v/>
      </c>
      <c r="E68" s="31">
        <f>IF(2&lt;=C34,E61-C41,0)+IF(2=C34,E64-E66,0)</f>
        <v/>
      </c>
      <c r="F68" s="31">
        <f>IF(3&lt;=C34,F61-C41,0)+IF(3=C34,F64-F66,0)</f>
        <v/>
      </c>
      <c r="G68" s="31">
        <f>IF(4&lt;=C34,G61-C41,0)+IF(4=C34,G64-G66,0)</f>
        <v/>
      </c>
      <c r="H68" s="31">
        <f>IF(5&lt;=C34,H61-C41,0)+IF(5=C34,H64-H66,0)</f>
        <v/>
      </c>
      <c r="I68" s="31">
        <f>IF(6&lt;=C34,I61-C41,0)+IF(6=C34,I64-I66,0)</f>
        <v/>
      </c>
      <c r="J68" s="31">
        <f>IF(7&lt;=C34,J61-C41,0)+IF(7=C34,J64-J66,0)</f>
        <v/>
      </c>
      <c r="K68" s="31">
        <f>IF(8&lt;=C34,K61-C41,0)+IF(8=C34,K64-K66,0)</f>
        <v/>
      </c>
      <c r="L68" s="31">
        <f>IF(9&lt;=C34,L61-C41,0)+IF(9=C34,L64-L66,0)</f>
        <v/>
      </c>
      <c r="M68" s="31">
        <f>IF(10&lt;=C34,M61-C41,0)+IF(10=C34,M64-M66,0)</f>
        <v/>
      </c>
    </row>
    <row r="69"/>
    <row r="70">
      <c r="B70" s="11" t="inlineStr">
        <is>
          <t>RETURNS  —  unlevered &amp; levered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2" t="inlineStr">
        <is>
          <t>Unlevered IRR</t>
        </is>
      </c>
      <c r="C71" s="41">
        <f>IRR(C65:M65)</f>
        <v/>
      </c>
    </row>
    <row r="72" ht="15" customHeight="1">
      <c r="B72" s="12" t="inlineStr">
        <is>
          <t>Unlevered equity multiple</t>
        </is>
      </c>
      <c r="C72" s="42">
        <f>SUM(D65:M65)/-C65</f>
        <v/>
      </c>
    </row>
    <row r="73" ht="15" customHeight="1">
      <c r="B73" s="12" t="inlineStr">
        <is>
          <t>Unlevered NPV @ discount rate</t>
        </is>
      </c>
      <c r="C73" s="39">
        <f>C65+NPV(C35,D65:M65)</f>
        <v/>
      </c>
    </row>
    <row r="74" ht="15" customHeight="1">
      <c r="B74" s="12" t="inlineStr">
        <is>
          <t>Levered IRR</t>
        </is>
      </c>
      <c r="C74" s="41">
        <f>IRR(C68:M68)</f>
        <v/>
      </c>
    </row>
    <row r="75" ht="15" customHeight="1">
      <c r="B75" s="12" t="inlineStr">
        <is>
          <t>Levered equity multiple</t>
        </is>
      </c>
      <c r="C75" s="42">
        <f>SUM(D68:M68)/C42</f>
        <v/>
      </c>
    </row>
    <row r="76" ht="15" customHeight="1">
      <c r="B76" s="12" t="inlineStr">
        <is>
          <t>Year-1 NOI (pro-forma)</t>
        </is>
      </c>
      <c r="C76" s="39">
        <f>D59</f>
        <v/>
      </c>
    </row>
    <row r="77" ht="15" customHeight="1">
      <c r="B77" s="12" t="inlineStr">
        <is>
          <t>As-is in-place NOI (at occ0, no lease-up)</t>
        </is>
      </c>
      <c r="C77" s="39">
        <f>(C15*C16*C18)-(C15*C16*C18)*C20-(C26*C21+C15*C22)-((C15*C16*C18)-(C15*C16*C18)*C20)*C23</f>
        <v/>
      </c>
    </row>
    <row r="78" ht="15" customHeight="1">
      <c r="B78" s="12" t="inlineStr">
        <is>
          <t>Going-in cap (as-is NOI ÷ price)</t>
        </is>
      </c>
      <c r="C78" s="38">
        <f>C77/C26</f>
        <v/>
      </c>
    </row>
    <row r="79" ht="15" customHeight="1">
      <c r="B79" s="12" t="inlineStr">
        <is>
          <t>Stabilized NOI (Yr 2)</t>
        </is>
      </c>
      <c r="C79" s="39">
        <f>E59</f>
        <v/>
      </c>
    </row>
    <row r="80" ht="15" customHeight="1">
      <c r="B80" s="12" t="inlineStr">
        <is>
          <t>Stabilized value (÷ exit cap)</t>
        </is>
      </c>
      <c r="C80" s="39">
        <f>C79/C32</f>
        <v/>
      </c>
    </row>
    <row r="81" ht="15" customHeight="1">
      <c r="B81" s="12" t="inlineStr">
        <is>
          <t>In-place NOI per SF</t>
        </is>
      </c>
      <c r="C81" s="56">
        <f>D59/C15</f>
        <v/>
      </c>
    </row>
    <row r="82" ht="15" customHeight="1">
      <c r="B82" s="12" t="inlineStr">
        <is>
          <t>Income value (Yr-1 NOI ÷ going-in cap)</t>
        </is>
      </c>
      <c r="C82" s="39">
        <f>D59/C31</f>
        <v/>
      </c>
    </row>
    <row r="83" ht="15" customHeight="1">
      <c r="B83" s="12" t="inlineStr">
        <is>
          <t>Sale-comp value (SF × $/SF)</t>
        </is>
      </c>
      <c r="C83" s="39">
        <f>C15*C36</f>
        <v/>
      </c>
    </row>
    <row r="84"/>
    <row r="85">
      <c r="B85" s="11" t="inlineStr">
        <is>
          <t>LEASE-POSITION VALUATION BY OWNER  —  the two dominant condo owners</t>
        </is>
      </c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3" t="n"/>
    </row>
    <row r="86" ht="15" customHeight="1">
      <c r="B86" s="15" t="inlineStr">
        <is>
          <t>Owner</t>
        </is>
      </c>
      <c r="C86" s="14" t="n"/>
      <c r="D86" s="16" t="inlineStr">
        <is>
          <t>SF owned</t>
        </is>
      </c>
      <c r="E86" s="16" t="inlineStr">
        <is>
          <t>% bldg</t>
        </is>
      </c>
      <c r="F86" s="16" t="inlineStr">
        <is>
          <t>2019 basis</t>
        </is>
      </c>
      <c r="G86" s="16" t="inlineStr">
        <is>
          <t>Income value</t>
        </is>
      </c>
      <c r="H86" s="16" t="inlineStr">
        <is>
          <t>$300/SF comp</t>
        </is>
      </c>
      <c r="I86" s="15" t="inlineStr">
        <is>
          <t>Note</t>
        </is>
      </c>
      <c r="J86" s="13" t="n"/>
      <c r="K86" s="13" t="n"/>
      <c r="L86" s="13" t="n"/>
      <c r="M86" s="14" t="n"/>
    </row>
    <row r="87" ht="15" customHeight="1">
      <c r="B87" s="12" t="inlineStr">
        <is>
          <t>Main Street Fund LLC</t>
        </is>
      </c>
      <c r="C87" s="14" t="n"/>
      <c r="D87" s="55" t="n">
        <v>96930</v>
      </c>
      <c r="E87" s="41" t="n">
        <v>0.574</v>
      </c>
      <c r="F87" s="33" t="n">
        <v>10000000</v>
      </c>
      <c r="G87" s="33">
        <f>C81*D87/C31</f>
        <v/>
      </c>
      <c r="H87" s="33">
        <f>D87*C36</f>
        <v/>
      </c>
      <c r="I87" s="12" t="inlineStr">
        <is>
          <t>Bought 57.4% + 2 parking lots for $10.0M (Sept 2019) — dominant owner / lessor</t>
        </is>
      </c>
      <c r="J87" s="13" t="n"/>
      <c r="K87" s="13" t="n"/>
      <c r="L87" s="13" t="n"/>
      <c r="M87" s="14" t="n"/>
    </row>
    <row r="88" ht="15" customHeight="1">
      <c r="B88" s="12" t="inlineStr">
        <is>
          <t>International Sunrise Partners LLC</t>
        </is>
      </c>
      <c r="C88" s="14" t="n"/>
      <c r="D88" s="55" t="n">
        <v>71877</v>
      </c>
      <c r="E88" s="41" t="n">
        <v>0.426</v>
      </c>
      <c r="F88" s="69" t="inlineStr">
        <is>
          <t>—</t>
        </is>
      </c>
      <c r="G88" s="33">
        <f>C81*D88/C31</f>
        <v/>
      </c>
      <c r="H88" s="33">
        <f>D88*C36</f>
        <v/>
      </c>
      <c r="I88" s="12" t="inlineStr">
        <is>
          <t>Prior bulk owner (2011 condo-conversion sponsor); retains the balance of units</t>
        </is>
      </c>
      <c r="J88" s="13" t="n"/>
      <c r="K88" s="13" t="n"/>
      <c r="L88" s="13" t="n"/>
      <c r="M88" s="14" t="n"/>
    </row>
    <row r="89" ht="15" customHeight="1">
      <c r="B89" s="19" t="inlineStr">
        <is>
          <t>TOTAL BUILDING</t>
        </is>
      </c>
      <c r="C89" s="14" t="n"/>
      <c r="D89" s="53">
        <f>SUM(D87:D88)</f>
        <v/>
      </c>
      <c r="E89" s="21">
        <f>SUM(E87:E88)</f>
        <v/>
      </c>
      <c r="F89" s="70" t="inlineStr">
        <is>
          <t>—</t>
        </is>
      </c>
      <c r="G89" s="20">
        <f>SUM(G87:G88)</f>
        <v/>
      </c>
      <c r="H89" s="20">
        <f>SUM(H87:H88)</f>
        <v/>
      </c>
      <c r="I89" s="19" t="inlineStr">
        <is>
          <t>buy out both to assemble</t>
        </is>
      </c>
      <c r="J89" s="13" t="n"/>
      <c r="K89" s="13" t="n"/>
      <c r="L89" s="13" t="n"/>
      <c r="M89" s="14" t="n"/>
    </row>
    <row r="90"/>
    <row r="91">
      <c r="B91" s="11" t="inlineStr">
        <is>
          <t>PROFIT &amp; LOSS STATEMENT  —  Year 1 vs. Stabilized (Yr 2)</t>
        </is>
      </c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3" t="n"/>
    </row>
    <row r="92" ht="15" customHeight="1">
      <c r="B92" s="15" t="inlineStr">
        <is>
          <t>$ / year</t>
        </is>
      </c>
      <c r="F92" s="67" t="inlineStr">
        <is>
          <t>Year 1</t>
        </is>
      </c>
      <c r="G92" s="14" t="n"/>
      <c r="H92" s="67" t="inlineStr">
        <is>
          <t>Stabilized</t>
        </is>
      </c>
      <c r="I92" s="14" t="n"/>
      <c r="J92" s="67" t="inlineStr">
        <is>
          <t>Per SF (stab.)</t>
        </is>
      </c>
      <c r="K92" s="13" t="n"/>
      <c r="L92" s="13" t="n"/>
      <c r="M92" s="14" t="n"/>
    </row>
    <row r="93" ht="15" customHeight="1">
      <c r="B93" s="40" t="inlineStr">
        <is>
          <t>Gross rental income (MG)</t>
        </is>
      </c>
      <c r="F93" s="31">
        <f>D51</f>
        <v/>
      </c>
      <c r="G93" s="14" t="n"/>
      <c r="H93" s="30">
        <f>E51</f>
        <v/>
      </c>
      <c r="I93" s="14" t="n"/>
      <c r="J93" s="68">
        <f>H93/C15</f>
        <v/>
      </c>
      <c r="K93" s="13" t="n"/>
      <c r="L93" s="13" t="n"/>
      <c r="M93" s="14" t="n"/>
    </row>
    <row r="94" ht="15" customHeight="1">
      <c r="B94" s="12" t="inlineStr">
        <is>
          <t>Less: credit &amp; vacancy loss</t>
        </is>
      </c>
      <c r="F94" s="33">
        <f>D52</f>
        <v/>
      </c>
      <c r="G94" s="14" t="n"/>
      <c r="H94" s="33">
        <f>E52</f>
        <v/>
      </c>
      <c r="I94" s="14" t="n"/>
      <c r="J94" s="56">
        <f>H94/C15</f>
        <v/>
      </c>
      <c r="K94" s="13" t="n"/>
      <c r="L94" s="13" t="n"/>
      <c r="M94" s="14" t="n"/>
    </row>
    <row r="95" ht="15" customHeight="1">
      <c r="B95" s="29" t="inlineStr">
        <is>
          <t>Effective Gross Income</t>
        </is>
      </c>
      <c r="F95" s="31">
        <f>D53</f>
        <v/>
      </c>
      <c r="G95" s="14" t="n"/>
      <c r="H95" s="30">
        <f>E53</f>
        <v/>
      </c>
      <c r="I95" s="14" t="n"/>
      <c r="J95" s="68">
        <f>H95/C15</f>
        <v/>
      </c>
      <c r="K95" s="13" t="n"/>
      <c r="L95" s="13" t="n"/>
      <c r="M95" s="14" t="n"/>
    </row>
    <row r="96" ht="15" customHeight="1">
      <c r="B96" s="12" t="inlineStr">
        <is>
          <t>Real-estate taxes</t>
        </is>
      </c>
      <c r="F96" s="33">
        <f>-D55</f>
        <v/>
      </c>
      <c r="G96" s="14" t="n"/>
      <c r="H96" s="33">
        <f>-E55</f>
        <v/>
      </c>
      <c r="I96" s="14" t="n"/>
      <c r="J96" s="56">
        <f>H96/C15</f>
        <v/>
      </c>
      <c r="K96" s="13" t="n"/>
      <c r="L96" s="13" t="n"/>
      <c r="M96" s="14" t="n"/>
    </row>
    <row r="97" ht="15" customHeight="1">
      <c r="B97" s="12" t="inlineStr">
        <is>
          <t>Office opex (landlord)</t>
        </is>
      </c>
      <c r="F97" s="33">
        <f>-D56</f>
        <v/>
      </c>
      <c r="G97" s="14" t="n"/>
      <c r="H97" s="33">
        <f>-E56</f>
        <v/>
      </c>
      <c r="I97" s="14" t="n"/>
      <c r="J97" s="56">
        <f>H97/C15</f>
        <v/>
      </c>
      <c r="K97" s="13" t="n"/>
      <c r="L97" s="13" t="n"/>
      <c r="M97" s="14" t="n"/>
    </row>
    <row r="98" ht="15" customHeight="1">
      <c r="B98" s="12" t="inlineStr">
        <is>
          <t>Management fee</t>
        </is>
      </c>
      <c r="F98" s="33">
        <f>-D57</f>
        <v/>
      </c>
      <c r="G98" s="14" t="n"/>
      <c r="H98" s="33">
        <f>-E57</f>
        <v/>
      </c>
      <c r="I98" s="14" t="n"/>
      <c r="J98" s="56">
        <f>H98/C15</f>
        <v/>
      </c>
      <c r="K98" s="13" t="n"/>
      <c r="L98" s="13" t="n"/>
      <c r="M98" s="14" t="n"/>
    </row>
    <row r="99" ht="15" customHeight="1">
      <c r="B99" s="29" t="inlineStr">
        <is>
          <t>Net Operating Income</t>
        </is>
      </c>
      <c r="F99" s="31">
        <f>D59</f>
        <v/>
      </c>
      <c r="G99" s="14" t="n"/>
      <c r="H99" s="30">
        <f>E59</f>
        <v/>
      </c>
      <c r="I99" s="14" t="n"/>
      <c r="J99" s="68">
        <f>H99/C15</f>
        <v/>
      </c>
      <c r="K99" s="13" t="n"/>
      <c r="L99" s="13" t="n"/>
      <c r="M99" s="14" t="n"/>
    </row>
    <row r="100" ht="15" customHeight="1">
      <c r="B100" s="12" t="inlineStr">
        <is>
          <t>Replacement reserves</t>
        </is>
      </c>
      <c r="F100" s="33">
        <f>-D60</f>
        <v/>
      </c>
      <c r="G100" s="14" t="n"/>
      <c r="H100" s="33">
        <f>-E60</f>
        <v/>
      </c>
      <c r="I100" s="14" t="n"/>
      <c r="J100" s="56">
        <f>H100/C15</f>
        <v/>
      </c>
      <c r="K100" s="13" t="n"/>
      <c r="L100" s="13" t="n"/>
      <c r="M100" s="14" t="n"/>
    </row>
    <row r="101" ht="15" customHeight="1">
      <c r="B101" s="29" t="inlineStr">
        <is>
          <t>Cash Flow Before Debt</t>
        </is>
      </c>
      <c r="F101" s="31">
        <f>D61</f>
        <v/>
      </c>
      <c r="G101" s="14" t="n"/>
      <c r="H101" s="30">
        <f>E61</f>
        <v/>
      </c>
      <c r="I101" s="14" t="n"/>
      <c r="J101" s="68">
        <f>H101/C15</f>
        <v/>
      </c>
      <c r="K101" s="13" t="n"/>
      <c r="L101" s="13" t="n"/>
      <c r="M101" s="14" t="n"/>
    </row>
    <row r="102" ht="15" customHeight="1">
      <c r="B102" s="12" t="inlineStr">
        <is>
          <t>Debt service</t>
        </is>
      </c>
      <c r="F102" s="33">
        <f>-C41</f>
        <v/>
      </c>
      <c r="G102" s="14" t="n"/>
      <c r="H102" s="33">
        <f>-C41</f>
        <v/>
      </c>
      <c r="I102" s="14" t="n"/>
      <c r="J102" s="56">
        <f>H102/C15</f>
        <v/>
      </c>
      <c r="K102" s="13" t="n"/>
      <c r="L102" s="13" t="n"/>
      <c r="M102" s="14" t="n"/>
    </row>
    <row r="103" ht="15" customHeight="1">
      <c r="B103" s="29" t="inlineStr">
        <is>
          <t>Cash Flow After Debt (levered)</t>
        </is>
      </c>
      <c r="F103" s="30">
        <f>F101-C41</f>
        <v/>
      </c>
      <c r="G103" s="14" t="n"/>
      <c r="H103" s="30">
        <f>H101-C41</f>
        <v/>
      </c>
      <c r="I103" s="14" t="n"/>
      <c r="J103" s="68">
        <f>H103/C15</f>
        <v/>
      </c>
      <c r="K103" s="13" t="n"/>
      <c r="L103" s="13" t="n"/>
      <c r="M103" s="14" t="n"/>
    </row>
  </sheetData>
  <mergeCells count="86">
    <mergeCell ref="B2:M2"/>
    <mergeCell ref="D12:M12"/>
    <mergeCell ref="J96:M96"/>
    <mergeCell ref="D9:M9"/>
    <mergeCell ref="F103:G103"/>
    <mergeCell ref="I86:M86"/>
    <mergeCell ref="D30:M30"/>
    <mergeCell ref="D39:M39"/>
    <mergeCell ref="D29:M29"/>
    <mergeCell ref="D23:M23"/>
    <mergeCell ref="B86:C86"/>
    <mergeCell ref="H94:I94"/>
    <mergeCell ref="I87:M87"/>
    <mergeCell ref="F96:G96"/>
    <mergeCell ref="H96:I96"/>
    <mergeCell ref="D27:M27"/>
    <mergeCell ref="I88:M88"/>
    <mergeCell ref="B54:M54"/>
    <mergeCell ref="D17:M17"/>
    <mergeCell ref="F98:G98"/>
    <mergeCell ref="J95:M95"/>
    <mergeCell ref="D25:M25"/>
    <mergeCell ref="F99:G99"/>
    <mergeCell ref="H93:I93"/>
    <mergeCell ref="H102:I102"/>
    <mergeCell ref="D5:M5"/>
    <mergeCell ref="F94:G94"/>
    <mergeCell ref="J93:M93"/>
    <mergeCell ref="D31:M31"/>
    <mergeCell ref="J102:M102"/>
    <mergeCell ref="B85:M85"/>
    <mergeCell ref="D21:M21"/>
    <mergeCell ref="J99:M99"/>
    <mergeCell ref="B4:M4"/>
    <mergeCell ref="D32:M32"/>
    <mergeCell ref="H95:I95"/>
    <mergeCell ref="J101:M101"/>
    <mergeCell ref="B46:M46"/>
    <mergeCell ref="B89:C89"/>
    <mergeCell ref="D7:M7"/>
    <mergeCell ref="D16:M16"/>
    <mergeCell ref="J100:M100"/>
    <mergeCell ref="J94:M94"/>
    <mergeCell ref="H97:I97"/>
    <mergeCell ref="B70:M70"/>
    <mergeCell ref="D18:M18"/>
    <mergeCell ref="D8:M8"/>
    <mergeCell ref="J97:M97"/>
    <mergeCell ref="D35:M35"/>
    <mergeCell ref="D20:M20"/>
    <mergeCell ref="D34:M34"/>
    <mergeCell ref="B88:C88"/>
    <mergeCell ref="F101:G101"/>
    <mergeCell ref="F100:G100"/>
    <mergeCell ref="D22:M22"/>
    <mergeCell ref="H100:I100"/>
    <mergeCell ref="D36:M36"/>
    <mergeCell ref="B63:M63"/>
    <mergeCell ref="D6:M6"/>
    <mergeCell ref="F93:G93"/>
    <mergeCell ref="F102:G102"/>
    <mergeCell ref="B91:M91"/>
    <mergeCell ref="F92:G92"/>
    <mergeCell ref="J103:M103"/>
    <mergeCell ref="H92:I92"/>
    <mergeCell ref="H103:I103"/>
    <mergeCell ref="I89:M89"/>
    <mergeCell ref="B14:M14"/>
    <mergeCell ref="D15:M15"/>
    <mergeCell ref="B1:M1"/>
    <mergeCell ref="D24:M24"/>
    <mergeCell ref="D33:M33"/>
    <mergeCell ref="B38:M38"/>
    <mergeCell ref="F95:G95"/>
    <mergeCell ref="J92:M92"/>
    <mergeCell ref="D26:M26"/>
    <mergeCell ref="H98:I98"/>
    <mergeCell ref="D10:M10"/>
    <mergeCell ref="F97:G97"/>
    <mergeCell ref="D19:M19"/>
    <mergeCell ref="B87:C87"/>
    <mergeCell ref="H99:I99"/>
    <mergeCell ref="J98:M98"/>
    <mergeCell ref="D11:M11"/>
    <mergeCell ref="H101:I10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Sunrise and Bayview Partners, LLC (Procacci Development affiliate; BBX exited 2022)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Land</t>
        </is>
      </c>
      <c r="D6" s="12" t="inlineStr">
        <is>
          <t>2.39 ac ≈ 104,108 SF — same plat block (49-42-36-12) as the assemblage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Existing improvement</t>
        </is>
      </c>
      <c r="D7" s="12" t="inlineStr">
        <is>
          <t>84,495 SF office building (built 1967) — a redevelopment site, not raw land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Zoning</t>
        </is>
      </c>
      <c r="D8" s="12" t="inlineStr">
        <is>
          <t>B-1 (Boulevard Business) / CB core commercial; active rezoning UDP-Z25002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Entitlement</t>
        </is>
      </c>
      <c r="D9" s="12" t="inlineStr">
        <is>
          <t>“The Residences at Bayview” — 259 units + 8,081 SF commercial, 8-story (81 ft)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BCPA market value</t>
        </is>
      </c>
      <c r="D10" s="12" t="inlineStr">
        <is>
          <t>≈ $6,685,580 (reported)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Status</t>
        </is>
      </c>
      <c r="D11" s="12" t="inlineStr">
        <is>
          <t>NOT listed — owner is entitling, not selling; a future assemblage/JV target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Covered-land thesis</t>
        </is>
      </c>
      <c r="D12" s="12" t="inlineStr">
        <is>
          <t>Interim office income covers carry; value is the entitled land + Live Local density optionality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Land (SF)</t>
        </is>
      </c>
      <c r="C15" s="65" t="n">
        <v>104108</v>
      </c>
      <c r="D15" s="22" t="inlineStr">
        <is>
          <t>⚠️ 2.39 ac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Existing office SF</t>
        </is>
      </c>
      <c r="C16" s="65" t="n">
        <v>84495</v>
      </c>
      <c r="D16" s="22" t="inlineStr">
        <is>
          <t>⚠️ 1967 bldg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Entitled units</t>
        </is>
      </c>
      <c r="C17" s="65" t="n">
        <v>259</v>
      </c>
      <c r="D17" s="22" t="inlineStr">
        <is>
          <t>⚠️ approved 259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BCPA market value</t>
        </is>
      </c>
      <c r="C18" s="66" t="n">
        <v>6685580</v>
      </c>
      <c r="D18" s="22" t="inlineStr">
        <is>
          <t>⚠️ reported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Interim office occupancy</t>
        </is>
      </c>
      <c r="C19" s="35" t="n">
        <v>0.72</v>
      </c>
      <c r="D19" s="22" t="inlineStr">
        <is>
          <t>🔶 covered-land income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Interim office rent ($/SF MG)</t>
        </is>
      </c>
      <c r="C20" s="60" t="n">
        <v>23</v>
      </c>
      <c r="D20" s="22" t="inlineStr">
        <is>
          <t>🔶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Interim office opex ($/SF)</t>
        </is>
      </c>
      <c r="C21" s="60" t="n">
        <v>8</v>
      </c>
      <c r="D21" s="22" t="inlineStr">
        <is>
          <t>🔶 landlord (MG)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Management fee (% EGR)</t>
        </is>
      </c>
      <c r="C22" s="35" t="n">
        <v>0.03</v>
      </c>
      <c r="D22" s="22" t="inlineStr">
        <is>
          <t>🔶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Effective millage</t>
        </is>
      </c>
      <c r="C23" s="34" t="n">
        <v>0.0191</v>
      </c>
      <c r="D23" s="22" t="inlineStr">
        <is>
          <t>✅ area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Acquisition basis (entitled land)</t>
        </is>
      </c>
      <c r="C24" s="66" t="n">
        <v>13000000</v>
      </c>
      <c r="D24" s="22" t="inlineStr">
        <is>
          <t>🔶 ≈ 259 units × ~$50k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Closing &amp; acq costs (% price)</t>
        </is>
      </c>
      <c r="C25" s="35" t="n">
        <v>0.02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Land value growth</t>
        </is>
      </c>
      <c r="C26" s="35" t="n">
        <v>0.04</v>
      </c>
      <c r="D26" s="22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Hold period (yrs)</t>
        </is>
      </c>
      <c r="C27" s="36" t="n">
        <v>5</v>
      </c>
      <c r="D27" s="22" t="inlineStr">
        <is>
          <t>🔶 to redevelopment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loan LTV (IO)</t>
        </is>
      </c>
      <c r="C28" s="35" t="n">
        <v>0.4</v>
      </c>
      <c r="D28" s="22" t="inlineStr">
        <is>
          <t>🔶 land/bridge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Land loan rate (IO)</t>
        </is>
      </c>
      <c r="C29" s="34" t="n">
        <v>0.08500000000000001</v>
      </c>
      <c r="D29" s="22" t="inlineStr">
        <is>
          <t>🔶 land premium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Cost of sale at exit</t>
        </is>
      </c>
      <c r="C30" s="35" t="n">
        <v>0.02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Discount rate (NPV)</t>
        </is>
      </c>
      <c r="C31" s="35" t="n">
        <v>0.1</v>
      </c>
      <c r="D31" s="22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Expense growth</t>
        </is>
      </c>
      <c r="C32" s="35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/>
    <row r="34">
      <c r="B34" s="11" t="inlineStr">
        <is>
          <t>LAND VALUATION  —  four approaches (Low / Base / High)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 ht="15" customHeight="1">
      <c r="B35" s="15" t="inlineStr">
        <is>
          <t>Approach</t>
        </is>
      </c>
      <c r="D35" s="67" t="inlineStr">
        <is>
          <t>Low</t>
        </is>
      </c>
      <c r="E35" s="67" t="inlineStr">
        <is>
          <t>Base</t>
        </is>
      </c>
      <c r="F35" s="67" t="inlineStr">
        <is>
          <t>High</t>
        </is>
      </c>
      <c r="G35" s="15" t="inlineStr">
        <is>
          <t>Basis / note</t>
        </is>
      </c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① Per SF of land</t>
        </is>
      </c>
      <c r="D36" s="33">
        <f>C15*64.0</f>
        <v/>
      </c>
      <c r="E36" s="39">
        <f>C15*125.0</f>
        <v/>
      </c>
      <c r="F36" s="33">
        <f>C15*200.0</f>
        <v/>
      </c>
      <c r="G36" s="22" t="inlineStr">
        <is>
          <t>$64 / $125 / $200 per land SF</t>
        </is>
      </c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② Per entitled unit</t>
        </is>
      </c>
      <c r="D37" s="33">
        <f>C17*40000</f>
        <v/>
      </c>
      <c r="E37" s="39">
        <f>C17*55000</f>
        <v/>
      </c>
      <c r="F37" s="33">
        <f>C17*70000</f>
        <v/>
      </c>
      <c r="G37" s="22" t="inlineStr">
        <is>
          <t>259 units × $40k / $55k / $70k</t>
        </is>
      </c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③ BCPA market value (floor)</t>
        </is>
      </c>
      <c r="D38" s="33">
        <f>C18</f>
        <v/>
      </c>
      <c r="E38" s="39">
        <f>C18</f>
        <v/>
      </c>
      <c r="F38" s="33">
        <f>C18</f>
        <v/>
      </c>
      <c r="G38" s="22" t="inlineStr">
        <is>
          <t>assessed just value — conservative floor</t>
        </is>
      </c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④ Interim income value</t>
        </is>
      </c>
      <c r="D39" s="33">
        <f>C48</f>
        <v/>
      </c>
      <c r="E39">
        <f>C48</f>
        <v/>
      </c>
      <c r="F39">
        <f>C48</f>
        <v/>
      </c>
      <c r="G39" s="22" t="inlineStr">
        <is>
          <t>existing office NOI ÷ 8% cap (income the land throws off)</t>
        </is>
      </c>
      <c r="H39" s="13" t="n"/>
      <c r="I39" s="13" t="n"/>
      <c r="J39" s="13" t="n"/>
      <c r="K39" s="13" t="n"/>
      <c r="L39" s="13" t="n"/>
      <c r="M39" s="14" t="n"/>
    </row>
    <row r="40" ht="15" customHeight="1">
      <c r="B40" s="29" t="inlineStr">
        <is>
          <t>Concluded acquisition basis</t>
        </is>
      </c>
      <c r="E40" s="71">
        <f>C24</f>
        <v/>
      </c>
      <c r="G40" s="22" t="inlineStr">
        <is>
          <t>🔶 entitled-land basis used in the hold model &amp; assemblage</t>
        </is>
      </c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INTERIM INCOME  —  existing office (the “cover” on the land)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Interim gross rent</t>
        </is>
      </c>
      <c r="C43" s="39">
        <f>C16*C19*C20</f>
        <v/>
      </c>
    </row>
    <row r="44" ht="15" customHeight="1">
      <c r="B44" s="12" t="inlineStr">
        <is>
          <t>Interim office opex</t>
        </is>
      </c>
      <c r="C44" s="33">
        <f>-C16*C21</f>
        <v/>
      </c>
    </row>
    <row r="45" ht="15" customHeight="1">
      <c r="B45" s="12" t="inlineStr">
        <is>
          <t>Interim taxes (on basis)</t>
        </is>
      </c>
      <c r="C45" s="33">
        <f>-C24*C23</f>
        <v/>
      </c>
    </row>
    <row r="46" ht="15" customHeight="1">
      <c r="B46" s="12" t="inlineStr">
        <is>
          <t>Interim management fee</t>
        </is>
      </c>
      <c r="C46" s="33">
        <f>-C43*C22</f>
        <v/>
      </c>
    </row>
    <row r="47" ht="15" customHeight="1">
      <c r="B47" s="12" t="inlineStr">
        <is>
          <t>Interim NOI (covers carry)</t>
        </is>
      </c>
      <c r="C47" s="39">
        <f>C43+C44+C45+C46</f>
        <v/>
      </c>
    </row>
    <row r="48" ht="15" customHeight="1">
      <c r="B48" s="12" t="inlineStr">
        <is>
          <t>Interim income value @ 8% cap</t>
        </is>
      </c>
      <c r="C48" s="39">
        <f>C47/0.08</f>
        <v/>
      </c>
    </row>
    <row r="49"/>
    <row r="50" ht="15" customHeight="1">
      <c r="B50" s="12" t="inlineStr">
        <is>
          <t>Land loan (IO)</t>
        </is>
      </c>
      <c r="C50" s="39">
        <f>C24*C28</f>
        <v/>
      </c>
      <c r="D50" s="22" t="inlineStr">
        <is>
          <t>price × LTV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Annual interest (IO)</t>
        </is>
      </c>
      <c r="C51" s="39">
        <f>C50*C29</f>
        <v/>
      </c>
    </row>
    <row r="52" ht="15" customHeight="1">
      <c r="B52" s="12" t="inlineStr">
        <is>
          <t>Equity at acquisition</t>
        </is>
      </c>
      <c r="C52" s="39">
        <f>C24*(1+C25)-C50</f>
        <v/>
      </c>
    </row>
    <row r="53" ht="15" customHeight="1">
      <c r="B53" s="12" t="inlineStr">
        <is>
          <t>Interim net carry (NOI − interest)</t>
        </is>
      </c>
      <c r="C53" s="39">
        <f>C47-C51</f>
        <v/>
      </c>
      <c r="D53" s="22" t="inlineStr">
        <is>
          <t>covered-land carry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COVERED-LAND HOLD  —  interim income + land appreciation (10-yr; unlevered &amp; levered)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5" t="inlineStr">
        <is>
          <t>Year</t>
        </is>
      </c>
      <c r="C56" s="16" t="inlineStr">
        <is>
          <t>0 / Acq</t>
        </is>
      </c>
      <c r="D56" s="27" t="n">
        <v>1</v>
      </c>
      <c r="E56" s="27" t="n">
        <v>2</v>
      </c>
      <c r="F56" s="27" t="n">
        <v>3</v>
      </c>
      <c r="G56" s="27" t="n">
        <v>4</v>
      </c>
      <c r="H56" s="27" t="n">
        <v>5</v>
      </c>
      <c r="I56" s="27" t="n">
        <v>6</v>
      </c>
      <c r="J56" s="27" t="n">
        <v>7</v>
      </c>
      <c r="K56" s="27" t="n">
        <v>8</v>
      </c>
      <c r="L56" s="27" t="n">
        <v>9</v>
      </c>
      <c r="M56" s="27" t="n">
        <v>10</v>
      </c>
    </row>
    <row r="57" ht="15" customHeight="1">
      <c r="B57" s="12" t="inlineStr">
        <is>
          <t>Land value (appreciating)</t>
        </is>
      </c>
      <c r="D57" s="33">
        <f>C24*(1+C26)^1</f>
        <v/>
      </c>
      <c r="E57" s="33">
        <f>C24*(1+C26)^2</f>
        <v/>
      </c>
      <c r="F57" s="33">
        <f>C24*(1+C26)^3</f>
        <v/>
      </c>
      <c r="G57" s="33">
        <f>C24*(1+C26)^4</f>
        <v/>
      </c>
      <c r="H57" s="33">
        <f>C24*(1+C26)^5</f>
        <v/>
      </c>
      <c r="I57" s="33">
        <f>C24*(1+C26)^6</f>
        <v/>
      </c>
      <c r="J57" s="33">
        <f>C24*(1+C26)^7</f>
        <v/>
      </c>
      <c r="K57" s="33">
        <f>C24*(1+C26)^8</f>
        <v/>
      </c>
      <c r="L57" s="33">
        <f>C24*(1+C26)^9</f>
        <v/>
      </c>
      <c r="M57" s="33">
        <f>C24*(1+C26)^10</f>
        <v/>
      </c>
    </row>
    <row r="58" ht="15" customHeight="1">
      <c r="B58" s="12" t="inlineStr">
        <is>
          <t>Interim NOI</t>
        </is>
      </c>
      <c r="D58" s="33">
        <f>C47*(1+C32)^(1-1)</f>
        <v/>
      </c>
      <c r="E58" s="33">
        <f>C47*(1+C32)^(2-1)</f>
        <v/>
      </c>
      <c r="F58" s="33">
        <f>C47*(1+C32)^(3-1)</f>
        <v/>
      </c>
      <c r="G58" s="33">
        <f>C47*(1+C32)^(4-1)</f>
        <v/>
      </c>
      <c r="H58" s="33">
        <f>C47*(1+C32)^(5-1)</f>
        <v/>
      </c>
      <c r="I58" s="33">
        <f>C47*(1+C32)^(6-1)</f>
        <v/>
      </c>
      <c r="J58" s="33">
        <f>C47*(1+C32)^(7-1)</f>
        <v/>
      </c>
      <c r="K58" s="33">
        <f>C47*(1+C32)^(8-1)</f>
        <v/>
      </c>
      <c r="L58" s="33">
        <f>C47*(1+C32)^(9-1)</f>
        <v/>
      </c>
      <c r="M58" s="33">
        <f>C47*(1+C32)^(10-1)</f>
        <v/>
      </c>
    </row>
    <row r="59" ht="15" customHeight="1">
      <c r="B59" s="12" t="inlineStr">
        <is>
          <t>Net land sale (exit year)</t>
        </is>
      </c>
      <c r="D59" s="33">
        <f>IF(1=C27,D57*(1-C30),0)</f>
        <v/>
      </c>
      <c r="E59" s="33">
        <f>IF(2=C27,E57*(1-C30),0)</f>
        <v/>
      </c>
      <c r="F59" s="33">
        <f>IF(3=C27,F57*(1-C30),0)</f>
        <v/>
      </c>
      <c r="G59" s="33">
        <f>IF(4=C27,G57*(1-C30),0)</f>
        <v/>
      </c>
      <c r="H59" s="33">
        <f>IF(5=C27,H57*(1-C30),0)</f>
        <v/>
      </c>
      <c r="I59" s="33">
        <f>IF(6=C27,I57*(1-C30),0)</f>
        <v/>
      </c>
      <c r="J59" s="33">
        <f>IF(7=C27,J57*(1-C30),0)</f>
        <v/>
      </c>
      <c r="K59" s="33">
        <f>IF(8=C27,K57*(1-C30),0)</f>
        <v/>
      </c>
      <c r="L59" s="33">
        <f>IF(9=C27,L57*(1-C30),0)</f>
        <v/>
      </c>
      <c r="M59" s="33">
        <f>IF(10=C27,M57*(1-C30),0)</f>
        <v/>
      </c>
    </row>
    <row r="60" ht="15" customHeight="1">
      <c r="B60" s="29" t="inlineStr">
        <is>
          <t>UNLEVERED PROJECT CASH FLOW</t>
        </is>
      </c>
      <c r="C60" s="30">
        <f>-C24*(1+C25)</f>
        <v/>
      </c>
      <c r="D60" s="30">
        <f>IF(1&lt;=C27,D58,0)+D59</f>
        <v/>
      </c>
      <c r="E60" s="31">
        <f>IF(2&lt;=C27,E58,0)+E59</f>
        <v/>
      </c>
      <c r="F60" s="31">
        <f>IF(3&lt;=C27,F58,0)+F59</f>
        <v/>
      </c>
      <c r="G60" s="31">
        <f>IF(4&lt;=C27,G58,0)+G59</f>
        <v/>
      </c>
      <c r="H60" s="31">
        <f>IF(5&lt;=C27,H58,0)+H59</f>
        <v/>
      </c>
      <c r="I60" s="31">
        <f>IF(6&lt;=C27,I58,0)+I59</f>
        <v/>
      </c>
      <c r="J60" s="31">
        <f>IF(7&lt;=C27,J58,0)+J59</f>
        <v/>
      </c>
      <c r="K60" s="31">
        <f>IF(8&lt;=C27,K58,0)+K59</f>
        <v/>
      </c>
      <c r="L60" s="31">
        <f>IF(9&lt;=C27,L58,0)+L59</f>
        <v/>
      </c>
      <c r="M60" s="31">
        <f>IF(10&lt;=C27,M58,0)+M59</f>
        <v/>
      </c>
    </row>
    <row r="61" ht="15" customHeight="1">
      <c r="B61" s="12" t="inlineStr">
        <is>
          <t>Loan balance (IO — constant)</t>
        </is>
      </c>
      <c r="D61" s="33">
        <f>IF(1&lt;=C27,C50,0)</f>
        <v/>
      </c>
      <c r="E61" s="33">
        <f>IF(2&lt;=C27,C50,0)</f>
        <v/>
      </c>
      <c r="F61" s="33">
        <f>IF(3&lt;=C27,C50,0)</f>
        <v/>
      </c>
      <c r="G61" s="33">
        <f>IF(4&lt;=C27,C50,0)</f>
        <v/>
      </c>
      <c r="H61" s="33">
        <f>IF(5&lt;=C27,C50,0)</f>
        <v/>
      </c>
      <c r="I61" s="33">
        <f>IF(6&lt;=C27,C50,0)</f>
        <v/>
      </c>
      <c r="J61" s="33">
        <f>IF(7&lt;=C27,C50,0)</f>
        <v/>
      </c>
      <c r="K61" s="33">
        <f>IF(8&lt;=C27,C50,0)</f>
        <v/>
      </c>
      <c r="L61" s="33">
        <f>IF(9&lt;=C27,C50,0)</f>
        <v/>
      </c>
      <c r="M61" s="33">
        <f>IF(10&lt;=C27,C50,0)</f>
        <v/>
      </c>
    </row>
    <row r="62" ht="15" customHeight="1">
      <c r="B62" s="29" t="inlineStr">
        <is>
          <t>LEVERED CASH FLOW (equity)</t>
        </is>
      </c>
      <c r="C62" s="30">
        <f>-C52</f>
        <v/>
      </c>
      <c r="D62" s="30">
        <f>IF(1&lt;=C27,D58-C51,0)+IF(1=C27,D59-C50,0)</f>
        <v/>
      </c>
      <c r="E62" s="31">
        <f>IF(2&lt;=C27,E58-C51,0)+IF(2=C27,E59-C50,0)</f>
        <v/>
      </c>
      <c r="F62" s="31">
        <f>IF(3&lt;=C27,F58-C51,0)+IF(3=C27,F59-C50,0)</f>
        <v/>
      </c>
      <c r="G62" s="31">
        <f>IF(4&lt;=C27,G58-C51,0)+IF(4=C27,G59-C50,0)</f>
        <v/>
      </c>
      <c r="H62" s="31">
        <f>IF(5&lt;=C27,H58-C51,0)+IF(5=C27,H59-C50,0)</f>
        <v/>
      </c>
      <c r="I62" s="31">
        <f>IF(6&lt;=C27,I58-C51,0)+IF(6=C27,I59-C50,0)</f>
        <v/>
      </c>
      <c r="J62" s="31">
        <f>IF(7&lt;=C27,J58-C51,0)+IF(7=C27,J59-C50,0)</f>
        <v/>
      </c>
      <c r="K62" s="31">
        <f>IF(8&lt;=C27,K58-C51,0)+IF(8=C27,K59-C50,0)</f>
        <v/>
      </c>
      <c r="L62" s="31">
        <f>IF(9&lt;=C27,L58-C51,0)+IF(9=C27,L59-C50,0)</f>
        <v/>
      </c>
      <c r="M62" s="31">
        <f>IF(10&lt;=C27,M58-C51,0)+IF(10=C27,M59-C50,0)</f>
        <v/>
      </c>
    </row>
    <row r="63"/>
    <row r="64">
      <c r="B64" s="11" t="inlineStr">
        <is>
          <t>COVERED-LAND RETURNS  —  unlevered &amp; levered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2" t="inlineStr">
        <is>
          <t>Unlevered IRR</t>
        </is>
      </c>
      <c r="C65" s="41">
        <f>IRR(C60:M60)</f>
        <v/>
      </c>
    </row>
    <row r="66" ht="15" customHeight="1">
      <c r="B66" s="12" t="inlineStr">
        <is>
          <t>Unlevered equity multiple</t>
        </is>
      </c>
      <c r="C66" s="42">
        <f>SUM(D60:M60)/-C60</f>
        <v/>
      </c>
    </row>
    <row r="67" ht="15" customHeight="1">
      <c r="B67" s="12" t="inlineStr">
        <is>
          <t>Unlevered NPV @ discount rate</t>
        </is>
      </c>
      <c r="C67" s="39">
        <f>C60+NPV(C31,D60:M60)</f>
        <v/>
      </c>
    </row>
    <row r="68" ht="15" customHeight="1">
      <c r="B68" s="12" t="inlineStr">
        <is>
          <t>Levered IRR</t>
        </is>
      </c>
      <c r="C68" s="41">
        <f>IRR(C62:M62)</f>
        <v/>
      </c>
    </row>
    <row r="69" ht="15" customHeight="1">
      <c r="B69" s="12" t="inlineStr">
        <is>
          <t>Levered equity multiple</t>
        </is>
      </c>
      <c r="C69" s="42">
        <f>SUM(D62:M62)/C52</f>
        <v/>
      </c>
    </row>
    <row r="70" ht="15" customHeight="1">
      <c r="B70" s="12" t="inlineStr">
        <is>
          <t>Interim yield on basis (NOI ÷ price)</t>
        </is>
      </c>
      <c r="C70" s="38">
        <f>C47/C24</f>
        <v/>
      </c>
    </row>
    <row r="71"/>
    <row r="72">
      <c r="B72" s="11" t="inlineStr">
        <is>
          <t>REDEVELOPMENT RESIDUAL  —  ⚠️ AE flood zone; residual runs NEGATIVE — DO NOT force positive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2" t="inlineStr">
        <is>
          <t>Gross development value (259 units)</t>
        </is>
      </c>
      <c r="C73" s="39">
        <f>C17*600000</f>
        <v/>
      </c>
      <c r="D73" s="22" t="inlineStr">
        <is>
          <t>259 × $600,000 achievable value/unit</t>
        </is>
      </c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>Buildable GBA (SF)</t>
        </is>
      </c>
      <c r="C74" s="55">
        <f>C17*950</f>
        <v/>
      </c>
      <c r="D74" s="22" t="inlineStr">
        <is>
          <t>950 GBA SF/unit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Hard cost</t>
        </is>
      </c>
      <c r="C75" s="33">
        <f>-C74*500.0</f>
        <v/>
      </c>
      <c r="D75" s="22" t="inlineStr">
        <is>
          <t>$500/SF (AE-zone coastal)</t>
        </is>
      </c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Soft cost</t>
        </is>
      </c>
      <c r="C76" s="33">
        <f>-C74*500.0*0.2</f>
        <v/>
      </c>
      <c r="D76" s="22" t="inlineStr">
        <is>
          <t>20% of hard</t>
        </is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Developer profit</t>
        </is>
      </c>
      <c r="C77" s="33">
        <f>-C73*0.15</f>
        <v/>
      </c>
      <c r="D77" s="22" t="inlineStr">
        <is>
          <t>15% of GDV</t>
        </is>
      </c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29" t="inlineStr">
        <is>
          <t>RESIDUAL LAND VALUE</t>
        </is>
      </c>
      <c r="C78" s="30">
        <f>C73+C75+C76+C77</f>
        <v/>
      </c>
    </row>
    <row r="79" ht="15" customHeight="1">
      <c r="B79" s="43" t="inlineStr">
        <is>
          <t>Conclusion</t>
        </is>
      </c>
      <c r="C79" s="57" t="inlineStr">
        <is>
          <t>HOLD</t>
        </is>
      </c>
      <c r="D79" s="43" t="inlineStr">
        <is>
          <t>Residual &lt; entitled-land basis → redevelopment does not pencil today; hold as covered land for Live Local optionality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</sheetData>
  <mergeCells count="49">
    <mergeCell ref="B2:M2"/>
    <mergeCell ref="B42:M42"/>
    <mergeCell ref="D12:M12"/>
    <mergeCell ref="D18:M18"/>
    <mergeCell ref="D9:M9"/>
    <mergeCell ref="G35:M35"/>
    <mergeCell ref="D74:M74"/>
    <mergeCell ref="B14:M14"/>
    <mergeCell ref="D30:M30"/>
    <mergeCell ref="D8:M8"/>
    <mergeCell ref="D25:M25"/>
    <mergeCell ref="D15:M15"/>
    <mergeCell ref="B1:M1"/>
    <mergeCell ref="D73:M73"/>
    <mergeCell ref="D24:M24"/>
    <mergeCell ref="D29:M29"/>
    <mergeCell ref="D5:M5"/>
    <mergeCell ref="D23:M23"/>
    <mergeCell ref="B34:M34"/>
    <mergeCell ref="G40:M40"/>
    <mergeCell ref="D79:M79"/>
    <mergeCell ref="D50:M50"/>
    <mergeCell ref="D26:M26"/>
    <mergeCell ref="D20:M20"/>
    <mergeCell ref="D10:M10"/>
    <mergeCell ref="D19:M19"/>
    <mergeCell ref="B55:M55"/>
    <mergeCell ref="G36:M36"/>
    <mergeCell ref="B64:M64"/>
    <mergeCell ref="D31:M31"/>
    <mergeCell ref="G39:M39"/>
    <mergeCell ref="D22:M22"/>
    <mergeCell ref="D21:M21"/>
    <mergeCell ref="D6:M6"/>
    <mergeCell ref="D77:M77"/>
    <mergeCell ref="G38:M38"/>
    <mergeCell ref="B4:M4"/>
    <mergeCell ref="D11:M11"/>
    <mergeCell ref="D76:M76"/>
    <mergeCell ref="D27:M27"/>
    <mergeCell ref="G37:M37"/>
    <mergeCell ref="D32:M32"/>
    <mergeCell ref="B72:M72"/>
    <mergeCell ref="D17:M17"/>
    <mergeCell ref="D75:M75"/>
    <mergeCell ref="D7:M7"/>
    <mergeCell ref="D53:M53"/>
    <mergeCell ref="D16:M1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0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Institutional acquisition underwriting for a five-asset covered-land-play assemblage on the E Sunrise Blvd hard corner at the Galleria.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Two valuations of the same block are presented: (1) an INCOME basis — what the combined cash flows support — and (2) a HIGHEST-AND-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BEST-USE / covered-land basis — land value plus an assemblage premium to control every parcel. Only blue cells are inputs; change any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blue cell and the entire workbook recalculates (set to full recalc on open). Tabs 1–3 are outputs; tabs 4–8 are the per-asset models.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VALUATION METHODOLOGY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40" t="inlineStr">
        <is>
          <t>As-is vs. stabilized</t>
        </is>
      </c>
      <c r="D11" s="12" t="inlineStr">
        <is>
          <t>Direct cap on AS-IS in-place NOI (current occupancy) gives the going-in value; stabilized NOI ÷ exit cap gives post-lease-up value. The spread is value creation.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40" t="inlineStr">
        <is>
          <t>Income-based price</t>
        </is>
      </c>
      <c r="D12" s="12" t="inlineStr">
        <is>
          <t>Concluded on as-is direct cap; stabilized direct cap and a DCF (PV of unlevered cash flows at the target unlevered yield) are shown as cross-checks.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40" t="inlineStr">
        <is>
          <t>Portfolio returns</t>
        </is>
      </c>
      <c r="D13" s="12" t="inlineStr">
        <is>
          <t>Computed by CONSOLIDATING each asset's actual cash flows into one stream and running a single IRR — never by averaging asset IRRs (mathematically invalid).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40" t="inlineStr">
        <is>
          <t>Covered-land (HBU) price</t>
        </is>
      </c>
      <c r="D14" s="12" t="inlineStr">
        <is>
          <t>Summed control cost (each parcel at the greater of income or land value; Publix at its land basis, as it is not a seller) plus a 15/20/25% assemblage premium.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40" t="inlineStr">
        <is>
          <t>Reversion</t>
        </is>
      </c>
      <c r="D15" s="12" t="inlineStr">
        <is>
          <t>Each asset sells in the hold year at its forward NOI ÷ exit cap, net of cost of sale; the consolidated reversion sums the asset-level reversions.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40" t="inlineStr">
        <is>
          <t>Redevelopment</t>
        </is>
      </c>
      <c r="D16" s="12" t="inlineStr">
        <is>
          <t>The Live Local residual runs negative in the AE flood zone at current coastal hard costs; the model does NOT force it positive — the conclusion is HOLD.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/>
    <row r="18">
      <c r="B18" s="11" t="inlineStr">
        <is>
          <t>SENIOR DEBT  —  SIZING CONVENTION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12" t="inlineStr">
        <is>
          <t>Debt is sized to the LESSER OF three lender constraints, sized on as-is in-place NOI: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40" t="inlineStr">
        <is>
          <t>Constraint 1 — LTV</t>
        </is>
      </c>
      <c r="D20" s="12" t="inlineStr">
        <is>
          <t>Loan ≤ max LTV × purchase price (default 60%).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40" t="inlineStr">
        <is>
          <t>Constraint 2 — DSCR</t>
        </is>
      </c>
      <c r="D21" s="12" t="inlineStr">
        <is>
          <t>Loan ≤ NOI ÷ (min DSCR × mortgage constant); default min DSCR 1.30x.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40" t="inlineStr">
        <is>
          <t>Constraint 3 — Debt yield</t>
        </is>
      </c>
      <c r="D22" s="12" t="inlineStr">
        <is>
          <t>Loan ≤ NOI ÷ min debt yield (default 8.5%).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The sized loan is the minimum of the three; the binding constraint is flagged on the Income Valuation tab.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>
      <c r="B25" s="11" t="inlineStr">
        <is>
          <t>DATA SOURCES  &amp;  CONFIDENCE FLAGS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6" t="inlineStr">
        <is>
          <t>Flag</t>
        </is>
      </c>
      <c r="C26" s="15" t="inlineStr">
        <is>
          <t>Meaning</t>
        </is>
      </c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59" t="inlineStr">
        <is>
          <t>✅ VERIFIED</t>
        </is>
      </c>
      <c r="C27" s="12" t="inlineStr">
        <is>
          <t>public record — BCPA property appraiser / FL Sunbiz / recorded deed</t>
        </is>
      </c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59" t="inlineStr">
        <is>
          <t>⚠️ REPORTED</t>
        </is>
      </c>
      <c r="C28" s="12" t="inlineStr">
        <is>
          <t>counterparty, broker listing (LoopNet/Crexi), or press — unconfirmed at the county</t>
        </is>
      </c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59" t="inlineStr">
        <is>
          <t>🔶 MODELED</t>
        </is>
      </c>
      <c r="C29" s="12" t="inlineStr">
        <is>
          <t>assumption from mid-2026 market research; moves with the blue inputs</t>
        </is>
      </c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 ht="15" customHeight="1">
      <c r="B31" s="15" t="inlineStr">
        <is>
          <t>Asset</t>
        </is>
      </c>
      <c r="D31" s="16" t="inlineStr">
        <is>
          <t>Verified</t>
        </is>
      </c>
      <c r="E31" s="15" t="inlineStr">
        <is>
          <t>Sources</t>
        </is>
      </c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Shahidi Retail (Galleria Plaza)</t>
        </is>
      </c>
      <c r="D32" s="59" t="inlineStr">
        <is>
          <t>✅ BCPA/Sunbiz</t>
        </is>
      </c>
      <c r="E32" s="12" t="inlineStr">
        <is>
          <t>Folio 49-42-36-12-0070; tenants via LoopNet/Southeast Centers, Yelp, official locators; rents from corridor comps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Publix + Starbucks</t>
        </is>
      </c>
      <c r="D33" s="59" t="inlineStr">
        <is>
          <t>✅ BCPA/deed</t>
        </is>
      </c>
      <c r="E33" s="12" t="inlineStr">
        <is>
          <t>Folio -0060; $25M Trustee's Deed 03/2025 (The Real Deal); rents/caps from net-lease research (Boulder Group, Matthews)</t>
        </is>
      </c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Sunrise Plaza (Kar Luen)</t>
        </is>
      </c>
      <c r="D34" s="59" t="inlineStr">
        <is>
          <t>⚠️ reported</t>
        </is>
      </c>
      <c r="E34" s="12" t="inlineStr">
        <is>
          <t>Folio -0011; LoopNet/Sunbiz/Cortera; tenants via Yelp; value &amp; sale unconfirmed — VERIFY AT BCPA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Galleria Corporate Centre</t>
        </is>
      </c>
      <c r="D35" s="59" t="inlineStr">
        <is>
          <t>⚠️ reported</t>
        </is>
      </c>
      <c r="E35" s="12" t="inlineStr">
        <is>
          <t>2455 E Sunrise; owners via Daily Business Review 10/2019 (Main Street Fund 57.4%); per-unit folios not enumerated</t>
        </is>
      </c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1040 Bayview (land)</t>
        </is>
      </c>
      <c r="D36" s="59" t="inlineStr">
        <is>
          <t>⚠️ reported</t>
        </is>
      </c>
      <c r="E36" s="12" t="inlineStr">
        <is>
          <t>Folio -0040; Florida YIMBY/Traded/BBX/Procacci; entitlement 259 units; BCPA market value reported not confirmed</t>
        </is>
      </c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43" t="inlineStr">
        <is>
          <t>BCPA (bcpa.net) was blocked from the build environment; ⚠️ items were sourced from web mirrors of the tax roll and must be confirmed at the county before close.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/>
    <row r="39">
      <c r="B39" s="11" t="inlineStr">
        <is>
          <t>KEY MARKET ASSUMPTIONS  (mid-2026, MODELED)</t>
        </is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3" t="n"/>
    </row>
    <row r="40" ht="15" customHeight="1">
      <c r="B40" s="40" t="inlineStr">
        <is>
          <t>Retail rents</t>
        </is>
      </c>
      <c r="D40" s="12" t="inlineStr">
        <is>
          <t>in-line $32–55/SF NNN (Sunrise corridor $45–60); restaurant/end-cap $40–50/SF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40" t="inlineStr">
        <is>
          <t>Publix / Starbucks</t>
        </is>
      </c>
      <c r="D41" s="12" t="inlineStr">
        <is>
          <t>grocery ~$13/SF NNN, cap 6.0–6.75%; Starbucks pad ~$60/SF, cap 4.75–5.5%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40" t="inlineStr">
        <is>
          <t>Office</t>
        </is>
      </c>
      <c r="D42" s="12" t="inlineStr">
        <is>
          <t>small Class B/C ~$20–30/SF gross (~$15–24 NNN); cap 7.5–9.0%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40" t="inlineStr">
        <is>
          <t>Retail caps</t>
        </is>
      </c>
      <c r="D43" s="12" t="inlineStr">
        <is>
          <t>stabilized strip 6.25–6.75%; value-add 7.25–8.0%; exit = going-in +25 bps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40" t="inlineStr">
        <is>
          <t>Land</t>
        </is>
      </c>
      <c r="D44" s="12" t="inlineStr">
        <is>
          <t>Fort Lauderdale infill ~$248/SF (subject comps $228–255); Galleria bulk ~$53/SF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40" t="inlineStr">
        <is>
          <t>Senior debt</t>
        </is>
      </c>
      <c r="D45" s="12" t="inlineStr">
        <is>
          <t>stabilized 5.75–7.0%, 60–75% LTV, DSCR 1.25–1.40x, debt yield 7–10%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40" t="inlineStr">
        <is>
          <t>Covered-land cap</t>
        </is>
      </c>
      <c r="D46" s="12" t="inlineStr">
        <is>
          <t>in-place income cap ~3–5% — income covers carry, not a yield play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/>
    <row r="48">
      <c r="B48" s="11" t="inlineStr">
        <is>
          <t>COLOR  &amp;  FONT LEGEND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</row>
    <row r="49" ht="15" customHeight="1">
      <c r="B49" s="40" t="inlineStr">
        <is>
          <t>Blue on yellow</t>
        </is>
      </c>
      <c r="D49" s="12" t="inlineStr">
        <is>
          <t>hardcoded input — the only cells to change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40" t="inlineStr">
        <is>
          <t>Black on white</t>
        </is>
      </c>
      <c r="D50" s="12" t="inlineStr">
        <is>
          <t>formula / calculation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40" t="inlineStr">
        <is>
          <t>Green</t>
        </is>
      </c>
      <c r="D51" s="12" t="inlineStr">
        <is>
          <t>public-record verified fact or cross-sheet link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40" t="inlineStr">
        <is>
          <t>Gold on navy / dark</t>
        </is>
      </c>
      <c r="D52" s="12" t="inlineStr">
        <is>
          <t>section header, total, KPI box, banner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40" t="inlineStr">
        <is>
          <t>Orange / dark red</t>
        </is>
      </c>
      <c r="D53" s="12" t="inlineStr">
        <is>
          <t>warning, flag, or excluded-from note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LIMITATIONS  &amp;  DISCLAIMERS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2" t="inlineStr">
        <is>
          <t>• Space-level rent rolls are estimated; no tenant-by-tenant lease abstracts (expirations, options, recovery type) were available. Replace with real leases in diligence.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• Publix and the office-condo units are not listed for sale; they are modeled as acquisition cases. Publix is a fee owner, so its 'rent' is a mark-to-market, not contract income.</t>
        </is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• Property-tax reassessment is modeled to each asset's own price (FL rule); an assemblage purchase would reallocate basis and taxes across parcels.</t>
        </is>
      </c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• Returns exclude any LP/GP promote/waterfall, transfer taxes, and portfolio-level G&amp;A. This is a screening model, not a closing model.</t>
        </is>
      </c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• All figures are estimates for internal evaluation only and are not an appraisal, an offer, or investment advice. Confirm all ⚠️ REPORTED data at the county before relying on it.</t>
        </is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</sheetData>
  <mergeCells count="52">
    <mergeCell ref="B2:M2"/>
    <mergeCell ref="B48:M48"/>
    <mergeCell ref="D12:M12"/>
    <mergeCell ref="B60:M60"/>
    <mergeCell ref="B23:M23"/>
    <mergeCell ref="B8:M8"/>
    <mergeCell ref="D15:M15"/>
    <mergeCell ref="E31:M31"/>
    <mergeCell ref="B1:M1"/>
    <mergeCell ref="C28:M28"/>
    <mergeCell ref="B57:M57"/>
    <mergeCell ref="E34:M34"/>
    <mergeCell ref="D42:M42"/>
    <mergeCell ref="D51:M51"/>
    <mergeCell ref="D14:M14"/>
    <mergeCell ref="B10:M10"/>
    <mergeCell ref="C26:M26"/>
    <mergeCell ref="B19:M19"/>
    <mergeCell ref="C29:M29"/>
    <mergeCell ref="B37:M37"/>
    <mergeCell ref="D50:M50"/>
    <mergeCell ref="E36:M36"/>
    <mergeCell ref="D44:M44"/>
    <mergeCell ref="D20:M20"/>
    <mergeCell ref="B55:M55"/>
    <mergeCell ref="B6:M6"/>
    <mergeCell ref="E32:M32"/>
    <mergeCell ref="D46:M46"/>
    <mergeCell ref="D22:M22"/>
    <mergeCell ref="B5:M5"/>
    <mergeCell ref="D40:M40"/>
    <mergeCell ref="D45:M45"/>
    <mergeCell ref="D52:M52"/>
    <mergeCell ref="D21:M21"/>
    <mergeCell ref="C27:M27"/>
    <mergeCell ref="B4:M4"/>
    <mergeCell ref="D13:M13"/>
    <mergeCell ref="D11:M11"/>
    <mergeCell ref="D49:M49"/>
    <mergeCell ref="D41:M41"/>
    <mergeCell ref="B7:M7"/>
    <mergeCell ref="B25:M25"/>
    <mergeCell ref="E33:M33"/>
    <mergeCell ref="D43:M43"/>
    <mergeCell ref="B59:M59"/>
    <mergeCell ref="D53:M53"/>
    <mergeCell ref="D16:M16"/>
    <mergeCell ref="B18:M18"/>
    <mergeCell ref="B56:M56"/>
    <mergeCell ref="B58:M58"/>
    <mergeCell ref="E35:M35"/>
    <mergeCell ref="B39:M39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2026-07-21T16:41:23Z</dcterms:created>
  <dcterms:modified xsi:type="dcterms:W3CDTF">2026-07-21T16:41:24Z</dcterms:modified>
</cp:coreProperties>
</file>