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Comps &amp; Pricing" sheetId="3" state="visible" r:id="rId3"/>
    <sheet name="Deal Book" sheetId="4" state="visible" r:id="rId4"/>
    <sheet name="Partner Returns" sheetId="5" state="visible" r:id="rId5"/>
    <sheet name="Review Board" sheetId="6" state="visible" r:id="rId6"/>
    <sheet name="Capital Stack" sheetId="7" state="visible" r:id="rId7"/>
    <sheet name="Assumptions" sheetId="8" state="visible" r:id="rId8"/>
    <sheet name="Income Valuation" sheetId="9" state="visible" r:id="rId9"/>
    <sheet name="Scenarios" sheetId="10" state="visible" r:id="rId10"/>
    <sheet name="Assemblage" sheetId="11" state="visible" r:id="rId11"/>
    <sheet name="Highest &amp; Best Use" sheetId="12" state="visible" r:id="rId12"/>
    <sheet name="Shahidi Retail" sheetId="13" state="visible" r:id="rId13"/>
    <sheet name="Publix &amp; Starbucks" sheetId="14" state="visible" r:id="rId14"/>
    <sheet name="Sunrise Plaza" sheetId="15" state="visible" r:id="rId15"/>
    <sheet name="Office Condo" sheetId="16" state="visible" r:id="rId16"/>
    <sheet name="Land" sheetId="17" state="visible" r:id="rId17"/>
    <sheet name="Notes &amp; 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9" fillId="6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vertical="center" wrapText="1"/>
    </xf>
    <xf numFmtId="0" fontId="8" fillId="5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4" pivotButton="0" quotePrefix="0" xfId="0"/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left" vertical="center" wrapText="1"/>
    </xf>
    <xf numFmtId="164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5 contiguous assets on E Sunrise Blvd (~7.2 acres) and control the whole block — buy the income, control the dirt.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$65M (income basis); controlling the whole block costs about $127M (covered-land) — the gap is the land +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Valuation'!C122</f>
        <v/>
      </c>
      <c r="C11" s="2" t="n"/>
      <c r="D11" s="3" t="n"/>
      <c r="E11" s="11">
        <f>'Assemblage'!C29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Valuation'!E86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Comps &amp; Pricing</t>
        </is>
      </c>
      <c r="C18" s="8" t="n"/>
      <c r="D18" s="9" t="n"/>
      <c r="E18" s="7" t="inlineStr">
        <is>
          <t>What's each asset worth and what can I quote? — sourced comps + individual &amp; assemblage pricing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Start Here</t>
        </is>
      </c>
      <c r="C19" s="8" t="n"/>
      <c r="D19" s="9" t="n"/>
      <c r="E19" s="7" t="inlineStr">
        <is>
          <t>How do I read this? (you are here)</t>
        </is>
      </c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14" t="inlineStr">
        <is>
          <t>② MAKE THE DEAL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Deal Book</t>
        </is>
      </c>
      <c r="C21" s="8" t="n"/>
      <c r="D21" s="9" t="n"/>
      <c r="E21" s="7" t="inlineStr">
        <is>
          <t>Who do I buy from, at what price, and how? (per-owner strategy, sources &amp; uses, risks, timeline)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6" t="inlineStr">
        <is>
          <t>Partner Returns</t>
        </is>
      </c>
      <c r="C22" s="8" t="n"/>
      <c r="D22" s="9" t="n"/>
      <c r="E22" s="7" t="inlineStr">
        <is>
          <t>How does the money split between me and my investors? (LP / GP waterfall)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14" t="inlineStr">
        <is>
          <t>③ PLAY WITH IT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Review Board</t>
        </is>
      </c>
      <c r="C24" s="8" t="n"/>
      <c r="D24" s="9" t="n"/>
      <c r="E24" s="7" t="inlineStr">
        <is>
          <t>How do the returns move if I change the key assumptions? (live sensitivities)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Capital Stack</t>
        </is>
      </c>
      <c r="C25" s="8" t="n"/>
      <c r="D25" s="9" t="n"/>
      <c r="E25" s="7" t="inlineStr">
        <is>
          <t>How much can I borrow / afford, and how does the stack look? (leverage &amp; equity)</t>
        </is>
      </c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14" t="inlineStr">
        <is>
          <t>④ CHANGE THE INPUTS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Assumptions</t>
        </is>
      </c>
      <c r="C27" s="8" t="n"/>
      <c r="D27" s="9" t="n"/>
      <c r="E27" s="7" t="inlineStr">
        <is>
          <t>The ONE place to change numbers. Every blue cell drives the model — change one and everything recalculates.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4" t="inlineStr">
        <is>
          <t>⑤ THE MATH (drill-down)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Income Valuation</t>
        </is>
      </c>
      <c r="C29" s="8" t="n"/>
      <c r="D29" s="9" t="n"/>
      <c r="E29" s="7" t="inlineStr">
        <is>
          <t>How is the price and the return actually computed? (the engine — consolidated cash flows)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Scenarios</t>
        </is>
      </c>
      <c r="C30" s="8" t="n"/>
      <c r="D30" s="9" t="n"/>
      <c r="E30" s="7" t="inlineStr">
        <is>
          <t>What do downside / base / upside look like?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Assemblage</t>
        </is>
      </c>
      <c r="C31" s="8" t="n"/>
      <c r="D31" s="9" t="n"/>
      <c r="E31" s="7" t="inlineStr">
        <is>
          <t>How do the parts add up to the covered-land price?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6" t="inlineStr">
        <is>
          <t>Highest &amp; Best Use</t>
        </is>
      </c>
      <c r="C32" s="8" t="n"/>
      <c r="D32" s="9" t="n"/>
      <c r="E32" s="7" t="inlineStr">
        <is>
          <t>What's the land worth alone vs. assembled, and does redevelopment pencil?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14" t="inlineStr">
        <is>
          <t>⑥ THE ASSETS (one tab each)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Shahidi · Publix · Sunrise · Office · Land</t>
        </is>
      </c>
      <c r="C34" s="8" t="n"/>
      <c r="D34" s="9" t="n"/>
      <c r="E34" s="7" t="inlineStr">
        <is>
          <t>The full underwrite of each property — rent roll, cash flow, P&amp;L.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⑦ WHERE IT COMES FROM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6" t="inlineStr">
        <is>
          <t>Notes &amp; Sources</t>
        </is>
      </c>
      <c r="C36" s="8" t="n"/>
      <c r="D36" s="9" t="n"/>
      <c r="E36" s="7" t="inlineStr">
        <is>
          <t>Where every number came from, what's verified vs. still to confirm, and the methodology.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>
      <c r="B38" s="5" t="inlineStr">
        <is>
          <t>PLAY WITH IT  —  it's a live model: change a BLUE cell and everything recalculates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5" t="inlineStr">
        <is>
          <t>Open it in Excel or Google Sheets (a preview is read-only). Blue cells are the only ones you touch — the rest updates on its own.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14" t="inlineStr">
        <is>
          <t>To change…</t>
        </is>
      </c>
      <c r="C40" s="8" t="n"/>
      <c r="D40" s="9" t="n"/>
      <c r="E40" s="14" t="inlineStr">
        <is>
          <t>Go here and edit the blue cell</t>
        </is>
      </c>
      <c r="F40" s="8" t="n"/>
      <c r="G40" s="8" t="n"/>
      <c r="H40" s="8" t="n"/>
      <c r="I40" s="9" t="n"/>
      <c r="J40" s="14" t="inlineStr">
        <is>
          <t>…and watch this update</t>
        </is>
      </c>
      <c r="K40" s="8" t="n"/>
      <c r="L40" s="8" t="n"/>
      <c r="M40" s="9" t="n"/>
    </row>
    <row r="41" ht="15" customHeight="1">
      <c r="B41" s="6" t="inlineStr">
        <is>
          <t>What you pay for an asset</t>
        </is>
      </c>
      <c r="C41" s="8" t="n"/>
      <c r="D41" s="9" t="n"/>
      <c r="E41" s="7" t="inlineStr">
        <is>
          <t>Assumptions → that asset's block → 'Purchase price / basis'</t>
        </is>
      </c>
      <c r="F41" s="8" t="n"/>
      <c r="G41" s="8" t="n"/>
      <c r="H41" s="8" t="n"/>
      <c r="I41" s="9" t="n"/>
      <c r="J41" s="16" t="inlineStr">
        <is>
          <t>income price, returns, Comps &amp; Pricing</t>
        </is>
      </c>
      <c r="K41" s="8" t="n"/>
      <c r="L41" s="8" t="n"/>
      <c r="M41" s="9" t="n"/>
    </row>
    <row r="42" ht="15" customHeight="1">
      <c r="B42" s="6" t="inlineStr">
        <is>
          <t>A cap rate</t>
        </is>
      </c>
      <c r="C42" s="8" t="n"/>
      <c r="D42" s="9" t="n"/>
      <c r="E42" s="7" t="inlineStr">
        <is>
          <t>Assumptions → 'Blended going-in cap' (or an asset's going-in / exit cap)</t>
        </is>
      </c>
      <c r="F42" s="8" t="n"/>
      <c r="G42" s="8" t="n"/>
      <c r="H42" s="8" t="n"/>
      <c r="I42" s="9" t="n"/>
      <c r="J42" s="16" t="inlineStr">
        <is>
          <t>the value and the price</t>
        </is>
      </c>
      <c r="K42" s="8" t="n"/>
      <c r="L42" s="8" t="n"/>
      <c r="M42" s="9" t="n"/>
    </row>
    <row r="43" ht="15" customHeight="1">
      <c r="B43" s="6" t="inlineStr">
        <is>
          <t>Rents</t>
        </is>
      </c>
      <c r="C43" s="8" t="n"/>
      <c r="D43" s="9" t="n"/>
      <c r="E43" s="7" t="inlineStr">
        <is>
          <t>Assumptions → an asset's 'Market rent' (or the Publix leaseback rent)</t>
        </is>
      </c>
      <c r="F43" s="8" t="n"/>
      <c r="G43" s="8" t="n"/>
      <c r="H43" s="8" t="n"/>
      <c r="I43" s="9" t="n"/>
      <c r="J43" s="16" t="inlineStr">
        <is>
          <t>NOI → value → returns</t>
        </is>
      </c>
      <c r="K43" s="8" t="n"/>
      <c r="L43" s="8" t="n"/>
      <c r="M43" s="9" t="n"/>
    </row>
    <row r="44" ht="15" customHeight="1">
      <c r="B44" s="6" t="inlineStr">
        <is>
          <t>How much you borrow</t>
        </is>
      </c>
      <c r="C44" s="8" t="n"/>
      <c r="D44" s="9" t="n"/>
      <c r="E44" s="7" t="inlineStr">
        <is>
          <t>Assumptions → 'Max senior LTV' and 'Senior rate'</t>
        </is>
      </c>
      <c r="F44" s="8" t="n"/>
      <c r="G44" s="8" t="n"/>
      <c r="H44" s="8" t="n"/>
      <c r="I44" s="9" t="n"/>
      <c r="J44" s="16" t="inlineStr">
        <is>
          <t>debt, equity, DSCR, returns</t>
        </is>
      </c>
      <c r="K44" s="8" t="n"/>
      <c r="L44" s="8" t="n"/>
      <c r="M44" s="9" t="n"/>
    </row>
    <row r="45" ht="15" customHeight="1">
      <c r="B45" s="6" t="inlineStr">
        <is>
          <t>The assemblage premium</t>
        </is>
      </c>
      <c r="C45" s="8" t="n"/>
      <c r="D45" s="9" t="n"/>
      <c r="E45" s="7" t="inlineStr">
        <is>
          <t>Assumptions → 'Assemblage premium — base'</t>
        </is>
      </c>
      <c r="F45" s="8" t="n"/>
      <c r="G45" s="8" t="n"/>
      <c r="H45" s="8" t="n"/>
      <c r="I45" s="9" t="n"/>
      <c r="J45" s="16" t="inlineStr">
        <is>
          <t>the covered-land price</t>
        </is>
      </c>
      <c r="K45" s="8" t="n"/>
      <c r="L45" s="8" t="n"/>
      <c r="M45" s="9" t="n"/>
    </row>
    <row r="46" ht="15" customHeight="1">
      <c r="B46" s="6" t="inlineStr">
        <is>
          <t>The office buy-out price</t>
        </is>
      </c>
      <c r="C46" s="8" t="n"/>
      <c r="D46" s="9" t="n"/>
      <c r="E46" s="7" t="inlineStr">
        <is>
          <t>Office Condo tab → 'Buy-out $/SF (unit market)'</t>
        </is>
      </c>
      <c r="F46" s="8" t="n"/>
      <c r="G46" s="8" t="n"/>
      <c r="H46" s="8" t="n"/>
      <c r="I46" s="9" t="n"/>
      <c r="J46" s="16" t="inlineStr">
        <is>
          <t>office price → covered-land</t>
        </is>
      </c>
      <c r="K46" s="8" t="n"/>
      <c r="L46" s="8" t="n"/>
      <c r="M46" s="9" t="n"/>
    </row>
    <row r="47" ht="15" customHeight="1">
      <c r="B47" s="6" t="inlineStr">
        <is>
          <t>A sensitivity (without touching the model)</t>
        </is>
      </c>
      <c r="C47" s="8" t="n"/>
      <c r="D47" s="9" t="n"/>
      <c r="E47" s="7" t="inlineStr">
        <is>
          <t>Review Board → the blue axis cells on any grid</t>
        </is>
      </c>
      <c r="F47" s="8" t="n"/>
      <c r="G47" s="8" t="n"/>
      <c r="H47" s="8" t="n"/>
      <c r="I47" s="9" t="n"/>
      <c r="J47" s="16" t="inlineStr">
        <is>
          <t>the grid + driver tornado, live</t>
        </is>
      </c>
      <c r="K47" s="8" t="n"/>
      <c r="L47" s="8" t="n"/>
      <c r="M47" s="9" t="n"/>
    </row>
    <row r="48" ht="15" customHeight="1">
      <c r="B48" s="6" t="inlineStr">
        <is>
          <t>What you can afford</t>
        </is>
      </c>
      <c r="C48" s="8" t="n"/>
      <c r="D48" s="9" t="n"/>
      <c r="E48" s="7" t="inlineStr">
        <is>
          <t>Capital Stack → 'Equity available'</t>
        </is>
      </c>
      <c r="F48" s="8" t="n"/>
      <c r="G48" s="8" t="n"/>
      <c r="H48" s="8" t="n"/>
      <c r="I48" s="9" t="n"/>
      <c r="J48" s="16" t="inlineStr">
        <is>
          <t>max price + assemblage capacity</t>
        </is>
      </c>
      <c r="K48" s="8" t="n"/>
      <c r="L48" s="8" t="n"/>
      <c r="M48" s="9" t="n"/>
    </row>
    <row r="49"/>
    <row r="50" ht="27" customHeight="1">
      <c r="B50" s="6" t="inlineStr">
        <is>
          <t>Confirming real data</t>
        </is>
      </c>
      <c r="C50" s="8" t="n"/>
      <c r="D50" s="9" t="n"/>
      <c r="E50" s="7" t="inlineStr">
        <is>
          <t>As you get real facts (a sale price, a rent, a lender quote), put them in the overrides.json file and rebuild — it lists every gap and where to source it. Or just edit the blue cell directly and keep the file.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>
      <c r="B51" s="5" t="inlineStr">
        <is>
          <t>THE COLOR CODE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6" t="inlineStr">
        <is>
          <t>Blue on yellow</t>
        </is>
      </c>
      <c r="C52" s="9" t="n"/>
      <c r="D52" s="7" t="inlineStr">
        <is>
          <t>an input — the only cells you change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6" t="inlineStr">
        <is>
          <t>Black</t>
        </is>
      </c>
      <c r="C53" s="9" t="n"/>
      <c r="D53" s="7" t="inlineStr">
        <is>
          <t>a formula / calculation (leave it)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6" t="inlineStr">
        <is>
          <t>Green</t>
        </is>
      </c>
      <c r="C54" s="9" t="n"/>
      <c r="D54" s="7" t="inlineStr">
        <is>
          <t>a verified fact, or a live link pulling from another tab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6" t="inlineStr">
        <is>
          <t>Gold on navy</t>
        </is>
      </c>
      <c r="C55" s="9" t="n"/>
      <c r="D55" s="7" t="inlineStr">
        <is>
          <t>a header, total, or key number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6" t="inlineStr">
        <is>
          <t>Orange</t>
        </is>
      </c>
      <c r="C56" s="9" t="n"/>
      <c r="D56" s="7" t="inlineStr">
        <is>
          <t>a warning, a flag, or something to confirm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6" t="inlineStr">
        <is>
          <t>Confidence</t>
        </is>
      </c>
      <c r="C57" s="9" t="n"/>
      <c r="D57" s="16" t="inlineStr">
        <is>
          <t>✅ verified (public record)   ·   ⚠️ reported (confirm at the county)   ·   🔶 modeled (a market assumption)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</sheetData>
  <mergeCells count="101">
    <mergeCell ref="B11:D11"/>
    <mergeCell ref="B2:M2"/>
    <mergeCell ref="B42:D42"/>
    <mergeCell ref="C6:M6"/>
    <mergeCell ref="J43:M43"/>
    <mergeCell ref="B44:D44"/>
    <mergeCell ref="E34:M34"/>
    <mergeCell ref="H11:J11"/>
    <mergeCell ref="E48:I48"/>
    <mergeCell ref="B34:D34"/>
    <mergeCell ref="J42:M42"/>
    <mergeCell ref="B28:M28"/>
    <mergeCell ref="E27:M27"/>
    <mergeCell ref="E36:M36"/>
    <mergeCell ref="B30:D30"/>
    <mergeCell ref="J44:M44"/>
    <mergeCell ref="E40:I40"/>
    <mergeCell ref="K10:M10"/>
    <mergeCell ref="E22:M22"/>
    <mergeCell ref="D57:M57"/>
    <mergeCell ref="J45:M45"/>
    <mergeCell ref="B55:C55"/>
    <mergeCell ref="B43:D43"/>
    <mergeCell ref="K11:M11"/>
    <mergeCell ref="J47:M47"/>
    <mergeCell ref="E42:I42"/>
    <mergeCell ref="B17:D17"/>
    <mergeCell ref="C5:M5"/>
    <mergeCell ref="K12:M12"/>
    <mergeCell ref="D55:M55"/>
    <mergeCell ref="B10:D10"/>
    <mergeCell ref="E44:I44"/>
    <mergeCell ref="B19:D19"/>
    <mergeCell ref="D54:M54"/>
    <mergeCell ref="B9:M9"/>
    <mergeCell ref="B53:C53"/>
    <mergeCell ref="E25:M25"/>
    <mergeCell ref="B36:D36"/>
    <mergeCell ref="B45:D45"/>
    <mergeCell ref="B20:M20"/>
    <mergeCell ref="E46:I46"/>
    <mergeCell ref="E18:M18"/>
    <mergeCell ref="B4:M4"/>
    <mergeCell ref="E50:M50"/>
    <mergeCell ref="B47:D47"/>
    <mergeCell ref="B31:D31"/>
    <mergeCell ref="B46:D46"/>
    <mergeCell ref="E41:I41"/>
    <mergeCell ref="B21:D21"/>
    <mergeCell ref="E47:I47"/>
    <mergeCell ref="B48:D48"/>
    <mergeCell ref="B39:M39"/>
    <mergeCell ref="E10:G10"/>
    <mergeCell ref="E29:M29"/>
    <mergeCell ref="E43:I43"/>
    <mergeCell ref="B54:C54"/>
    <mergeCell ref="B23:M23"/>
    <mergeCell ref="J46:M46"/>
    <mergeCell ref="E31:M31"/>
    <mergeCell ref="B56:C56"/>
    <mergeCell ref="E15:M15"/>
    <mergeCell ref="B52:C52"/>
    <mergeCell ref="E11:G11"/>
    <mergeCell ref="J48:M48"/>
    <mergeCell ref="B57:C57"/>
    <mergeCell ref="E32:M32"/>
    <mergeCell ref="J40:M40"/>
    <mergeCell ref="B41:D41"/>
    <mergeCell ref="B50:D50"/>
    <mergeCell ref="E12:G12"/>
    <mergeCell ref="E45:I45"/>
    <mergeCell ref="B25:D25"/>
    <mergeCell ref="E24:M24"/>
    <mergeCell ref="H10:J10"/>
    <mergeCell ref="C7:M7"/>
    <mergeCell ref="B22:D22"/>
    <mergeCell ref="E17:M17"/>
    <mergeCell ref="B12:D12"/>
    <mergeCell ref="E19:M19"/>
    <mergeCell ref="D56:M56"/>
    <mergeCell ref="B14:M14"/>
    <mergeCell ref="B1:M1"/>
    <mergeCell ref="B29:D29"/>
    <mergeCell ref="E30:M30"/>
    <mergeCell ref="B38:M38"/>
    <mergeCell ref="B40:D40"/>
    <mergeCell ref="H12:J12"/>
    <mergeCell ref="B15:D15"/>
    <mergeCell ref="B24:D24"/>
    <mergeCell ref="B33:M33"/>
    <mergeCell ref="B51:M51"/>
    <mergeCell ref="B32:D32"/>
    <mergeCell ref="D52:M52"/>
    <mergeCell ref="B26:M26"/>
    <mergeCell ref="E21:M21"/>
    <mergeCell ref="B35:M35"/>
    <mergeCell ref="B16:M16"/>
    <mergeCell ref="B18:D18"/>
    <mergeCell ref="B27:D27"/>
    <mergeCell ref="D53:M53"/>
    <mergeCell ref="J41:M41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7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Valuation'!C122</f>
        <v/>
      </c>
      <c r="C6" s="3" t="n"/>
      <c r="D6" s="11">
        <f>'Assemblage'!C29</f>
        <v/>
      </c>
      <c r="E6" s="3" t="n"/>
      <c r="F6" s="18">
        <f>'Assemblage'!C23</f>
        <v/>
      </c>
      <c r="G6" s="3" t="n"/>
      <c r="H6" s="12">
        <f>'Income Valuation'!C94</f>
        <v/>
      </c>
      <c r="I6" s="3" t="n"/>
      <c r="J6" s="11">
        <f>'Income Valuation'!C86</f>
        <v/>
      </c>
      <c r="K6" s="3" t="n"/>
      <c r="L6" s="19">
        <f>'Assemblage'!C21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20">
        <f>'Income Valuation'!C122</f>
        <v/>
      </c>
      <c r="F9" s="9" t="n"/>
      <c r="G9" s="16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20">
        <f>'Highest &amp; Best Use'!C11</f>
        <v/>
      </c>
      <c r="F10" s="9" t="n"/>
      <c r="G10" s="16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1" t="inlineStr">
        <is>
          <t>③ COVERED-LAND / HBU (assembled)</t>
        </is>
      </c>
      <c r="C11" s="8" t="n"/>
      <c r="D11" s="9" t="n"/>
      <c r="E11" s="22">
        <f>'Assemblage'!C29</f>
        <v/>
      </c>
      <c r="F11" s="9" t="n"/>
      <c r="G11" s="16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20">
        <f>'Income Valuation'!C124</f>
        <v/>
      </c>
      <c r="F12" s="9" t="n"/>
      <c r="G12" s="16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20">
        <f>'Highest &amp; Best Use'!C41</f>
        <v/>
      </c>
      <c r="F13" s="9" t="n"/>
      <c r="G13" s="16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3" t="inlineStr">
        <is>
          <t>Size</t>
        </is>
      </c>
      <c r="D16" s="23" t="inlineStr">
        <is>
          <t>They paid</t>
        </is>
      </c>
      <c r="E16" s="23" t="inlineStr">
        <is>
          <t>Yr</t>
        </is>
      </c>
      <c r="F16" s="23" t="inlineStr">
        <is>
          <t>Our price</t>
        </is>
      </c>
      <c r="G16" s="23" t="inlineStr">
        <is>
          <t>In-place NOI</t>
        </is>
      </c>
      <c r="H16" s="23" t="inlineStr">
        <is>
          <t>Cap</t>
        </is>
      </c>
      <c r="I16" s="23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6" t="inlineStr">
        <is>
          <t>26,272 SF retail</t>
        </is>
      </c>
      <c r="D17" s="24">
        <f>'Assumptions'!C27</f>
        <v/>
      </c>
      <c r="E17" s="25">
        <f>'Assumptions'!C28</f>
        <v/>
      </c>
      <c r="F17" s="24">
        <f>'Shahidi Retail'!C57</f>
        <v/>
      </c>
      <c r="G17" s="24">
        <f>'Shahidi Retail'!C122</f>
        <v/>
      </c>
      <c r="H17" s="26">
        <f>G17/F17</f>
        <v/>
      </c>
      <c r="I17" s="27">
        <f>'Shahidi Retail'!C120</f>
        <v/>
      </c>
      <c r="J17" s="16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6" t="inlineStr">
        <is>
          <t>36,822 SF grocery+pad</t>
        </is>
      </c>
      <c r="D18" s="24">
        <f>'Assumptions'!C29</f>
        <v/>
      </c>
      <c r="E18" s="25">
        <f>'Assumptions'!C30</f>
        <v/>
      </c>
      <c r="F18" s="24">
        <f>'Publix &amp; Starbucks'!C44</f>
        <v/>
      </c>
      <c r="G18" s="24">
        <f>'Publix &amp; Starbucks'!C109</f>
        <v/>
      </c>
      <c r="H18" s="26">
        <f>G18/F18</f>
        <v/>
      </c>
      <c r="I18" s="27">
        <f>'Publix &amp; Starbucks'!C107</f>
        <v/>
      </c>
      <c r="J18" s="16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6" t="inlineStr">
        <is>
          <t>25,105 SF retail</t>
        </is>
      </c>
      <c r="D19" s="24">
        <f>'Assumptions'!C31</f>
        <v/>
      </c>
      <c r="E19" s="25">
        <f>'Assumptions'!C32</f>
        <v/>
      </c>
      <c r="F19" s="24">
        <f>'Sunrise Plaza'!C47</f>
        <v/>
      </c>
      <c r="G19" s="24">
        <f>'Sunrise Plaza'!C112</f>
        <v/>
      </c>
      <c r="H19" s="26">
        <f>G19/F19</f>
        <v/>
      </c>
      <c r="I19" s="27">
        <f>'Sunrise Plaza'!C110</f>
        <v/>
      </c>
      <c r="J19" s="16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6" t="inlineStr">
        <is>
          <t>168,807 SF office condo</t>
        </is>
      </c>
      <c r="D20" s="24">
        <f>'Assumptions'!C33</f>
        <v/>
      </c>
      <c r="E20" s="25">
        <f>'Assumptions'!C34</f>
        <v/>
      </c>
      <c r="F20" s="24">
        <f>'Office Condo'!I99</f>
        <v/>
      </c>
      <c r="G20" s="24">
        <f>'Office Condo'!C79</f>
        <v/>
      </c>
      <c r="H20" s="26">
        <f>G20/F20</f>
        <v/>
      </c>
      <c r="I20" s="27">
        <f>'Office Condo'!C77</f>
        <v/>
      </c>
      <c r="J20" s="16" t="inlineStr">
        <is>
          <t>unit-market buy-out; fractured condo</t>
        </is>
      </c>
      <c r="K20" s="8" t="n"/>
      <c r="L20" s="8" t="n"/>
      <c r="M20" s="9" t="n"/>
    </row>
    <row r="21" ht="15" customHeight="1">
      <c r="B21" s="7" t="inlineStr">
        <is>
          <t>1040 Bayview (covered land)</t>
        </is>
      </c>
      <c r="C21" s="16" t="inlineStr">
        <is>
          <t>2.39 ac · 259 units</t>
        </is>
      </c>
      <c r="D21" s="24">
        <f>'Assumptions'!C35</f>
        <v/>
      </c>
      <c r="E21" s="25">
        <f>'Assumptions'!C36</f>
        <v/>
      </c>
      <c r="F21" s="24">
        <f>'Land'!E43</f>
        <v/>
      </c>
      <c r="G21" s="24">
        <f>'Land'!C50</f>
        <v/>
      </c>
      <c r="H21" s="26">
        <f>G21/F21</f>
        <v/>
      </c>
      <c r="I21" s="27">
        <f>'Land'!C71</f>
        <v/>
      </c>
      <c r="J21" s="16" t="inlineStr">
        <is>
          <t>entitled 259 units · covered land</t>
        </is>
      </c>
      <c r="K21" s="8" t="n"/>
      <c r="L21" s="8" t="n"/>
      <c r="M21" s="9" t="n"/>
    </row>
    <row r="22" ht="15" customHeight="1">
      <c r="B22" s="28" t="inlineStr">
        <is>
          <t>ASSEMBLAGE — priced independently</t>
        </is>
      </c>
      <c r="C22" s="28" t="inlineStr">
        <is>
          <t>5 assets</t>
        </is>
      </c>
      <c r="D22" s="29" t="inlineStr">
        <is>
          <t>—</t>
        </is>
      </c>
      <c r="E22" s="30" t="inlineStr"/>
      <c r="F22" s="31">
        <f>'Assemblage'!C17</f>
        <v/>
      </c>
      <c r="G22" s="31">
        <f>'Assemblage'!D17</f>
        <v/>
      </c>
      <c r="H22" s="32">
        <f>'Assemblage'!C23</f>
        <v/>
      </c>
      <c r="I22" s="33">
        <f>'Income Valuation'!C94</f>
        <v/>
      </c>
      <c r="J22" s="28" t="inlineStr">
        <is>
          <t>portfolio lev IRR = consolidated cash-flow IRR</t>
        </is>
      </c>
      <c r="K22" s="8" t="n"/>
      <c r="L22" s="8" t="n"/>
      <c r="M22" s="9" t="n"/>
    </row>
    <row r="23"/>
    <row r="24">
      <c r="B24" s="5" t="inlineStr">
        <is>
          <t>LAND  &amp;  HIGHEST-AND-BEST-USE</t>
        </is>
      </c>
      <c r="C24" s="2" t="n"/>
      <c r="D24" s="2" t="n"/>
      <c r="E24" s="2" t="n"/>
      <c r="F24" s="3" t="n"/>
      <c r="G24" s="5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Land — fragmented parcels</t>
        </is>
      </c>
      <c r="C25" s="9" t="n"/>
      <c r="D25" s="24">
        <f>'Highest &amp; Best Use'!E30</f>
        <v/>
      </c>
      <c r="E25" s="8" t="n"/>
      <c r="F25" s="9" t="n"/>
      <c r="G25" s="7" t="inlineStr">
        <is>
          <t>Unlevered / levered IRR</t>
        </is>
      </c>
      <c r="H25" s="8" t="n"/>
      <c r="I25" s="9" t="n"/>
      <c r="J25" s="34">
        <f>'Income Valuation'!C92</f>
        <v/>
      </c>
      <c r="K25" s="8" t="n"/>
      <c r="L25" s="8" t="n"/>
      <c r="M25" s="9" t="n"/>
    </row>
    <row r="26" ht="15" customHeight="1">
      <c r="B26" s="7" t="inlineStr">
        <is>
          <t>Land — assembled (plottage)</t>
        </is>
      </c>
      <c r="C26" s="9" t="n"/>
      <c r="D26" s="24">
        <f>'Highest &amp; Best Use'!C36</f>
        <v/>
      </c>
      <c r="E26" s="8" t="n"/>
      <c r="F26" s="9" t="n"/>
      <c r="G26" s="7" t="inlineStr">
        <is>
          <t>Levered equity multiple</t>
        </is>
      </c>
      <c r="H26" s="8" t="n"/>
      <c r="I26" s="9" t="n"/>
      <c r="J26" s="35">
        <f>'Income Valuation'!C95</f>
        <v/>
      </c>
      <c r="K26" s="8" t="n"/>
      <c r="L26" s="8" t="n"/>
      <c r="M26" s="9" t="n"/>
    </row>
    <row r="27" ht="15" customHeight="1">
      <c r="B27" s="7" t="inlineStr">
        <is>
          <t>Plottage premium</t>
        </is>
      </c>
      <c r="C27" s="9" t="n"/>
      <c r="D27" s="24">
        <f>'Highest &amp; Best Use'!C39</f>
        <v/>
      </c>
      <c r="E27" s="8" t="n"/>
      <c r="F27" s="9" t="n"/>
      <c r="G27" s="7" t="inlineStr">
        <is>
          <t>Avg cash-on-cash (levered)</t>
        </is>
      </c>
      <c r="H27" s="8" t="n"/>
      <c r="I27" s="9" t="n"/>
      <c r="J27" s="34">
        <f>'Income Valuation'!C98</f>
        <v/>
      </c>
      <c r="K27" s="8" t="n"/>
      <c r="L27" s="8" t="n"/>
      <c r="M27" s="9" t="n"/>
    </row>
    <row r="28" ht="15" customHeight="1">
      <c r="B28" s="7" t="inlineStr">
        <is>
          <t>Office condo FULL BUY-OUT</t>
        </is>
      </c>
      <c r="C28" s="9" t="n"/>
      <c r="D28" s="24">
        <f>'Office Condo'!I99</f>
        <v/>
      </c>
      <c r="E28" s="8" t="n"/>
      <c r="F28" s="9" t="n"/>
      <c r="G28" s="7" t="inlineStr">
        <is>
          <t>Year-1 DSCR</t>
        </is>
      </c>
      <c r="H28" s="8" t="n"/>
      <c r="I28" s="9" t="n"/>
      <c r="J28" s="35">
        <f>'Income Valuation'!C96</f>
        <v/>
      </c>
      <c r="K28" s="8" t="n"/>
      <c r="L28" s="8" t="n"/>
      <c r="M28" s="9" t="n"/>
    </row>
    <row r="29" ht="15" customHeight="1">
      <c r="B29" s="7" t="inlineStr">
        <is>
          <t>Blended land basis ($/SF)</t>
        </is>
      </c>
      <c r="C29" s="9" t="n"/>
      <c r="D29" s="36">
        <f>'Assemblage'!C22</f>
        <v/>
      </c>
      <c r="E29" s="8" t="n"/>
      <c r="F29" s="9" t="n"/>
      <c r="G29" s="7" t="inlineStr">
        <is>
          <t>Break-even exit cap</t>
        </is>
      </c>
      <c r="H29" s="8" t="n"/>
      <c r="I29" s="9" t="n"/>
      <c r="J29" s="37">
        <f>'Income Valuation'!C118</f>
        <v/>
      </c>
      <c r="K29" s="8" t="n"/>
      <c r="L29" s="8" t="n"/>
      <c r="M29" s="9" t="n"/>
    </row>
    <row r="30" ht="15" customHeight="1">
      <c r="B30" s="7" t="inlineStr">
        <is>
          <t>Redevelopment residual (Live Local)</t>
        </is>
      </c>
      <c r="C30" s="9" t="n"/>
      <c r="D30" s="24">
        <f>'Land'!C81</f>
        <v/>
      </c>
      <c r="E30" s="8" t="n"/>
      <c r="F30" s="9" t="n"/>
      <c r="G30" s="7" t="inlineStr">
        <is>
          <t>Total senior debt</t>
        </is>
      </c>
      <c r="H30" s="8" t="n"/>
      <c r="I30" s="9" t="n"/>
      <c r="J30" s="24">
        <f>'Income Valuation'!C67</f>
        <v/>
      </c>
      <c r="K30" s="8" t="n"/>
      <c r="L30" s="8" t="n"/>
      <c r="M30" s="9" t="n"/>
    </row>
    <row r="31" ht="15" customHeight="1">
      <c r="B31" s="15" t="inlineStr">
        <is>
          <t>HBU verdict</t>
        </is>
      </c>
      <c r="C31" s="9" t="n"/>
      <c r="D31" s="15" t="inlineStr">
        <is>
          <t>HOLD — residual negative</t>
        </is>
      </c>
      <c r="E31" s="8" t="n"/>
      <c r="F31" s="9" t="n"/>
      <c r="G31" s="7" t="inlineStr">
        <is>
          <t>Lev IRR down/base/up</t>
        </is>
      </c>
      <c r="H31" s="8" t="n"/>
      <c r="I31" s="9" t="n"/>
      <c r="J31" s="27">
        <f>'Scenarios'!G22</f>
        <v/>
      </c>
      <c r="K31" s="27">
        <f>'Income Valuation'!C94</f>
        <v/>
      </c>
      <c r="L31" s="27">
        <f>'Scenarios'!G24</f>
        <v/>
      </c>
      <c r="M31" s="9" t="n"/>
    </row>
    <row r="32"/>
    <row r="33">
      <c r="B33" s="5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7" t="inlineStr">
        <is>
          <t>ACQUIRE &amp; HOLD a covered land play on the Galleria hard corner. Buy/value each asset off the rent it produces; the blended in-place income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covers the carry while we control ~7.2 acres for eventual Live Local density. Structure Publix as a sale-leaseback (rent covers carry, then it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vacates for redevelopment) and buy out the fractured office condo through Grove Gate (Brad Weiss controls the majority + the board).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Redevelopment does NOT pencil today (AE flood zone, coastal hard costs → negative residual) — the return is optionality on the dirt, paid for by the rent.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 ht="25" customHeight="1">
      <c r="B39" s="16" t="inlineStr">
        <is>
          <t>Confidence</t>
        </is>
      </c>
      <c r="C39" s="9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COMPS &amp; PRICING  —  individual + assemblage, with sources you can quote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factual basis for each asset's value and the assemblage price. ✅ public record · 📰 press-reported deal · 📊 broker/market report · ⚠️ asking/unverified. County portals were blocked when compiled — confirm ⚠️/📰/📊 items at BCPA before close.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SHAHIDI RETAIL  ·  “Galleria Plaza”  —  the anchor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Subject</t>
        </is>
      </c>
      <c r="C5" s="9" t="n"/>
      <c r="D5" s="38" t="inlineStr"/>
      <c r="E5" s="23" t="inlineStr">
        <is>
          <t>flag</t>
        </is>
      </c>
    </row>
    <row r="6" ht="15" customHeight="1">
      <c r="B6" s="7" t="inlineStr">
        <is>
          <t xml:space="preserve">  Address / folio</t>
        </is>
      </c>
      <c r="C6" s="9" t="n"/>
      <c r="D6" s="39" t="inlineStr">
        <is>
          <t>2541–2595 E Sunrise Blvd · folio 49-42-36-12-0070</t>
        </is>
      </c>
      <c r="E6" s="8" t="n"/>
      <c r="F6" s="8" t="n"/>
      <c r="G6" s="8" t="n"/>
      <c r="H6" s="8" t="n"/>
      <c r="I6" s="8" t="n"/>
      <c r="J6" s="8" t="n"/>
      <c r="K6" s="8" t="n"/>
      <c r="L6" s="9" t="n"/>
      <c r="M6" s="40" t="inlineStr">
        <is>
          <t>✅</t>
        </is>
      </c>
    </row>
    <row r="7" ht="15" customHeight="1">
      <c r="B7" s="7" t="inlineStr">
        <is>
          <t xml:space="preserve">  Owner</t>
        </is>
      </c>
      <c r="C7" s="9" t="n"/>
      <c r="D7" s="39" t="inlineStr">
        <is>
          <t>Shawnick Galleria LLC (Esmail Shahidi) · Sunbiz L21000389291</t>
        </is>
      </c>
      <c r="E7" s="8" t="n"/>
      <c r="F7" s="8" t="n"/>
      <c r="G7" s="8" t="n"/>
      <c r="H7" s="8" t="n"/>
      <c r="I7" s="8" t="n"/>
      <c r="J7" s="8" t="n"/>
      <c r="K7" s="8" t="n"/>
      <c r="L7" s="9" t="n"/>
      <c r="M7" s="40" t="inlineStr">
        <is>
          <t>✅</t>
        </is>
      </c>
    </row>
    <row r="8" ht="15" customHeight="1">
      <c r="B8" s="7" t="inlineStr">
        <is>
          <t xml:space="preserve">  Size</t>
        </is>
      </c>
      <c r="C8" s="9" t="n"/>
      <c r="D8" s="39" t="inlineStr">
        <is>
          <t>26,272 SF building (24,807 SF GLA) · 67,080 SF land (1.54 ac)</t>
        </is>
      </c>
      <c r="E8" s="8" t="n"/>
      <c r="F8" s="8" t="n"/>
      <c r="G8" s="8" t="n"/>
      <c r="H8" s="8" t="n"/>
      <c r="I8" s="8" t="n"/>
      <c r="J8" s="8" t="n"/>
      <c r="K8" s="8" t="n"/>
      <c r="L8" s="9" t="n"/>
      <c r="M8" s="40" t="inlineStr">
        <is>
          <t>✅</t>
        </is>
      </c>
    </row>
    <row r="9" ht="15" customHeight="1">
      <c r="B9" s="7" t="inlineStr">
        <is>
          <t xml:space="preserve">  Last sale</t>
        </is>
      </c>
      <c r="C9" s="9" t="n"/>
      <c r="D9" s="7" t="inlineStr">
        <is>
          <t>$17,100,000 · Nov 2021 · from Stiles/Sunrise Investment Props · CBRE-brokered</t>
        </is>
      </c>
      <c r="E9" s="8" t="n"/>
      <c r="F9" s="8" t="n"/>
      <c r="G9" s="8" t="n"/>
      <c r="H9" s="8" t="n"/>
      <c r="I9" s="8" t="n"/>
      <c r="J9" s="8" t="n"/>
      <c r="K9" s="8" t="n"/>
      <c r="L9" s="9" t="n"/>
      <c r="M9" s="40" t="inlineStr">
        <is>
          <t>📰</t>
        </is>
      </c>
    </row>
    <row r="10" ht="15" customHeight="1">
      <c r="B10" s="7" t="inlineStr">
        <is>
          <t xml:space="preserve">  Occupancy</t>
        </is>
      </c>
      <c r="C10" s="9" t="n"/>
      <c r="D10" s="7" t="inlineStr">
        <is>
          <t>~83% leased — value-add lease-up upside</t>
        </is>
      </c>
      <c r="E10" s="8" t="n"/>
      <c r="F10" s="8" t="n"/>
      <c r="G10" s="8" t="n"/>
      <c r="H10" s="8" t="n"/>
      <c r="I10" s="8" t="n"/>
      <c r="J10" s="8" t="n"/>
      <c r="K10" s="8" t="n"/>
      <c r="L10" s="9" t="n"/>
      <c r="M10" s="40" t="inlineStr">
        <is>
          <t>⚠️</t>
        </is>
      </c>
    </row>
    <row r="11" ht="15" customHeight="1">
      <c r="B11" s="41" t="inlineStr">
        <is>
          <t xml:space="preserve">  CONCLUDED PRICE (individual)</t>
        </is>
      </c>
      <c r="C11" s="42" t="n"/>
      <c r="D11" s="20">
        <f>'Shahidi Retail'!C57</f>
        <v/>
      </c>
      <c r="F11" s="24">
        <f>'Shahidi Retail'!C122/'Shahidi Retail'!C63</f>
        <v/>
      </c>
      <c r="G11" s="16" t="inlineStr">
        <is>
          <t>← income value (cross-check)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 xml:space="preserve">  Type</t>
        </is>
      </c>
      <c r="C12" s="9" t="n"/>
      <c r="D12" s="14" t="inlineStr">
        <is>
          <t>Comparable</t>
        </is>
      </c>
      <c r="E12" s="8" t="n"/>
      <c r="F12" s="8" t="n"/>
      <c r="G12" s="9" t="n"/>
      <c r="H12" s="23" t="inlineStr">
        <is>
          <t>Figure</t>
        </is>
      </c>
      <c r="I12" s="9" t="n"/>
      <c r="J12" s="14" t="inlineStr">
        <is>
          <t>Source · date</t>
        </is>
      </c>
      <c r="K12" s="8" t="n"/>
      <c r="L12" s="8" t="n"/>
      <c r="M12" s="9" t="n"/>
    </row>
    <row r="13" ht="15" customHeight="1">
      <c r="B13" s="6" t="inlineStr">
        <is>
          <t xml:space="preserve">  Sale comp</t>
        </is>
      </c>
      <c r="C13" s="9" t="n"/>
      <c r="D13" s="7" t="inlineStr">
        <is>
          <t>Shahidi itself — $651/SF bldg · $255/SF land</t>
        </is>
      </c>
      <c r="E13" s="8" t="n"/>
      <c r="F13" s="8" t="n"/>
      <c r="G13" s="9" t="n"/>
      <c r="H13" s="40" t="inlineStr">
        <is>
          <t>$17.1M</t>
        </is>
      </c>
      <c r="I13" s="9" t="n"/>
      <c r="J13" s="16" t="inlineStr">
        <is>
          <t>📰 Shopping Center Business / Traded · 11/2021</t>
        </is>
      </c>
      <c r="K13" s="8" t="n"/>
      <c r="L13" s="8" t="n"/>
      <c r="M13" s="9" t="n"/>
    </row>
    <row r="14" ht="15" customHeight="1">
      <c r="B14" s="6" t="inlineStr">
        <is>
          <t xml:space="preserve">  Sale comp</t>
        </is>
      </c>
      <c r="C14" s="9" t="n"/>
      <c r="D14" s="7" t="inlineStr">
        <is>
          <t>The Galleria mall, 2414 E Sunrise (800k SF, redevelopment)</t>
        </is>
      </c>
      <c r="E14" s="8" t="n"/>
      <c r="F14" s="8" t="n"/>
      <c r="G14" s="9" t="n"/>
      <c r="H14" s="40" t="inlineStr">
        <is>
          <t>$73M · $91/SF</t>
        </is>
      </c>
      <c r="I14" s="9" t="n"/>
      <c r="J14" s="16" t="inlineStr">
        <is>
          <t>📰 The Real Deal · 9/2025</t>
        </is>
      </c>
      <c r="K14" s="8" t="n"/>
      <c r="L14" s="8" t="n"/>
      <c r="M14" s="9" t="n"/>
    </row>
    <row r="15" ht="15" customHeight="1">
      <c r="B15" s="6" t="inlineStr">
        <is>
          <t xml:space="preserve">  Sale comp</t>
        </is>
      </c>
      <c r="C15" s="9" t="n"/>
      <c r="D15" s="7" t="inlineStr">
        <is>
          <t>200 E Sunrise land (Holy Cross ER site)</t>
        </is>
      </c>
      <c r="E15" s="8" t="n"/>
      <c r="F15" s="8" t="n"/>
      <c r="G15" s="9" t="n"/>
      <c r="H15" s="40" t="inlineStr">
        <is>
          <t>$13M</t>
        </is>
      </c>
      <c r="I15" s="9" t="n"/>
      <c r="J15" s="16" t="inlineStr">
        <is>
          <t>📰 Traded.co · 2024</t>
        </is>
      </c>
      <c r="K15" s="8" t="n"/>
      <c r="L15" s="8" t="n"/>
      <c r="M15" s="9" t="n"/>
    </row>
    <row r="16" ht="15" customHeight="1">
      <c r="B16" s="6" t="inlineStr">
        <is>
          <t xml:space="preserve">  Lease comp</t>
        </is>
      </c>
      <c r="C16" s="9" t="n"/>
      <c r="D16" s="7" t="inlineStr">
        <is>
          <t>Fort Lauderdale avg retail asking, NNN</t>
        </is>
      </c>
      <c r="E16" s="8" t="n"/>
      <c r="F16" s="8" t="n"/>
      <c r="G16" s="9" t="n"/>
      <c r="H16" s="40" t="inlineStr">
        <is>
          <t>$34–36/SF</t>
        </is>
      </c>
      <c r="I16" s="9" t="n"/>
      <c r="J16" s="16" t="inlineStr">
        <is>
          <t>📊 Matthews Retail Report · Q3'25</t>
        </is>
      </c>
      <c r="K16" s="8" t="n"/>
      <c r="L16" s="8" t="n"/>
      <c r="M16" s="9" t="n"/>
    </row>
    <row r="17" ht="15" customHeight="1">
      <c r="B17" s="6" t="inlineStr">
        <is>
          <t xml:space="preserve">  Lease comp</t>
        </is>
      </c>
      <c r="C17" s="9" t="n"/>
      <c r="D17" s="7" t="inlineStr">
        <is>
          <t>E Sunrise arterial strip (premium space to $60)</t>
        </is>
      </c>
      <c r="E17" s="8" t="n"/>
      <c r="F17" s="8" t="n"/>
      <c r="G17" s="9" t="n"/>
      <c r="H17" s="40" t="inlineStr">
        <is>
          <t>$25–50/SF NNN</t>
        </is>
      </c>
      <c r="I17" s="9" t="n"/>
      <c r="J17" s="16" t="inlineStr">
        <is>
          <t>📊 Native Realty / Justin Crow CRE · 2025-26</t>
        </is>
      </c>
      <c r="K17" s="8" t="n"/>
      <c r="L17" s="8" t="n"/>
      <c r="M17" s="9" t="n"/>
    </row>
    <row r="18" ht="15" customHeight="1">
      <c r="B18" s="6" t="inlineStr">
        <is>
          <t xml:space="preserve">  Cap rate</t>
        </is>
      </c>
      <c r="C18" s="9" t="n"/>
      <c r="D18" s="7" t="inlineStr">
        <is>
          <t>Unanchored strip — stabilized / value-add</t>
        </is>
      </c>
      <c r="E18" s="8" t="n"/>
      <c r="F18" s="8" t="n"/>
      <c r="G18" s="9" t="n"/>
      <c r="H18" s="40" t="inlineStr">
        <is>
          <t>6.25–7.5% / 6.5–8.5%</t>
        </is>
      </c>
      <c r="I18" s="9" t="n"/>
      <c r="J18" s="16" t="inlineStr">
        <is>
          <t>📊 Matthews · 2025</t>
        </is>
      </c>
      <c r="K18" s="8" t="n"/>
      <c r="L18" s="8" t="n"/>
      <c r="M18" s="9" t="n"/>
    </row>
    <row r="19" ht="15" customHeight="1">
      <c r="B19" s="6" t="inlineStr">
        <is>
          <t xml:space="preserve">  Cap rate</t>
        </is>
      </c>
      <c r="C19" s="9" t="n"/>
      <c r="D19" s="7" t="inlineStr">
        <is>
          <t>Broward retail vacancy (pricing power)</t>
        </is>
      </c>
      <c r="E19" s="8" t="n"/>
      <c r="F19" s="8" t="n"/>
      <c r="G19" s="9" t="n"/>
      <c r="H19" s="40" t="inlineStr">
        <is>
          <t>3.7–3.9%</t>
        </is>
      </c>
      <c r="I19" s="9" t="n"/>
      <c r="J19" s="16" t="inlineStr">
        <is>
          <t>📊 Broker One / market · 2025-26</t>
        </is>
      </c>
      <c r="K19" s="8" t="n"/>
      <c r="L19" s="8" t="n"/>
      <c r="M19" s="9" t="n"/>
    </row>
    <row r="20" ht="27" customHeight="1">
      <c r="B20" s="15" t="inlineStr">
        <is>
          <t xml:space="preserve">  Read</t>
        </is>
      </c>
      <c r="C20" s="9" t="n"/>
      <c r="D20" s="7" t="inlineStr">
        <is>
          <t>Concluded at the Nov-2021 arm's-length basis ($17.1M); the model's income value at $55/SF blended rent and a 6.0% going-in cap ties to ~$16.7M. Value-add lease-up to 95% is the upside.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/>
    <row r="22">
      <c r="B22" s="5" t="inlineStr">
        <is>
          <t>② PUBLIX + STARBUCKS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Subject</t>
        </is>
      </c>
      <c r="C23" s="9" t="n"/>
      <c r="D23" s="38" t="inlineStr"/>
      <c r="E23" s="23" t="inlineStr">
        <is>
          <t>flag</t>
        </is>
      </c>
    </row>
    <row r="24" ht="15" customHeight="1">
      <c r="B24" s="7" t="inlineStr">
        <is>
          <t xml:space="preserve">  Address / folio</t>
        </is>
      </c>
      <c r="C24" s="9" t="n"/>
      <c r="D24" s="39" t="inlineStr">
        <is>
          <t>2501–2519 E Sunrise Blvd · folio -0060</t>
        </is>
      </c>
      <c r="E24" s="8" t="n"/>
      <c r="F24" s="8" t="n"/>
      <c r="G24" s="8" t="n"/>
      <c r="H24" s="8" t="n"/>
      <c r="I24" s="8" t="n"/>
      <c r="J24" s="8" t="n"/>
      <c r="K24" s="8" t="n"/>
      <c r="L24" s="9" t="n"/>
      <c r="M24" s="40" t="inlineStr">
        <is>
          <t>✅</t>
        </is>
      </c>
    </row>
    <row r="25" ht="15" customHeight="1">
      <c r="B25" s="7" t="inlineStr">
        <is>
          <t xml:space="preserve">  Owner</t>
        </is>
      </c>
      <c r="C25" s="9" t="n"/>
      <c r="D25" s="39" t="inlineStr">
        <is>
          <t>REAL SUB LLC (Publix Super Markets, Lakeland)</t>
        </is>
      </c>
      <c r="E25" s="8" t="n"/>
      <c r="F25" s="8" t="n"/>
      <c r="G25" s="8" t="n"/>
      <c r="H25" s="8" t="n"/>
      <c r="I25" s="8" t="n"/>
      <c r="J25" s="8" t="n"/>
      <c r="K25" s="8" t="n"/>
      <c r="L25" s="9" t="n"/>
      <c r="M25" s="40" t="inlineStr">
        <is>
          <t>✅</t>
        </is>
      </c>
    </row>
    <row r="26" ht="15" customHeight="1">
      <c r="B26" s="7" t="inlineStr">
        <is>
          <t xml:space="preserve">  Size</t>
        </is>
      </c>
      <c r="C26" s="9" t="n"/>
      <c r="D26" s="39" t="inlineStr">
        <is>
          <t>36,822 SF (Publix ~34,622 + Starbucks pad ~2,200) · 2.5 ac</t>
        </is>
      </c>
      <c r="E26" s="8" t="n"/>
      <c r="F26" s="8" t="n"/>
      <c r="G26" s="8" t="n"/>
      <c r="H26" s="8" t="n"/>
      <c r="I26" s="8" t="n"/>
      <c r="J26" s="8" t="n"/>
      <c r="K26" s="8" t="n"/>
      <c r="L26" s="9" t="n"/>
      <c r="M26" s="40" t="inlineStr">
        <is>
          <t>✅</t>
        </is>
      </c>
    </row>
    <row r="27" ht="15" customHeight="1">
      <c r="B27" s="7" t="inlineStr">
        <is>
          <t xml:space="preserve">  Last sale</t>
        </is>
      </c>
      <c r="C27" s="9" t="n"/>
      <c r="D27" s="7" t="inlineStr">
        <is>
          <t>$25,000,000 · $678/SF · Mar 2025 (seller held since 1977)</t>
        </is>
      </c>
      <c r="E27" s="8" t="n"/>
      <c r="F27" s="8" t="n"/>
      <c r="G27" s="8" t="n"/>
      <c r="H27" s="8" t="n"/>
      <c r="I27" s="8" t="n"/>
      <c r="J27" s="8" t="n"/>
      <c r="K27" s="8" t="n"/>
      <c r="L27" s="9" t="n"/>
      <c r="M27" s="40" t="inlineStr">
        <is>
          <t>📰</t>
        </is>
      </c>
    </row>
    <row r="28" ht="15" customHeight="1">
      <c r="B28" s="41" t="inlineStr">
        <is>
          <t xml:space="preserve">  CONCLUDED PRICE (individual)</t>
        </is>
      </c>
      <c r="C28" s="42" t="n"/>
      <c r="D28" s="20">
        <f>'Publix &amp; Starbucks'!C44</f>
        <v/>
      </c>
      <c r="F28" s="24">
        <f>'Publix &amp; Starbucks'!C110/'Publix &amp; Starbucks'!C50</f>
        <v/>
      </c>
      <c r="G28" s="16" t="inlineStr">
        <is>
          <t>← income value (cross-check)</t>
        </is>
      </c>
      <c r="H28" s="8" t="n"/>
      <c r="I28" s="8" t="n"/>
      <c r="J28" s="8" t="n"/>
      <c r="K28" s="8" t="n"/>
      <c r="L28" s="8" t="n"/>
      <c r="M28" s="9" t="n"/>
    </row>
    <row r="29" ht="15" customHeight="1">
      <c r="B29" s="14" t="inlineStr">
        <is>
          <t xml:space="preserve">  Type</t>
        </is>
      </c>
      <c r="C29" s="9" t="n"/>
      <c r="D29" s="14" t="inlineStr">
        <is>
          <t>Comparable</t>
        </is>
      </c>
      <c r="E29" s="8" t="n"/>
      <c r="F29" s="8" t="n"/>
      <c r="G29" s="9" t="n"/>
      <c r="H29" s="23" t="inlineStr">
        <is>
          <t>Figure</t>
        </is>
      </c>
      <c r="I29" s="9" t="n"/>
      <c r="J29" s="14" t="inlineStr">
        <is>
          <t>Source · date</t>
        </is>
      </c>
      <c r="K29" s="8" t="n"/>
      <c r="L29" s="8" t="n"/>
      <c r="M29" s="9" t="n"/>
    </row>
    <row r="30" ht="15" customHeight="1">
      <c r="B30" s="6" t="inlineStr">
        <is>
          <t xml:space="preserve">  Cap rate</t>
        </is>
      </c>
      <c r="C30" s="9" t="n"/>
      <c r="D30" s="7" t="inlineStr">
        <is>
          <t>Publix single-tenant NNN (anchored centers 5.5–5.8%)</t>
        </is>
      </c>
      <c r="E30" s="8" t="n"/>
      <c r="F30" s="8" t="n"/>
      <c r="G30" s="9" t="n"/>
      <c r="H30" s="40" t="inlineStr">
        <is>
          <t>5.25–6.25%</t>
        </is>
      </c>
      <c r="I30" s="9" t="n"/>
      <c r="J30" s="16" t="inlineStr">
        <is>
          <t>📊 Boulder Group / investmentgrade.com · 2025-26</t>
        </is>
      </c>
      <c r="K30" s="8" t="n"/>
      <c r="L30" s="8" t="n"/>
      <c r="M30" s="9" t="n"/>
    </row>
    <row r="31" ht="15" customHeight="1">
      <c r="B31" s="6" t="inlineStr">
        <is>
          <t xml:space="preserve">  Lease comp</t>
        </is>
      </c>
      <c r="C31" s="9" t="n"/>
      <c r="D31" s="7" t="inlineStr">
        <is>
          <t>Grocery-anchor base rent, NNN</t>
        </is>
      </c>
      <c r="E31" s="8" t="n"/>
      <c r="F31" s="8" t="n"/>
      <c r="G31" s="9" t="n"/>
      <c r="H31" s="40" t="inlineStr">
        <is>
          <t>$8–14/SF</t>
        </is>
      </c>
      <c r="I31" s="9" t="n"/>
      <c r="J31" s="16" t="inlineStr">
        <is>
          <t>📊 apers.app / net-lease research · 2026</t>
        </is>
      </c>
      <c r="K31" s="8" t="n"/>
      <c r="L31" s="8" t="n"/>
      <c r="M31" s="9" t="n"/>
    </row>
    <row r="32" ht="15" customHeight="1">
      <c r="B32" s="6" t="inlineStr">
        <is>
          <t xml:space="preserve">  Sale comp</t>
        </is>
      </c>
      <c r="C32" s="9" t="n"/>
      <c r="D32" s="7" t="inlineStr">
        <is>
          <t>Starbucks drive-thru pad — rent / cap</t>
        </is>
      </c>
      <c r="E32" s="8" t="n"/>
      <c r="F32" s="8" t="n"/>
      <c r="G32" s="9" t="n"/>
      <c r="H32" s="40" t="inlineStr">
        <is>
          <t>~$60/SF · ~5.2% cap</t>
        </is>
      </c>
      <c r="I32" s="9" t="n"/>
      <c r="J32" s="16" t="inlineStr">
        <is>
          <t>📊 The Boulder Group · 2025</t>
        </is>
      </c>
      <c r="K32" s="8" t="n"/>
      <c r="L32" s="8" t="n"/>
      <c r="M32" s="9" t="n"/>
    </row>
    <row r="33" ht="15" customHeight="1">
      <c r="B33" s="6" t="inlineStr">
        <is>
          <t xml:space="preserve">  Lease comp</t>
        </is>
      </c>
      <c r="C33" s="9" t="n"/>
      <c r="D33" s="7" t="inlineStr">
        <is>
          <t>Starbucks pad — 10% bumps/5yr · ~$2.0–2.5M/pad</t>
        </is>
      </c>
      <c r="E33" s="8" t="n"/>
      <c r="F33" s="8" t="n"/>
      <c r="G33" s="9" t="n"/>
      <c r="H33" s="40" t="inlineStr">
        <is>
          <t>~$60/SF NNN</t>
        </is>
      </c>
      <c r="I33" s="9" t="n"/>
      <c r="J33" s="16" t="inlineStr">
        <is>
          <t>📊 Boulder Group / LoopNet · 2025</t>
        </is>
      </c>
      <c r="K33" s="8" t="n"/>
      <c r="L33" s="8" t="n"/>
      <c r="M33" s="9" t="n"/>
    </row>
    <row r="34" ht="27" customHeight="1">
      <c r="B34" s="15" t="inlineStr">
        <is>
          <t xml:space="preserve">  Read</t>
        </is>
      </c>
      <c r="C34" s="9" t="n"/>
      <c r="D34" s="7" t="inlineStr">
        <is>
          <t>Fee acquisition at the verified $25M basis. NOTE: the model's $22/SF leaseback is a bridge rate above the $8–14/SF market grocery rent — a structuring assumption, not a market comp. Confirm any leaseback with Publix.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③ SUNRISE PLAZA  (Kar Luen)  —  incl. 2473 Daoud's Jewelry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4" t="inlineStr">
        <is>
          <t>Subject</t>
        </is>
      </c>
      <c r="C37" s="9" t="n"/>
      <c r="D37" s="38" t="inlineStr"/>
      <c r="E37" s="23" t="inlineStr">
        <is>
          <t>flag</t>
        </is>
      </c>
    </row>
    <row r="38" ht="15" customHeight="1">
      <c r="B38" s="7" t="inlineStr">
        <is>
          <t xml:space="preserve">  Address / folio</t>
        </is>
      </c>
      <c r="C38" s="9" t="n"/>
      <c r="D38" s="39" t="inlineStr">
        <is>
          <t>2465–2485 E Sunrise Blvd · folio -0011</t>
        </is>
      </c>
      <c r="E38" s="8" t="n"/>
      <c r="F38" s="8" t="n"/>
      <c r="G38" s="8" t="n"/>
      <c r="H38" s="8" t="n"/>
      <c r="I38" s="8" t="n"/>
      <c r="J38" s="8" t="n"/>
      <c r="K38" s="8" t="n"/>
      <c r="L38" s="9" t="n"/>
      <c r="M38" s="40" t="inlineStr">
        <is>
          <t>✅</t>
        </is>
      </c>
    </row>
    <row r="39" ht="15" customHeight="1">
      <c r="B39" s="7" t="inlineStr">
        <is>
          <t xml:space="preserve">  Owner</t>
        </is>
      </c>
      <c r="C39" s="9" t="n"/>
      <c r="D39" s="39" t="inlineStr">
        <is>
          <t>Kar Luen Inc · Sunbiz P94000029444</t>
        </is>
      </c>
      <c r="E39" s="8" t="n"/>
      <c r="F39" s="8" t="n"/>
      <c r="G39" s="8" t="n"/>
      <c r="H39" s="8" t="n"/>
      <c r="I39" s="8" t="n"/>
      <c r="J39" s="8" t="n"/>
      <c r="K39" s="8" t="n"/>
      <c r="L39" s="9" t="n"/>
      <c r="M39" s="40" t="inlineStr">
        <is>
          <t>✅</t>
        </is>
      </c>
    </row>
    <row r="40" ht="15" customHeight="1">
      <c r="B40" s="7" t="inlineStr">
        <is>
          <t xml:space="preserve">  Size</t>
        </is>
      </c>
      <c r="C40" s="9" t="n"/>
      <c r="D40" s="7" t="inlineStr">
        <is>
          <t>25,105 SF · 0.71 ac (~30,928 SF land) · built 1962 (remod. 1987)</t>
        </is>
      </c>
      <c r="E40" s="8" t="n"/>
      <c r="F40" s="8" t="n"/>
      <c r="G40" s="8" t="n"/>
      <c r="H40" s="8" t="n"/>
      <c r="I40" s="8" t="n"/>
      <c r="J40" s="8" t="n"/>
      <c r="K40" s="8" t="n"/>
      <c r="L40" s="9" t="n"/>
      <c r="M40" s="40" t="inlineStr">
        <is>
          <t>⚠️</t>
        </is>
      </c>
    </row>
    <row r="41" ht="15" customHeight="1">
      <c r="B41" s="7" t="inlineStr">
        <is>
          <t xml:space="preserve">  Last sale</t>
        </is>
      </c>
      <c r="C41" s="9" t="n"/>
      <c r="D41" s="7" t="inlineStr">
        <is>
          <t>Oct 2000 · $128,000 — implausibly low; likely nominal, NOT a value</t>
        </is>
      </c>
      <c r="E41" s="8" t="n"/>
      <c r="F41" s="8" t="n"/>
      <c r="G41" s="8" t="n"/>
      <c r="H41" s="8" t="n"/>
      <c r="I41" s="8" t="n"/>
      <c r="J41" s="8" t="n"/>
      <c r="K41" s="8" t="n"/>
      <c r="L41" s="9" t="n"/>
      <c r="M41" s="40" t="inlineStr">
        <is>
          <t>⚠️</t>
        </is>
      </c>
    </row>
    <row r="42" ht="15" customHeight="1">
      <c r="B42" s="41" t="inlineStr">
        <is>
          <t xml:space="preserve">  CONCLUDED PRICE (individual)</t>
        </is>
      </c>
      <c r="C42" s="42" t="n"/>
      <c r="D42" s="20">
        <f>'Sunrise Plaza'!C47</f>
        <v/>
      </c>
      <c r="F42" s="24">
        <f>'Sunrise Plaza'!C113/'Sunrise Plaza'!C53</f>
        <v/>
      </c>
      <c r="G42" s="16" t="inlineStr">
        <is>
          <t>← income value (cross-check)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 xml:space="preserve">  Type</t>
        </is>
      </c>
      <c r="C43" s="9" t="n"/>
      <c r="D43" s="14" t="inlineStr">
        <is>
          <t>Comparable</t>
        </is>
      </c>
      <c r="E43" s="8" t="n"/>
      <c r="F43" s="8" t="n"/>
      <c r="G43" s="9" t="n"/>
      <c r="H43" s="23" t="inlineStr">
        <is>
          <t>Figure</t>
        </is>
      </c>
      <c r="I43" s="9" t="n"/>
      <c r="J43" s="14" t="inlineStr">
        <is>
          <t>Source · date</t>
        </is>
      </c>
      <c r="K43" s="8" t="n"/>
      <c r="L43" s="8" t="n"/>
      <c r="M43" s="9" t="n"/>
    </row>
    <row r="44" ht="15" customHeight="1">
      <c r="B44" s="6" t="inlineStr">
        <is>
          <t xml:space="preserve">  Value indicator</t>
        </is>
      </c>
      <c r="C44" s="9" t="n"/>
      <c r="D44" s="7" t="inlineStr">
        <is>
          <t>Reported value — no recent arm's-length sale</t>
        </is>
      </c>
      <c r="E44" s="8" t="n"/>
      <c r="F44" s="8" t="n"/>
      <c r="G44" s="9" t="n"/>
      <c r="H44" s="40" t="inlineStr">
        <is>
          <t>~$8.5M</t>
        </is>
      </c>
      <c r="I44" s="9" t="n"/>
      <c r="J44" s="16" t="inlineStr">
        <is>
          <t>⚠️ LoopNet / broker · unverified</t>
        </is>
      </c>
      <c r="K44" s="8" t="n"/>
      <c r="L44" s="8" t="n"/>
      <c r="M44" s="9" t="n"/>
    </row>
    <row r="45" ht="15" customHeight="1">
      <c r="B45" s="6" t="inlineStr">
        <is>
          <t xml:space="preserve">  Lease comp</t>
        </is>
      </c>
      <c r="C45" s="9" t="n"/>
      <c r="D45" s="7" t="inlineStr">
        <is>
          <t>Corridor in-line / restaurant NNN (see Shahidi comps)</t>
        </is>
      </c>
      <c r="E45" s="8" t="n"/>
      <c r="F45" s="8" t="n"/>
      <c r="G45" s="9" t="n"/>
      <c r="H45" s="40" t="inlineStr">
        <is>
          <t>$25–50/SF</t>
        </is>
      </c>
      <c r="I45" s="9" t="n"/>
      <c r="J45" s="16" t="inlineStr">
        <is>
          <t>📊 Native Realty / Matthews · 2025</t>
        </is>
      </c>
      <c r="K45" s="8" t="n"/>
      <c r="L45" s="8" t="n"/>
      <c r="M45" s="9" t="n"/>
    </row>
    <row r="46" ht="15" customHeight="1">
      <c r="B46" s="6" t="inlineStr">
        <is>
          <t xml:space="preserve">  Cap rate</t>
        </is>
      </c>
      <c r="C46" s="9" t="n"/>
      <c r="D46" s="7" t="inlineStr">
        <is>
          <t>Value-add strip (below-market rents, ~20% vacant)</t>
        </is>
      </c>
      <c r="E46" s="8" t="n"/>
      <c r="F46" s="8" t="n"/>
      <c r="G46" s="9" t="n"/>
      <c r="H46" s="40" t="inlineStr">
        <is>
          <t>7.25–8.5%</t>
        </is>
      </c>
      <c r="I46" s="9" t="n"/>
      <c r="J46" s="16" t="inlineStr">
        <is>
          <t>📊 Matthews · 2025</t>
        </is>
      </c>
      <c r="K46" s="8" t="n"/>
      <c r="L46" s="8" t="n"/>
      <c r="M46" s="9" t="n"/>
    </row>
    <row r="47" ht="27" customHeight="1">
      <c r="B47" s="15" t="inlineStr">
        <is>
          <t xml:space="preserve">  Read</t>
        </is>
      </c>
      <c r="C47" s="9" t="n"/>
      <c r="D47" s="7" t="inlineStr">
        <is>
          <t>Priced at the reported ~$8.5M pending confirmation — the $128k/2000 record is not a value indicator. The most data-dependent asset: verify SF, rents, occupancy and any recent basis at BCPA before an offer.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>
      <c r="B49" s="5" t="inlineStr">
        <is>
          <t>④ GALLERIA CORPORATE CENTRE  (office condominium)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Subject</t>
        </is>
      </c>
      <c r="C50" s="9" t="n"/>
      <c r="D50" s="38" t="inlineStr"/>
      <c r="E50" s="23" t="inlineStr">
        <is>
          <t>flag</t>
        </is>
      </c>
    </row>
    <row r="51" ht="15" customHeight="1">
      <c r="B51" s="7" t="inlineStr">
        <is>
          <t xml:space="preserve">  Address</t>
        </is>
      </c>
      <c r="C51" s="9" t="n"/>
      <c r="D51" s="39" t="inlineStr">
        <is>
          <t>2455 E Sunrise Blvd · 13-story Class B office condo · 168,807 SF</t>
        </is>
      </c>
      <c r="E51" s="8" t="n"/>
      <c r="F51" s="8" t="n"/>
      <c r="G51" s="8" t="n"/>
      <c r="H51" s="8" t="n"/>
      <c r="I51" s="8" t="n"/>
      <c r="J51" s="8" t="n"/>
      <c r="K51" s="8" t="n"/>
      <c r="L51" s="9" t="n"/>
      <c r="M51" s="40" t="inlineStr">
        <is>
          <t>✅</t>
        </is>
      </c>
    </row>
    <row r="52" ht="15" customHeight="1">
      <c r="B52" s="7" t="inlineStr">
        <is>
          <t xml:space="preserve">  Control</t>
        </is>
      </c>
      <c r="C52" s="9" t="n"/>
      <c r="D52" s="39" t="inlineStr">
        <is>
          <t>Grove Gate / Main Street Fund (Brad Weiss) — 57.4% (96,930 SF)</t>
        </is>
      </c>
      <c r="E52" s="8" t="n"/>
      <c r="F52" s="8" t="n"/>
      <c r="G52" s="8" t="n"/>
      <c r="H52" s="8" t="n"/>
      <c r="I52" s="8" t="n"/>
      <c r="J52" s="8" t="n"/>
      <c r="K52" s="8" t="n"/>
      <c r="L52" s="9" t="n"/>
      <c r="M52" s="40" t="inlineStr">
        <is>
          <t>✅</t>
        </is>
      </c>
    </row>
    <row r="53" ht="15" customHeight="1">
      <c r="B53" s="7" t="inlineStr">
        <is>
          <t xml:space="preserve">  Bulk basis</t>
        </is>
      </c>
      <c r="C53" s="9" t="n"/>
      <c r="D53" s="39" t="inlineStr">
        <is>
          <t>$10,000,000 · ~$103/SF · Sept 2019 (from Intl Sunrise Partners)</t>
        </is>
      </c>
      <c r="E53" s="8" t="n"/>
      <c r="F53" s="8" t="n"/>
      <c r="G53" s="8" t="n"/>
      <c r="H53" s="8" t="n"/>
      <c r="I53" s="8" t="n"/>
      <c r="J53" s="8" t="n"/>
      <c r="K53" s="8" t="n"/>
      <c r="L53" s="9" t="n"/>
      <c r="M53" s="40" t="inlineStr">
        <is>
          <t>✅</t>
        </is>
      </c>
    </row>
    <row r="54" ht="15" customHeight="1">
      <c r="B54" s="7" t="inlineStr">
        <is>
          <t xml:space="preserve">  Balance</t>
        </is>
      </c>
      <c r="C54" s="9" t="n"/>
      <c r="D54" s="7" t="inlineStr">
        <is>
          <t>42.6% held by ~40 individual owners (needs a per-unit BCPA pull)</t>
        </is>
      </c>
      <c r="E54" s="8" t="n"/>
      <c r="F54" s="8" t="n"/>
      <c r="G54" s="8" t="n"/>
      <c r="H54" s="8" t="n"/>
      <c r="I54" s="8" t="n"/>
      <c r="J54" s="8" t="n"/>
      <c r="K54" s="8" t="n"/>
      <c r="L54" s="9" t="n"/>
      <c r="M54" s="40" t="inlineStr">
        <is>
          <t>⚠️</t>
        </is>
      </c>
    </row>
    <row r="55" ht="15" customHeight="1">
      <c r="B55" s="41" t="inlineStr">
        <is>
          <t xml:space="preserve">  CONCLUDED PRICE (individual)</t>
        </is>
      </c>
      <c r="C55" s="42" t="n"/>
      <c r="D55" s="20">
        <f>'Office Condo'!I99</f>
        <v/>
      </c>
      <c r="F55" s="24">
        <f>'Office Condo'!C80/'Office Condo'!C34</f>
        <v/>
      </c>
      <c r="G55" s="16" t="inlineStr">
        <is>
          <t>← income value (cross-check)</t>
        </is>
      </c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 xml:space="preserve">  Type</t>
        </is>
      </c>
      <c r="C56" s="9" t="n"/>
      <c r="D56" s="14" t="inlineStr">
        <is>
          <t>Comparable</t>
        </is>
      </c>
      <c r="E56" s="8" t="n"/>
      <c r="F56" s="8" t="n"/>
      <c r="G56" s="9" t="n"/>
      <c r="H56" s="23" t="inlineStr">
        <is>
          <t>Figure</t>
        </is>
      </c>
      <c r="I56" s="9" t="n"/>
      <c r="J56" s="14" t="inlineStr">
        <is>
          <t>Source · date</t>
        </is>
      </c>
      <c r="K56" s="8" t="n"/>
      <c r="L56" s="8" t="n"/>
      <c r="M56" s="9" t="n"/>
    </row>
    <row r="57" ht="15" customHeight="1">
      <c r="B57" s="6" t="inlineStr">
        <is>
          <t xml:space="preserve">  Sale comp</t>
        </is>
      </c>
      <c r="C57" s="9" t="n"/>
      <c r="D57" s="7" t="inlineStr">
        <is>
          <t>Unit #401 — closed</t>
        </is>
      </c>
      <c r="E57" s="8" t="n"/>
      <c r="F57" s="8" t="n"/>
      <c r="G57" s="9" t="n"/>
      <c r="H57" s="40" t="inlineStr">
        <is>
          <t>$381/SF</t>
        </is>
      </c>
      <c r="I57" s="9" t="n"/>
      <c r="J57" s="16" t="inlineStr">
        <is>
          <t>📰 MLS A11438689 · 6/2024</t>
        </is>
      </c>
      <c r="K57" s="8" t="n"/>
      <c r="L57" s="8" t="n"/>
      <c r="M57" s="9" t="n"/>
    </row>
    <row r="58" ht="15" customHeight="1">
      <c r="B58" s="6" t="inlineStr">
        <is>
          <t xml:space="preserve">  Sale comp</t>
        </is>
      </c>
      <c r="C58" s="9" t="n"/>
      <c r="D58" s="7" t="inlineStr">
        <is>
          <t>Suite 805 — closed</t>
        </is>
      </c>
      <c r="E58" s="8" t="n"/>
      <c r="F58" s="8" t="n"/>
      <c r="G58" s="9" t="n"/>
      <c r="H58" s="40" t="inlineStr">
        <is>
          <t>$238/SF</t>
        </is>
      </c>
      <c r="I58" s="9" t="n"/>
      <c r="J58" s="16" t="inlineStr">
        <is>
          <t>📰 Berger Commercial · 11/2019</t>
        </is>
      </c>
      <c r="K58" s="8" t="n"/>
      <c r="L58" s="8" t="n"/>
      <c r="M58" s="9" t="n"/>
    </row>
    <row r="59" ht="15" customHeight="1">
      <c r="B59" s="6" t="inlineStr">
        <is>
          <t xml:space="preserve">  Sale comp</t>
        </is>
      </c>
      <c r="C59" s="9" t="n"/>
      <c r="D59" s="7" t="inlineStr">
        <is>
          <t>Grove Gate unit asking range (building-wide)</t>
        </is>
      </c>
      <c r="E59" s="8" t="n"/>
      <c r="F59" s="8" t="n"/>
      <c r="G59" s="9" t="n"/>
      <c r="H59" s="40" t="inlineStr">
        <is>
          <t>$367–475/SF</t>
        </is>
      </c>
      <c r="I59" s="9" t="n"/>
      <c r="J59" s="16" t="inlineStr">
        <is>
          <t>⚠️ LoopNet / CommercialSearch · 2025</t>
        </is>
      </c>
      <c r="K59" s="8" t="n"/>
      <c r="L59" s="8" t="n"/>
      <c r="M59" s="9" t="n"/>
    </row>
    <row r="60" ht="15" customHeight="1">
      <c r="B60" s="6" t="inlineStr">
        <is>
          <t xml:space="preserve">  Lease comp</t>
        </is>
      </c>
      <c r="C60" s="9" t="n"/>
      <c r="D60" s="7" t="inlineStr">
        <is>
          <t>Office units — Modified Gross asking</t>
        </is>
      </c>
      <c r="E60" s="8" t="n"/>
      <c r="F60" s="8" t="n"/>
      <c r="G60" s="9" t="n"/>
      <c r="H60" s="40" t="inlineStr">
        <is>
          <t>$25–26/SF MG</t>
        </is>
      </c>
      <c r="I60" s="9" t="n"/>
      <c r="J60" s="16" t="inlineStr">
        <is>
          <t>📰 LoopNet listing · 2024-26</t>
        </is>
      </c>
      <c r="K60" s="8" t="n"/>
      <c r="L60" s="8" t="n"/>
      <c r="M60" s="9" t="n"/>
    </row>
    <row r="61" ht="15" customHeight="1">
      <c r="B61" s="6" t="inlineStr">
        <is>
          <t xml:space="preserve">  Cap rate</t>
        </is>
      </c>
      <c r="C61" s="9" t="n"/>
      <c r="D61" s="7" t="inlineStr">
        <is>
          <t>Fort Lauderdale Class B/C office</t>
        </is>
      </c>
      <c r="E61" s="8" t="n"/>
      <c r="F61" s="8" t="n"/>
      <c r="G61" s="9" t="n"/>
      <c r="H61" s="40" t="inlineStr">
        <is>
          <t>8%+ (double-digit common)</t>
        </is>
      </c>
      <c r="I61" s="9" t="n"/>
      <c r="J61" s="16" t="inlineStr">
        <is>
          <t>📊 Colliers 4Q25 / CBRE</t>
        </is>
      </c>
      <c r="K61" s="8" t="n"/>
      <c r="L61" s="8" t="n"/>
      <c r="M61" s="9" t="n"/>
    </row>
    <row r="62" ht="27" customHeight="1">
      <c r="B62" s="15" t="inlineStr">
        <is>
          <t xml:space="preserve">  Read</t>
        </is>
      </c>
      <c r="C62" s="9" t="n"/>
      <c r="D62" s="7" t="inlineStr">
        <is>
          <t>Full buy-out priced at $250/SF (a bulk discount to the $238–381/SF closed comps and $367–475/SF asks) = $42.2M. The income value at an 8% cap is ~$22M — the ~$20M gap is the fragmentation premium to re-assemble the condo.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/>
    <row r="64">
      <c r="B64" s="5" t="inlineStr">
        <is>
          <t>⑤ 1040 BAYVIEW  —  covered land / “The Residences at Bayview”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4" t="inlineStr">
        <is>
          <t>Subject</t>
        </is>
      </c>
      <c r="C65" s="9" t="n"/>
      <c r="D65" s="38" t="inlineStr"/>
      <c r="E65" s="23" t="inlineStr">
        <is>
          <t>flag</t>
        </is>
      </c>
    </row>
    <row r="66" ht="15" customHeight="1">
      <c r="B66" s="7" t="inlineStr">
        <is>
          <t xml:space="preserve">  Address / folio</t>
        </is>
      </c>
      <c r="C66" s="9" t="n"/>
      <c r="D66" s="39" t="inlineStr">
        <is>
          <t>1040 Bayview Dr · folio -0040 · 2.39 ac (103,982 SF)</t>
        </is>
      </c>
      <c r="E66" s="8" t="n"/>
      <c r="F66" s="8" t="n"/>
      <c r="G66" s="8" t="n"/>
      <c r="H66" s="8" t="n"/>
      <c r="I66" s="8" t="n"/>
      <c r="J66" s="8" t="n"/>
      <c r="K66" s="8" t="n"/>
      <c r="L66" s="9" t="n"/>
      <c r="M66" s="40" t="inlineStr">
        <is>
          <t>✅</t>
        </is>
      </c>
    </row>
    <row r="67" ht="15" customHeight="1">
      <c r="B67" s="7" t="inlineStr">
        <is>
          <t xml:space="preserve">  Owner</t>
        </is>
      </c>
      <c r="C67" s="9" t="n"/>
      <c r="D67" s="39" t="inlineStr">
        <is>
          <t>Sunrise &amp; Bayview Partners (Procacci); BBX exited to Procacci 2022</t>
        </is>
      </c>
      <c r="E67" s="8" t="n"/>
      <c r="F67" s="8" t="n"/>
      <c r="G67" s="8" t="n"/>
      <c r="H67" s="8" t="n"/>
      <c r="I67" s="8" t="n"/>
      <c r="J67" s="8" t="n"/>
      <c r="K67" s="8" t="n"/>
      <c r="L67" s="9" t="n"/>
      <c r="M67" s="40" t="inlineStr">
        <is>
          <t>✅</t>
        </is>
      </c>
    </row>
    <row r="68" ht="15" customHeight="1">
      <c r="B68" s="7" t="inlineStr">
        <is>
          <t xml:space="preserve">  Prior sale</t>
        </is>
      </c>
      <c r="C68" s="9" t="n"/>
      <c r="D68" s="39" t="inlineStr">
        <is>
          <t>$7.9–8.0M · 2014 (Procacci/BBX JV)</t>
        </is>
      </c>
      <c r="E68" s="8" t="n"/>
      <c r="F68" s="8" t="n"/>
      <c r="G68" s="8" t="n"/>
      <c r="H68" s="8" t="n"/>
      <c r="I68" s="8" t="n"/>
      <c r="J68" s="8" t="n"/>
      <c r="K68" s="8" t="n"/>
      <c r="L68" s="9" t="n"/>
      <c r="M68" s="40" t="inlineStr">
        <is>
          <t>✅</t>
        </is>
      </c>
    </row>
    <row r="69" ht="15" customHeight="1">
      <c r="B69" s="7" t="inlineStr">
        <is>
          <t xml:space="preserve">  Entitlement</t>
        </is>
      </c>
      <c r="C69" s="9" t="n"/>
      <c r="D69" s="7" t="inlineStr">
        <is>
          <t>259 units (247 mkt + 12 aff), 8 stories · case UDP-Z25002 (in City review)</t>
        </is>
      </c>
      <c r="E69" s="8" t="n"/>
      <c r="F69" s="8" t="n"/>
      <c r="G69" s="8" t="n"/>
      <c r="H69" s="8" t="n"/>
      <c r="I69" s="8" t="n"/>
      <c r="J69" s="8" t="n"/>
      <c r="K69" s="8" t="n"/>
      <c r="L69" s="9" t="n"/>
      <c r="M69" s="40" t="inlineStr">
        <is>
          <t>📰</t>
        </is>
      </c>
    </row>
    <row r="70" ht="15" customHeight="1">
      <c r="B70" s="41" t="inlineStr">
        <is>
          <t xml:space="preserve">  CONCLUDED PRICE (individual)</t>
        </is>
      </c>
      <c r="C70" s="42" t="n"/>
      <c r="D70" s="20">
        <f>'Land'!E43</f>
        <v/>
      </c>
      <c r="F70" s="24">
        <f>'Land'!C51</f>
        <v/>
      </c>
      <c r="G70" s="16" t="inlineStr">
        <is>
          <t>← income value (cross-check)</t>
        </is>
      </c>
      <c r="H70" s="8" t="n"/>
      <c r="I70" s="8" t="n"/>
      <c r="J70" s="8" t="n"/>
      <c r="K70" s="8" t="n"/>
      <c r="L70" s="8" t="n"/>
      <c r="M70" s="9" t="n"/>
    </row>
    <row r="71" ht="15" customHeight="1">
      <c r="B71" s="14" t="inlineStr">
        <is>
          <t xml:space="preserve">  Type</t>
        </is>
      </c>
      <c r="C71" s="9" t="n"/>
      <c r="D71" s="14" t="inlineStr">
        <is>
          <t>Comparable</t>
        </is>
      </c>
      <c r="E71" s="8" t="n"/>
      <c r="F71" s="8" t="n"/>
      <c r="G71" s="9" t="n"/>
      <c r="H71" s="23" t="inlineStr">
        <is>
          <t>Figure</t>
        </is>
      </c>
      <c r="I71" s="9" t="n"/>
      <c r="J71" s="14" t="inlineStr">
        <is>
          <t>Source · date</t>
        </is>
      </c>
      <c r="K71" s="8" t="n"/>
      <c r="L71" s="8" t="n"/>
      <c r="M71" s="9" t="n"/>
    </row>
    <row r="72" ht="15" customHeight="1">
      <c r="B72" s="6" t="inlineStr">
        <is>
          <t xml:space="preserve">  Sale comp</t>
        </is>
      </c>
      <c r="C72" s="9" t="n"/>
      <c r="D72" s="7" t="inlineStr">
        <is>
          <t>2125 S Andrews (Affiliated) — 400-unit approved site, CLOSED</t>
        </is>
      </c>
      <c r="E72" s="8" t="n"/>
      <c r="F72" s="8" t="n"/>
      <c r="G72" s="9" t="n"/>
      <c r="H72" s="40" t="inlineStr">
        <is>
          <t>$15.2M · $129/SF · $38k/unit</t>
        </is>
      </c>
      <c r="I72" s="9" t="n"/>
      <c r="J72" s="16" t="inlineStr">
        <is>
          <t>📰 The Real Deal · 2/2024</t>
        </is>
      </c>
      <c r="K72" s="8" t="n"/>
      <c r="L72" s="8" t="n"/>
      <c r="M72" s="9" t="n"/>
    </row>
    <row r="73" ht="15" customHeight="1">
      <c r="B73" s="6" t="inlineStr">
        <is>
          <t xml:space="preserve">  Sale comp</t>
        </is>
      </c>
      <c r="C73" s="9" t="n"/>
      <c r="D73" s="7" t="inlineStr">
        <is>
          <t>707 SE Third (Benjamin Cos) — 542-unit site, ASKING</t>
        </is>
      </c>
      <c r="E73" s="8" t="n"/>
      <c r="F73" s="8" t="n"/>
      <c r="G73" s="9" t="n"/>
      <c r="H73" s="40" t="inlineStr">
        <is>
          <t>$33M · $316/SF · $61k/unit</t>
        </is>
      </c>
      <c r="I73" s="9" t="n"/>
      <c r="J73" s="16" t="inlineStr">
        <is>
          <t>⚠️ The Real Deal · 2/2025</t>
        </is>
      </c>
      <c r="K73" s="8" t="n"/>
      <c r="L73" s="8" t="n"/>
      <c r="M73" s="9" t="n"/>
    </row>
    <row r="74" ht="15" customHeight="1">
      <c r="B74" s="6" t="inlineStr">
        <is>
          <t xml:space="preserve">  Value indicator</t>
        </is>
      </c>
      <c r="C74" s="9" t="n"/>
      <c r="D74" s="7" t="inlineStr">
        <is>
          <t>FL infill dev-land (sold / active per-unit)</t>
        </is>
      </c>
      <c r="E74" s="8" t="n"/>
      <c r="F74" s="8" t="n"/>
      <c r="G74" s="9" t="n"/>
      <c r="H74" s="40" t="inlineStr">
        <is>
          <t>$91–117k / $129–162k</t>
        </is>
      </c>
      <c r="I74" s="9" t="n"/>
      <c r="J74" s="16" t="inlineStr">
        <is>
          <t>📊 Redfin / broker aggregate · 2025</t>
        </is>
      </c>
      <c r="K74" s="8" t="n"/>
      <c r="L74" s="8" t="n"/>
      <c r="M74" s="9" t="n"/>
    </row>
    <row r="75" ht="27" customHeight="1">
      <c r="B75" s="15" t="inlineStr">
        <is>
          <t xml:space="preserve">  Read</t>
        </is>
      </c>
      <c r="C75" s="9" t="n"/>
      <c r="D75" s="7" t="inlineStr">
        <is>
          <t>Priced at ~$13M (≈ $125/SF land, in line with the $129/SF closed comp; ~$50k/unit, above the $38k closed comp but below asking). Seller's 2014 basis was $7.9M — real embedded gain / negotiation room.</t>
        </is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9" t="n"/>
    </row>
    <row r="76"/>
    <row r="77">
      <c r="B77" s="5" t="inlineStr">
        <is>
          <t>⑥  ASSEMBLAGE PRICING  —  individual prices, summed, then assembled</t>
        </is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3" t="n"/>
    </row>
    <row r="78" ht="15" customHeight="1">
      <c r="B78" s="7" t="inlineStr">
        <is>
          <t xml:space="preserve">  Shahidi Retail</t>
        </is>
      </c>
      <c r="C78" s="8" t="n"/>
      <c r="D78" s="9" t="n"/>
      <c r="E78" s="24">
        <f>'Shahidi Retail'!C57</f>
        <v/>
      </c>
      <c r="F78" s="9" t="n"/>
      <c r="G78" s="16" t="inlineStr">
        <is>
          <t>concluded individual price</t>
        </is>
      </c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 xml:space="preserve">  Publix &amp; Starbucks</t>
        </is>
      </c>
      <c r="C79" s="8" t="n"/>
      <c r="D79" s="9" t="n"/>
      <c r="E79" s="24">
        <f>'Publix &amp; Starbucks'!C44</f>
        <v/>
      </c>
      <c r="F79" s="9" t="n"/>
      <c r="G79" s="16" t="inlineStr">
        <is>
          <t>concluded individual price</t>
        </is>
      </c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 xml:space="preserve">  Sunrise Plaza</t>
        </is>
      </c>
      <c r="C80" s="8" t="n"/>
      <c r="D80" s="9" t="n"/>
      <c r="E80" s="24">
        <f>'Sunrise Plaza'!C47</f>
        <v/>
      </c>
      <c r="F80" s="9" t="n"/>
      <c r="G80" s="16" t="inlineStr">
        <is>
          <t>concluded individual price</t>
        </is>
      </c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 xml:space="preserve">  Office Condo</t>
        </is>
      </c>
      <c r="C81" s="8" t="n"/>
      <c r="D81" s="9" t="n"/>
      <c r="E81" s="24">
        <f>'Office Condo'!I99</f>
        <v/>
      </c>
      <c r="F81" s="9" t="n"/>
      <c r="G81" s="16" t="inlineStr">
        <is>
          <t>concluded individual price</t>
        </is>
      </c>
      <c r="H81" s="8" t="n"/>
      <c r="I81" s="8" t="n"/>
      <c r="J81" s="8" t="n"/>
      <c r="K81" s="8" t="n"/>
      <c r="L81" s="8" t="n"/>
      <c r="M81" s="9" t="n"/>
    </row>
    <row r="82" ht="15" customHeight="1">
      <c r="B82" s="7" t="inlineStr">
        <is>
          <t xml:space="preserve">  Land</t>
        </is>
      </c>
      <c r="C82" s="8" t="n"/>
      <c r="D82" s="9" t="n"/>
      <c r="E82" s="24">
        <f>'Land'!E43</f>
        <v/>
      </c>
      <c r="F82" s="9" t="n"/>
      <c r="G82" s="16" t="inlineStr">
        <is>
          <t>concluded individual price</t>
        </is>
      </c>
      <c r="H82" s="8" t="n"/>
      <c r="I82" s="8" t="n"/>
      <c r="J82" s="8" t="n"/>
      <c r="K82" s="8" t="n"/>
      <c r="L82" s="8" t="n"/>
      <c r="M82" s="9" t="n"/>
    </row>
    <row r="83" ht="15" customHeight="1">
      <c r="B83" s="41" t="inlineStr">
        <is>
          <t>SUM OF THE PARTS — priced independently</t>
        </is>
      </c>
      <c r="C83" s="43" t="n"/>
      <c r="D83" s="42" t="n"/>
      <c r="E83" s="20">
        <f>'Assemblage'!C17</f>
        <v/>
      </c>
      <c r="F83" s="9" t="n"/>
      <c r="G83" s="16" t="inlineStr">
        <is>
          <t>what you pay buying each owner out</t>
        </is>
      </c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＋ Assemblage premium (to control the block)</t>
        </is>
      </c>
      <c r="C84" s="8" t="n"/>
      <c r="D84" s="9" t="n"/>
      <c r="E84" s="24">
        <f>'Assemblage'!C29-'Assemblage'!C17</f>
        <v/>
      </c>
      <c r="F84" s="9" t="n"/>
      <c r="G84" s="16" t="inlineStr">
        <is>
          <t>hard-to-assemble · holdout risk (20% base)</t>
        </is>
      </c>
      <c r="H84" s="8" t="n"/>
      <c r="I84" s="8" t="n"/>
      <c r="J84" s="8" t="n"/>
      <c r="K84" s="8" t="n"/>
      <c r="L84" s="8" t="n"/>
      <c r="M84" s="9" t="n"/>
    </row>
    <row r="85" ht="16" customHeight="1">
      <c r="B85" s="21" t="inlineStr">
        <is>
          <t>COVERED-LAND PRICE — controlled as one block</t>
        </is>
      </c>
      <c r="C85" s="8" t="n"/>
      <c r="D85" s="9" t="n"/>
      <c r="E85" s="22">
        <f>'Assemblage'!C29</f>
        <v/>
      </c>
      <c r="F85" s="9" t="n"/>
      <c r="G85" s="16" t="inlineStr">
        <is>
          <t>the ceiling — highest &amp; best use</t>
        </is>
      </c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Income basis (what the rent supports)</t>
        </is>
      </c>
      <c r="C86" s="8" t="n"/>
      <c r="D86" s="9" t="n"/>
      <c r="E86" s="20">
        <f>'Income Valuation'!C122</f>
        <v/>
      </c>
      <c r="F86" s="9" t="n"/>
      <c r="G86" s="16" t="inlineStr">
        <is>
          <t>valuation floor — direct-cap on the combined rent</t>
        </is>
      </c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Post-approval entitled land (upside)</t>
        </is>
      </c>
      <c r="C87" s="8" t="n"/>
      <c r="D87" s="9" t="n"/>
      <c r="E87" s="24">
        <f>'Highest &amp; Best Use'!C41</f>
        <v/>
      </c>
      <c r="F87" s="9" t="n"/>
      <c r="G87" s="16" t="inlineStr">
        <is>
          <t>once density is approved</t>
        </is>
      </c>
      <c r="H87" s="8" t="n"/>
      <c r="I87" s="8" t="n"/>
      <c r="J87" s="8" t="n"/>
      <c r="K87" s="8" t="n"/>
      <c r="L87" s="8" t="n"/>
      <c r="M87" s="9" t="n"/>
    </row>
    <row r="88"/>
    <row r="89" ht="27" customHeight="1">
      <c r="B89" s="15" t="inlineStr">
        <is>
          <t>How to quote this</t>
        </is>
      </c>
      <c r="C89" s="9" t="n"/>
      <c r="D89" s="15" t="inlineStr">
        <is>
          <t>Quote ✅ items freely (public record). Attribute 📰/📊 to the named source and date, and say “reported / market” — they are research, not the county roll. Confirm every ⚠️ before it goes in an LOI or an offering memo.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</sheetData>
  <mergeCells count="215">
    <mergeCell ref="B2:M2"/>
    <mergeCell ref="D18:G18"/>
    <mergeCell ref="J56:M56"/>
    <mergeCell ref="D74:G74"/>
    <mergeCell ref="J43:M43"/>
    <mergeCell ref="B31:C31"/>
    <mergeCell ref="G85:M85"/>
    <mergeCell ref="J18:M18"/>
    <mergeCell ref="J33:M33"/>
    <mergeCell ref="E79:F79"/>
    <mergeCell ref="B12:C12"/>
    <mergeCell ref="D7:L7"/>
    <mergeCell ref="G84:M84"/>
    <mergeCell ref="E87:F87"/>
    <mergeCell ref="D59:G59"/>
    <mergeCell ref="J17:M17"/>
    <mergeCell ref="B67:C67"/>
    <mergeCell ref="D60:G60"/>
    <mergeCell ref="B84:D84"/>
    <mergeCell ref="B61:C61"/>
    <mergeCell ref="B14:C14"/>
    <mergeCell ref="J44:M44"/>
    <mergeCell ref="G86:M86"/>
    <mergeCell ref="J19:M19"/>
    <mergeCell ref="B13:C13"/>
    <mergeCell ref="D24:L24"/>
    <mergeCell ref="J59:M59"/>
    <mergeCell ref="B38:C38"/>
    <mergeCell ref="D31:G31"/>
    <mergeCell ref="B69:C69"/>
    <mergeCell ref="B80:D80"/>
    <mergeCell ref="D45:G45"/>
    <mergeCell ref="D51:L51"/>
    <mergeCell ref="J60:M60"/>
    <mergeCell ref="G70:M70"/>
    <mergeCell ref="H45:I45"/>
    <mergeCell ref="H72:I72"/>
    <mergeCell ref="D26:L26"/>
    <mergeCell ref="J30:M30"/>
    <mergeCell ref="D13:G13"/>
    <mergeCell ref="B40:C40"/>
    <mergeCell ref="H13:I13"/>
    <mergeCell ref="D10:L10"/>
    <mergeCell ref="J45:M45"/>
    <mergeCell ref="B55:C55"/>
    <mergeCell ref="B24:C24"/>
    <mergeCell ref="E85:F85"/>
    <mergeCell ref="B33:C33"/>
    <mergeCell ref="B51:C51"/>
    <mergeCell ref="H15:I15"/>
    <mergeCell ref="H71:I71"/>
    <mergeCell ref="D72:G72"/>
    <mergeCell ref="B32:C32"/>
    <mergeCell ref="B26:C26"/>
    <mergeCell ref="B41:C41"/>
    <mergeCell ref="D56:G56"/>
    <mergeCell ref="D71:G71"/>
    <mergeCell ref="B16:C16"/>
    <mergeCell ref="B25:C25"/>
    <mergeCell ref="D58:G58"/>
    <mergeCell ref="B66:C66"/>
    <mergeCell ref="D66:L66"/>
    <mergeCell ref="D33:G33"/>
    <mergeCell ref="B82:D82"/>
    <mergeCell ref="D73:G73"/>
    <mergeCell ref="B18:C18"/>
    <mergeCell ref="B27:C27"/>
    <mergeCell ref="D53:L53"/>
    <mergeCell ref="J71:M71"/>
    <mergeCell ref="H74:I74"/>
    <mergeCell ref="H56:I56"/>
    <mergeCell ref="J58:M58"/>
    <mergeCell ref="B11:C11"/>
    <mergeCell ref="D44:G44"/>
    <mergeCell ref="J73:M73"/>
    <mergeCell ref="D9:L9"/>
    <mergeCell ref="D19:G19"/>
    <mergeCell ref="B83:D83"/>
    <mergeCell ref="D39:L39"/>
    <mergeCell ref="G11:M11"/>
    <mergeCell ref="G42:M42"/>
    <mergeCell ref="B53:C53"/>
    <mergeCell ref="H17:I17"/>
    <mergeCell ref="J57:M57"/>
    <mergeCell ref="B29:C29"/>
    <mergeCell ref="D38:L38"/>
    <mergeCell ref="B85:D85"/>
    <mergeCell ref="B37:C37"/>
    <mergeCell ref="H19:I19"/>
    <mergeCell ref="B4:M4"/>
    <mergeCell ref="G28:M28"/>
    <mergeCell ref="B6:C6"/>
    <mergeCell ref="H12:I12"/>
    <mergeCell ref="D61:G61"/>
    <mergeCell ref="B15:C15"/>
    <mergeCell ref="G78:M78"/>
    <mergeCell ref="G87:M87"/>
    <mergeCell ref="B89:C89"/>
    <mergeCell ref="H14:I14"/>
    <mergeCell ref="D52:L52"/>
    <mergeCell ref="G80:M80"/>
    <mergeCell ref="B54:C54"/>
    <mergeCell ref="B7:C7"/>
    <mergeCell ref="D27:L27"/>
    <mergeCell ref="J31:M31"/>
    <mergeCell ref="G55:M55"/>
    <mergeCell ref="B72:C72"/>
    <mergeCell ref="G79:M79"/>
    <mergeCell ref="H43:I43"/>
    <mergeCell ref="J12:M12"/>
    <mergeCell ref="D15:G15"/>
    <mergeCell ref="J46:M46"/>
    <mergeCell ref="E83:F83"/>
    <mergeCell ref="D29:G29"/>
    <mergeCell ref="H31:I31"/>
    <mergeCell ref="B56:C56"/>
    <mergeCell ref="H58:I58"/>
    <mergeCell ref="B71:C71"/>
    <mergeCell ref="B78:D78"/>
    <mergeCell ref="B87:D87"/>
    <mergeCell ref="B43:C43"/>
    <mergeCell ref="B58:C58"/>
    <mergeCell ref="B52:C52"/>
    <mergeCell ref="J61:M61"/>
    <mergeCell ref="H73:I73"/>
    <mergeCell ref="H60:I60"/>
    <mergeCell ref="B42:C42"/>
    <mergeCell ref="B60:C60"/>
    <mergeCell ref="D20:M20"/>
    <mergeCell ref="E84:F84"/>
    <mergeCell ref="B17:C17"/>
    <mergeCell ref="D34:M34"/>
    <mergeCell ref="B57:C57"/>
    <mergeCell ref="D25:L25"/>
    <mergeCell ref="E78:F78"/>
    <mergeCell ref="B44:C44"/>
    <mergeCell ref="D67:L67"/>
    <mergeCell ref="H16:I16"/>
    <mergeCell ref="E86:F86"/>
    <mergeCell ref="B19:C19"/>
    <mergeCell ref="B34:C34"/>
    <mergeCell ref="E80:F80"/>
    <mergeCell ref="B28:C28"/>
    <mergeCell ref="B36:M36"/>
    <mergeCell ref="D54:L54"/>
    <mergeCell ref="G82:M82"/>
    <mergeCell ref="H57:I57"/>
    <mergeCell ref="B9:C9"/>
    <mergeCell ref="D69:L69"/>
    <mergeCell ref="B30:C30"/>
    <mergeCell ref="J74:M74"/>
    <mergeCell ref="D17:G17"/>
    <mergeCell ref="B5:C5"/>
    <mergeCell ref="B20:C20"/>
    <mergeCell ref="E81:F81"/>
    <mergeCell ref="B45:C45"/>
    <mergeCell ref="B22:M22"/>
    <mergeCell ref="D40:L40"/>
    <mergeCell ref="G83:M83"/>
    <mergeCell ref="J16:M16"/>
    <mergeCell ref="H30:I30"/>
    <mergeCell ref="B75:C75"/>
    <mergeCell ref="B77:M77"/>
    <mergeCell ref="B86:D86"/>
    <mergeCell ref="B47:C47"/>
    <mergeCell ref="B62:C62"/>
    <mergeCell ref="D62:M62"/>
    <mergeCell ref="D12:G12"/>
    <mergeCell ref="H29:I29"/>
    <mergeCell ref="B59:C59"/>
    <mergeCell ref="B46:C46"/>
    <mergeCell ref="D30:G30"/>
    <mergeCell ref="D41:L41"/>
    <mergeCell ref="B1:M1"/>
    <mergeCell ref="H44:I44"/>
    <mergeCell ref="D14:G14"/>
    <mergeCell ref="E82:F82"/>
    <mergeCell ref="D89:M89"/>
    <mergeCell ref="B39:C39"/>
    <mergeCell ref="B70:C70"/>
    <mergeCell ref="H59:I59"/>
    <mergeCell ref="H46:I46"/>
    <mergeCell ref="B23:C23"/>
    <mergeCell ref="G81:M81"/>
    <mergeCell ref="J14:M14"/>
    <mergeCell ref="J29:M29"/>
    <mergeCell ref="B49:M49"/>
    <mergeCell ref="B8:C8"/>
    <mergeCell ref="D8:L8"/>
    <mergeCell ref="H61:I61"/>
    <mergeCell ref="J72:M72"/>
    <mergeCell ref="D46:G46"/>
    <mergeCell ref="B73:C73"/>
    <mergeCell ref="D68:L68"/>
    <mergeCell ref="B64:M64"/>
    <mergeCell ref="J13:M13"/>
    <mergeCell ref="H32:I32"/>
    <mergeCell ref="B79:D79"/>
    <mergeCell ref="B10:C10"/>
    <mergeCell ref="D57:G57"/>
    <mergeCell ref="J15:M15"/>
    <mergeCell ref="B65:C65"/>
    <mergeCell ref="D32:G32"/>
    <mergeCell ref="B81:D81"/>
    <mergeCell ref="B74:C74"/>
    <mergeCell ref="B68:C68"/>
    <mergeCell ref="D16:G16"/>
    <mergeCell ref="H18:I18"/>
    <mergeCell ref="H33:I33"/>
    <mergeCell ref="D75:M75"/>
    <mergeCell ref="D47:M47"/>
    <mergeCell ref="D43:G43"/>
    <mergeCell ref="B50:C50"/>
    <mergeCell ref="J32:M32"/>
    <mergeCell ref="D6:L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44">
        <f>'Assemblage'!C21</f>
        <v/>
      </c>
      <c r="F5" s="9" t="n"/>
      <c r="G5" s="16" t="inlineStr">
        <is>
          <t>acres · 5 contiguous assets · Galleria hard corner · plat 49-42-36-12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20">
        <f>'Income Valuation'!C122</f>
        <v/>
      </c>
      <c r="F6" s="9" t="n"/>
      <c r="G6" s="16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20">
        <f>'Highest &amp; Best Use'!C11</f>
        <v/>
      </c>
      <c r="F7" s="9" t="n"/>
      <c r="G7" s="16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2">
        <f>'Assemblage'!C29</f>
        <v/>
      </c>
      <c r="F8" s="9" t="n"/>
      <c r="G8" s="16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4">
        <f>'Assemblage'!D17</f>
        <v/>
      </c>
      <c r="F9" s="9" t="n"/>
      <c r="G9" s="16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7">
        <f>'Assemblage'!C23</f>
        <v/>
      </c>
      <c r="F10" s="9" t="n"/>
      <c r="G10" s="16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20">
        <f>'Income Valuation'!E85</f>
        <v/>
      </c>
      <c r="F11" s="9" t="n"/>
      <c r="G11" s="16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2">
        <f>'Income Valuation'!E86</f>
        <v/>
      </c>
      <c r="F12" s="9" t="n"/>
      <c r="G12" s="16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15" t="inlineStr">
        <is>
          <t>Recommendation</t>
        </is>
      </c>
      <c r="C13" s="8" t="n"/>
      <c r="D13" s="9" t="n"/>
      <c r="E13" s="45" t="inlineStr">
        <is>
          <t>ACQUIRE &amp; HOLD</t>
        </is>
      </c>
      <c r="F13" s="9" t="n"/>
      <c r="G13" s="15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3" t="inlineStr">
        <is>
          <t>They paid</t>
        </is>
      </c>
      <c r="E16" s="23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4">
        <f>'Assumptions'!C27</f>
        <v/>
      </c>
      <c r="E17" s="24">
        <f>'Shahidi Retail'!C57</f>
        <v/>
      </c>
      <c r="F17" s="46" t="inlineStr">
        <is>
          <t>Fee purchase</t>
        </is>
      </c>
      <c r="G17" s="9" t="n"/>
      <c r="H17" s="46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4">
        <f>'Assumptions'!C29</f>
        <v/>
      </c>
      <c r="E18" s="24">
        <f>'Publix &amp; Starbucks'!C44</f>
        <v/>
      </c>
      <c r="F18" s="46" t="inlineStr">
        <is>
          <t>Sale-leaseback (acquire fee → Publix leases back)</t>
        </is>
      </c>
      <c r="G18" s="9" t="n"/>
      <c r="H18" s="46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4">
        <f>'Assumptions'!C31</f>
        <v/>
      </c>
      <c r="E19" s="24">
        <f>'Sunrise Plaza'!C47</f>
        <v/>
      </c>
      <c r="F19" s="46" t="inlineStr">
        <is>
          <t>Fee purchase (value-add)</t>
        </is>
      </c>
      <c r="G19" s="9" t="n"/>
      <c r="H19" s="46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4">
        <f>'Assumptions'!C33</f>
        <v/>
      </c>
      <c r="E20" s="24">
        <f>'Office Condo'!I99</f>
        <v/>
      </c>
      <c r="F20" s="46" t="inlineStr">
        <is>
          <t>Condo buy-out (every unit at unit-market $/SF)</t>
        </is>
      </c>
      <c r="G20" s="9" t="n"/>
      <c r="H20" s="46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3" customHeight="1">
      <c r="B21" s="7" t="inlineStr">
        <is>
          <t>1040 Bayview — Sunrise &amp; Bayview Partners (Procacci)</t>
        </is>
      </c>
      <c r="C21" s="9" t="n"/>
      <c r="D21" s="24">
        <f>'Assumptions'!C35</f>
        <v/>
      </c>
      <c r="E21" s="24">
        <f>'Land'!E43</f>
        <v/>
      </c>
      <c r="F21" s="46" t="inlineStr">
        <is>
          <t>Forward purchase or JV</t>
        </is>
      </c>
      <c r="G21" s="9" t="n"/>
      <c r="H21" s="46" t="inlineStr">
        <is>
          <t>Bought 2014 at ~$7.9M; BBX Capital exited its JV stake to Procacci in 2022. Actively entitling 'The Residences at Bayview' (259 units, case UDP-Z25002) — NOT selling; motive to engage = realize entitlement value without carrying redevelopment risk.  ▸ Approach for a JV or a forward take-out contingent on the entitlement; Procacci is the sole owner post-2022.  ▸ ⚠ Not for sale today — structure as an option / JV; align on entitled-land basis vs. the $7.9M 2014 cost.</t>
        </is>
      </c>
      <c r="I21" s="8" t="n"/>
      <c r="J21" s="8" t="n"/>
      <c r="K21" s="8" t="n"/>
      <c r="L21" s="8" t="n"/>
      <c r="M21" s="9" t="n"/>
    </row>
    <row r="22" ht="15" customHeight="1">
      <c r="B22" s="28" t="inlineStr">
        <is>
          <t>Total to control (independently)</t>
        </is>
      </c>
      <c r="C22" s="9" t="n"/>
      <c r="D22" s="29" t="inlineStr">
        <is>
          <t>—</t>
        </is>
      </c>
      <c r="E22" s="31">
        <f>'Assemblage'!C17</f>
        <v/>
      </c>
      <c r="F22" s="28" t="inlineStr">
        <is>
          <t>sum of the parts</t>
        </is>
      </c>
      <c r="G22" s="9" t="n"/>
      <c r="H22" s="28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47" t="n">
        <v>2000000</v>
      </c>
      <c r="F25" s="9" t="n"/>
      <c r="G25" s="16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47" t="n">
        <v>3000000</v>
      </c>
      <c r="F26" s="9" t="n"/>
      <c r="G26" s="16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47" t="n">
        <v>0</v>
      </c>
      <c r="F27" s="9" t="n"/>
      <c r="G27" s="16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48">
        <f>'Assemblage'!C17</f>
        <v/>
      </c>
      <c r="H30" s="7" t="inlineStr">
        <is>
          <t>Senior debt (sized)</t>
        </is>
      </c>
      <c r="I30" s="8" t="n"/>
      <c r="J30" s="8" t="n"/>
      <c r="K30" s="9" t="n"/>
      <c r="L30" s="49">
        <f>'Income Valuation'!E85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48">
        <f>'Assemblage'!C29-'Assemblage'!C17</f>
        <v/>
      </c>
      <c r="H31" s="7" t="inlineStr">
        <is>
          <t>Mezzanine / preferred</t>
        </is>
      </c>
      <c r="I31" s="8" t="n"/>
      <c r="J31" s="8" t="n"/>
      <c r="K31" s="9" t="n"/>
      <c r="L31" s="48">
        <f>E27</f>
        <v/>
      </c>
      <c r="M31" s="9" t="n"/>
    </row>
    <row r="32" ht="15" customHeight="1">
      <c r="B32" s="41" t="inlineStr">
        <is>
          <t>＝ Covered-land purchase</t>
        </is>
      </c>
      <c r="C32" s="43" t="n"/>
      <c r="D32" s="43" t="n"/>
      <c r="E32" s="42" t="n"/>
      <c r="F32" s="50">
        <f>'Assemblage'!C29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48">
        <f>'Assemblage'!C29*'Income Valuation'!C36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48">
        <f>'Assemblage'!C29*'Income Valuation'!C37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48">
        <f>'Assemblage'!C29*'Income Valuation'!C38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48">
        <f>'Income Valuation'!C39*'Income Valuation'!E85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48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48">
        <f>E26</f>
        <v/>
      </c>
    </row>
    <row r="39" ht="16" customHeight="1">
      <c r="B39" s="21" t="inlineStr">
        <is>
          <t>TOTAL USES</t>
        </is>
      </c>
      <c r="C39" s="8" t="n"/>
      <c r="D39" s="8" t="n"/>
      <c r="E39" s="9" t="n"/>
      <c r="F39" s="22">
        <f>'Assemblage'!C29*(1+'Income Valuation'!C36+'Income Valuation'!C37+'Income Valuation'!C38)+'Income Valuation'!C39*'Income Valuation'!E85+E25+E26</f>
        <v/>
      </c>
      <c r="H39" s="41" t="inlineStr">
        <is>
          <t>Sponsor + LP equity (plug)</t>
        </is>
      </c>
      <c r="I39" s="43" t="n"/>
      <c r="J39" s="43" t="n"/>
      <c r="K39" s="42" t="n"/>
      <c r="L39" s="50">
        <f>F39-L30-L31</f>
        <v/>
      </c>
      <c r="M39" s="9" t="n"/>
    </row>
    <row r="40" ht="16" customHeight="1">
      <c r="B40" s="16" t="inlineStr">
        <is>
          <t>Check (sources − uses)</t>
        </is>
      </c>
      <c r="C40" s="8" t="n"/>
      <c r="D40" s="8" t="n"/>
      <c r="E40" s="9" t="n"/>
      <c r="F40" s="48">
        <f>(L30+L31+L39)-F39</f>
        <v/>
      </c>
      <c r="H40" s="21" t="inlineStr">
        <is>
          <t>TOTAL SOURCES</t>
        </is>
      </c>
      <c r="I40" s="8" t="n"/>
      <c r="J40" s="8" t="n"/>
      <c r="K40" s="9" t="n"/>
      <c r="L40" s="22">
        <f>L30+L31+L39</f>
        <v/>
      </c>
      <c r="M40" s="9" t="n"/>
    </row>
    <row r="41" ht="15" customHeight="1">
      <c r="B41" s="16" t="inlineStr">
        <is>
          <t>Loan-to-cost  ·  equity as % of cost</t>
        </is>
      </c>
      <c r="C41" s="8" t="n"/>
      <c r="D41" s="8" t="n"/>
      <c r="E41" s="9" t="n"/>
      <c r="F41" s="51">
        <f>(L30+L31)/F39</f>
        <v/>
      </c>
      <c r="H41" s="52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7">
        <f>'Income Valuation'!C43</f>
        <v/>
      </c>
      <c r="F44" s="9" t="n"/>
      <c r="G44" s="7" t="inlineStr">
        <is>
          <t>Year-1 DSCR (at covered-land)</t>
        </is>
      </c>
      <c r="H44" s="8" t="n"/>
      <c r="I44" s="9" t="n"/>
      <c r="J44" s="35">
        <f>'Income Valuation'!E96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4">
        <f>'Income Valuation'!C40</f>
        <v/>
      </c>
      <c r="F45" s="9" t="n"/>
      <c r="G45" s="7" t="inlineStr">
        <is>
          <t>Break-even exit cap</t>
        </is>
      </c>
      <c r="H45" s="8" t="n"/>
      <c r="I45" s="9" t="n"/>
      <c r="J45" s="37">
        <f>'Income Valuation'!C118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4">
        <f>'Income Valuation'!C94</f>
        <v/>
      </c>
      <c r="F46" s="9" t="n"/>
      <c r="G46" s="7" t="inlineStr">
        <is>
          <t>Levered IRR — covered-land price</t>
        </is>
      </c>
      <c r="H46" s="8" t="n"/>
      <c r="I46" s="9" t="n"/>
      <c r="J46" s="34">
        <f>'Income Valuation'!E94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4">
        <f>'Income Valuation'!C92</f>
        <v/>
      </c>
      <c r="F47" s="9" t="n"/>
      <c r="G47" s="7" t="inlineStr">
        <is>
          <t>Levered equity multiple — income</t>
        </is>
      </c>
      <c r="H47" s="8" t="n"/>
      <c r="I47" s="9" t="n"/>
      <c r="J47" s="35">
        <f>'Income Valuation'!C95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4">
        <f>'Income Valuation'!C102</f>
        <v/>
      </c>
      <c r="F48" s="9" t="n"/>
      <c r="G48" s="7" t="inlineStr">
        <is>
          <t>Post-approval entitled land</t>
        </is>
      </c>
      <c r="H48" s="8" t="n"/>
      <c r="I48" s="9" t="n"/>
      <c r="J48" s="20">
        <f>'Highest &amp; Best Use'!C41</f>
        <v/>
      </c>
      <c r="K48" s="8" t="n"/>
      <c r="L48" s="8" t="n"/>
      <c r="M48" s="9" t="n"/>
    </row>
    <row r="49" ht="27" customHeight="1">
      <c r="B49" s="15" t="inlineStr">
        <is>
          <t>The thesis</t>
        </is>
      </c>
      <c r="C49" s="8" t="n"/>
      <c r="D49" s="9" t="n"/>
      <c r="E49" s="15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3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45" t="inlineStr">
        <is>
          <t>High / High</t>
        </is>
      </c>
      <c r="F53" s="46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45" t="inlineStr">
        <is>
          <t>Med / High</t>
        </is>
      </c>
      <c r="F54" s="46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45" t="inlineStr">
        <is>
          <t>Med / Med</t>
        </is>
      </c>
      <c r="F55" s="46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45" t="inlineStr">
        <is>
          <t>Med / Med</t>
        </is>
      </c>
      <c r="F56" s="46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45" t="inlineStr">
        <is>
          <t>Med / Med</t>
        </is>
      </c>
      <c r="F57" s="46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45" t="inlineStr">
        <is>
          <t>Med / Med</t>
        </is>
      </c>
      <c r="F58" s="46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45" t="inlineStr">
        <is>
          <t>High / Med</t>
        </is>
      </c>
      <c r="F59" s="46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45" t="inlineStr">
        <is>
          <t>High / Low</t>
        </is>
      </c>
      <c r="F60" s="46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3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40" t="inlineStr">
        <is>
          <t>0–2 mo</t>
        </is>
      </c>
      <c r="F64" s="46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40" t="inlineStr">
        <is>
          <t>2–5 mo</t>
        </is>
      </c>
      <c r="F65" s="46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40" t="inlineStr">
        <is>
          <t>3–5 mo</t>
        </is>
      </c>
      <c r="F66" s="46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40" t="inlineStr">
        <is>
          <t>3–9 mo</t>
        </is>
      </c>
      <c r="F67" s="46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40" t="inlineStr">
        <is>
          <t>6–9 mo</t>
        </is>
      </c>
      <c r="F68" s="46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40" t="inlineStr">
        <is>
          <t>yr 1–5</t>
        </is>
      </c>
      <c r="F69" s="46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53" t="n">
        <v>0.9</v>
      </c>
      <c r="D5" s="16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53" t="n">
        <v>0.1</v>
      </c>
      <c r="D6" s="16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53" t="n">
        <v>0.08</v>
      </c>
      <c r="D7" s="16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53" t="n">
        <v>0.7</v>
      </c>
      <c r="D8" s="16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53" t="n">
        <v>0.3</v>
      </c>
      <c r="D9" s="16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54">
        <f>'Income Valuation'!C86</f>
        <v/>
      </c>
      <c r="D10" s="16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3" t="inlineStr">
        <is>
          <t>0</t>
        </is>
      </c>
      <c r="D13" s="55" t="n">
        <v>1</v>
      </c>
      <c r="E13" s="55" t="n">
        <v>2</v>
      </c>
      <c r="F13" s="55" t="n">
        <v>3</v>
      </c>
      <c r="G13" s="55" t="n">
        <v>4</v>
      </c>
      <c r="H13" s="55" t="n">
        <v>5</v>
      </c>
      <c r="I13" s="55" t="n">
        <v>6</v>
      </c>
      <c r="J13" s="55" t="n">
        <v>7</v>
      </c>
      <c r="K13" s="55" t="n">
        <v>8</v>
      </c>
      <c r="L13" s="55" t="n">
        <v>9</v>
      </c>
      <c r="M13" s="55" t="n">
        <v>10</v>
      </c>
    </row>
    <row r="14" ht="15" customHeight="1">
      <c r="B14" s="7" t="inlineStr">
        <is>
          <t>Total equity cash flow (levered)</t>
        </is>
      </c>
      <c r="C14" s="20">
        <f>'Income Valuation'!C90</f>
        <v/>
      </c>
      <c r="D14" s="24">
        <f>'Income Valuation'!D90</f>
        <v/>
      </c>
      <c r="E14" s="24">
        <f>'Income Valuation'!E90</f>
        <v/>
      </c>
      <c r="F14" s="24">
        <f>'Income Valuation'!F90</f>
        <v/>
      </c>
      <c r="G14" s="24">
        <f>'Income Valuation'!G90</f>
        <v/>
      </c>
      <c r="H14" s="24">
        <f>'Income Valuation'!H90</f>
        <v/>
      </c>
      <c r="I14" s="24">
        <f>'Income Valuation'!I90</f>
        <v/>
      </c>
      <c r="J14" s="24">
        <f>'Income Valuation'!J90</f>
        <v/>
      </c>
      <c r="K14" s="24">
        <f>'Income Valuation'!K90</f>
        <v/>
      </c>
      <c r="L14" s="24">
        <f>'Income Valuation'!L90</f>
        <v/>
      </c>
      <c r="M14" s="24">
        <f>'Income Valuation'!M90</f>
        <v/>
      </c>
    </row>
    <row r="15" ht="15" customHeight="1">
      <c r="B15" s="7" t="inlineStr">
        <is>
          <t>Distribution to equity</t>
        </is>
      </c>
      <c r="D15" s="48">
        <f>MAX(0,D14)</f>
        <v/>
      </c>
      <c r="E15" s="48">
        <f>MAX(0,E14)</f>
        <v/>
      </c>
      <c r="F15" s="48">
        <f>MAX(0,F14)</f>
        <v/>
      </c>
      <c r="G15" s="48">
        <f>MAX(0,G14)</f>
        <v/>
      </c>
      <c r="H15" s="48">
        <f>MAX(0,H14)</f>
        <v/>
      </c>
      <c r="I15" s="48">
        <f>MAX(0,I14)</f>
        <v/>
      </c>
      <c r="J15" s="48">
        <f>MAX(0,J14)</f>
        <v/>
      </c>
      <c r="K15" s="48">
        <f>MAX(0,K14)</f>
        <v/>
      </c>
      <c r="L15" s="48">
        <f>MAX(0,L14)</f>
        <v/>
      </c>
      <c r="M15" s="48">
        <f>MAX(0,M14)</f>
        <v/>
      </c>
    </row>
    <row r="16" ht="15" customHeight="1">
      <c r="B16" s="7" t="inlineStr">
        <is>
          <t>Unreturned capital + pref (end)</t>
        </is>
      </c>
      <c r="C16" s="48">
        <f>C10</f>
        <v/>
      </c>
      <c r="D16" s="48">
        <f>MAX(0,C16*(1+C7)-D15)</f>
        <v/>
      </c>
      <c r="E16" s="48">
        <f>MAX(0,D16*(1+C7)-E15)</f>
        <v/>
      </c>
      <c r="F16" s="48">
        <f>MAX(0,E16*(1+C7)-F15)</f>
        <v/>
      </c>
      <c r="G16" s="48">
        <f>MAX(0,F16*(1+C7)-G15)</f>
        <v/>
      </c>
      <c r="H16" s="48">
        <f>MAX(0,G16*(1+C7)-H15)</f>
        <v/>
      </c>
      <c r="I16" s="48">
        <f>MAX(0,H16*(1+C7)-I15)</f>
        <v/>
      </c>
      <c r="J16" s="48">
        <f>MAX(0,I16*(1+C7)-J15)</f>
        <v/>
      </c>
      <c r="K16" s="48">
        <f>MAX(0,J16*(1+C7)-K15)</f>
        <v/>
      </c>
      <c r="L16" s="48">
        <f>MAX(0,K16*(1+C7)-L15)</f>
        <v/>
      </c>
      <c r="M16" s="48">
        <f>MAX(0,L16*(1+C7)-M15)</f>
        <v/>
      </c>
    </row>
    <row r="17" ht="15" customHeight="1">
      <c r="B17" s="7" t="inlineStr">
        <is>
          <t>① Return of capital + pref</t>
        </is>
      </c>
      <c r="D17" s="48">
        <f>MIN(D15,C16*(1+C7))</f>
        <v/>
      </c>
      <c r="E17" s="48">
        <f>MIN(E15,D16*(1+C7))</f>
        <v/>
      </c>
      <c r="F17" s="48">
        <f>MIN(F15,E16*(1+C7))</f>
        <v/>
      </c>
      <c r="G17" s="48">
        <f>MIN(G15,F16*(1+C7))</f>
        <v/>
      </c>
      <c r="H17" s="48">
        <f>MIN(H15,G16*(1+C7))</f>
        <v/>
      </c>
      <c r="I17" s="48">
        <f>MIN(I15,H16*(1+C7))</f>
        <v/>
      </c>
      <c r="J17" s="48">
        <f>MIN(J15,I16*(1+C7))</f>
        <v/>
      </c>
      <c r="K17" s="48">
        <f>MIN(K15,J16*(1+C7))</f>
        <v/>
      </c>
      <c r="L17" s="48">
        <f>MIN(L15,K16*(1+C7))</f>
        <v/>
      </c>
      <c r="M17" s="48">
        <f>MIN(M15,L16*(1+C7))</f>
        <v/>
      </c>
    </row>
    <row r="18" ht="15" customHeight="1">
      <c r="B18" s="7" t="inlineStr">
        <is>
          <t>② Excess above pref (promote base)</t>
        </is>
      </c>
      <c r="D18" s="48">
        <f>D15-D17</f>
        <v/>
      </c>
      <c r="E18" s="48">
        <f>E15-E17</f>
        <v/>
      </c>
      <c r="F18" s="48">
        <f>F15-F17</f>
        <v/>
      </c>
      <c r="G18" s="48">
        <f>G15-G17</f>
        <v/>
      </c>
      <c r="H18" s="48">
        <f>H15-H17</f>
        <v/>
      </c>
      <c r="I18" s="48">
        <f>I15-I17</f>
        <v/>
      </c>
      <c r="J18" s="48">
        <f>J15-J17</f>
        <v/>
      </c>
      <c r="K18" s="48">
        <f>K15-K17</f>
        <v/>
      </c>
      <c r="L18" s="48">
        <f>L15-L17</f>
        <v/>
      </c>
      <c r="M18" s="48">
        <f>M15-M17</f>
        <v/>
      </c>
    </row>
    <row r="19" ht="15" customHeight="1">
      <c r="B19" s="6" t="inlineStr">
        <is>
          <t>LP cash flow</t>
        </is>
      </c>
      <c r="C19" s="50">
        <f>-C5*C10</f>
        <v/>
      </c>
      <c r="D19" s="56">
        <f>C5*D17+C8*D18</f>
        <v/>
      </c>
      <c r="E19" s="56">
        <f>C5*E17+C8*E18</f>
        <v/>
      </c>
      <c r="F19" s="56">
        <f>C5*F17+C8*F18</f>
        <v/>
      </c>
      <c r="G19" s="56">
        <f>C5*G17+C8*G18</f>
        <v/>
      </c>
      <c r="H19" s="56">
        <f>C5*H17+C8*H18</f>
        <v/>
      </c>
      <c r="I19" s="56">
        <f>C5*I17+C8*I18</f>
        <v/>
      </c>
      <c r="J19" s="56">
        <f>C5*J17+C8*J18</f>
        <v/>
      </c>
      <c r="K19" s="56">
        <f>C5*K17+C8*K18</f>
        <v/>
      </c>
      <c r="L19" s="56">
        <f>C5*L17+C8*L18</f>
        <v/>
      </c>
      <c r="M19" s="56">
        <f>C5*M17+C8*M18</f>
        <v/>
      </c>
    </row>
    <row r="20" ht="15" customHeight="1">
      <c r="B20" s="6" t="inlineStr">
        <is>
          <t>GP cash flow (incl. promote)</t>
        </is>
      </c>
      <c r="C20" s="50">
        <f>-C6*C10</f>
        <v/>
      </c>
      <c r="D20" s="56">
        <f>C6*D17+C9*D18</f>
        <v/>
      </c>
      <c r="E20" s="56">
        <f>C6*E17+C9*E18</f>
        <v/>
      </c>
      <c r="F20" s="56">
        <f>C6*F17+C9*F18</f>
        <v/>
      </c>
      <c r="G20" s="56">
        <f>C6*G17+C9*G18</f>
        <v/>
      </c>
      <c r="H20" s="56">
        <f>C6*H17+C9*H18</f>
        <v/>
      </c>
      <c r="I20" s="56">
        <f>C6*I17+C9*I18</f>
        <v/>
      </c>
      <c r="J20" s="56">
        <f>C6*J17+C9*J18</f>
        <v/>
      </c>
      <c r="K20" s="56">
        <f>C6*K17+C9*K18</f>
        <v/>
      </c>
      <c r="L20" s="56">
        <f>C6*L17+C9*L18</f>
        <v/>
      </c>
      <c r="M20" s="56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3" t="inlineStr">
        <is>
          <t>LP</t>
        </is>
      </c>
      <c r="G23" s="23" t="inlineStr">
        <is>
          <t>GP / sponsor</t>
        </is>
      </c>
      <c r="I23" s="23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51">
        <f>IFERROR(IRR(C19:M19),"n/m")</f>
        <v/>
      </c>
      <c r="G24" s="51">
        <f>IFERROR(IRR(C20:M20),"n/m")</f>
        <v/>
      </c>
      <c r="I24" s="34">
        <f>'Income Valuation'!C94</f>
        <v/>
      </c>
      <c r="J24" s="9" t="n"/>
    </row>
    <row r="25" ht="15" customHeight="1">
      <c r="B25" s="7" t="inlineStr">
        <is>
          <t>Equity multiple</t>
        </is>
      </c>
      <c r="E25" s="57">
        <f>SUM(D19:M19)/(C5*C10)</f>
        <v/>
      </c>
      <c r="G25" s="57">
        <f>SUM(D20:M20)/(C6*C10)</f>
        <v/>
      </c>
      <c r="I25" s="35">
        <f>'Income Valuation'!C95</f>
        <v/>
      </c>
      <c r="J25" s="9" t="n"/>
    </row>
    <row r="26" ht="15" customHeight="1">
      <c r="B26" s="7" t="inlineStr">
        <is>
          <t>Equity invested</t>
        </is>
      </c>
      <c r="E26" s="48">
        <f>C5*C10</f>
        <v/>
      </c>
      <c r="G26" s="48">
        <f>C6*C10</f>
        <v/>
      </c>
      <c r="I26" s="24">
        <f>C10</f>
        <v/>
      </c>
      <c r="J26" s="9" t="n"/>
    </row>
    <row r="27" ht="15" customHeight="1">
      <c r="B27" s="7" t="inlineStr">
        <is>
          <t>Total distributions</t>
        </is>
      </c>
      <c r="E27" s="48">
        <f>SUM(D19:M19)</f>
        <v/>
      </c>
      <c r="G27" s="48">
        <f>SUM(D20:M20)</f>
        <v/>
      </c>
      <c r="I27" s="24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49">
        <f>C9*SUM(D18:M18)</f>
        <v/>
      </c>
      <c r="G28" s="16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7">
        <f>'Scenarios'!G22</f>
        <v/>
      </c>
      <c r="G31" s="27">
        <f>'Income Valuation'!C94</f>
        <v/>
      </c>
      <c r="H31" s="27">
        <f>'Scenarios'!G24</f>
        <v/>
      </c>
      <c r="I31" s="16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49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49">
        <f>C10*(1+C7)^'Income Valuation'!C34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51">
        <f>1-E33/E32</f>
        <v/>
      </c>
      <c r="F34" s="9" t="n"/>
      <c r="G34" s="16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15" t="inlineStr">
        <is>
          <t>Read</t>
        </is>
      </c>
      <c r="D35" s="15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Valuation'!C122</f>
        <v/>
      </c>
      <c r="C6" s="3" t="n"/>
      <c r="D6" s="11">
        <f>'Assemblage'!C29</f>
        <v/>
      </c>
      <c r="E6" s="3" t="n"/>
      <c r="F6" s="11">
        <f>'Income Valuation'!C124</f>
        <v/>
      </c>
      <c r="G6" s="3" t="n"/>
      <c r="H6" s="12">
        <f>'Income Valuation'!C94</f>
        <v/>
      </c>
      <c r="I6" s="3" t="n"/>
      <c r="J6" s="12">
        <f>'Income Valuation'!C92</f>
        <v/>
      </c>
      <c r="K6" s="3" t="n"/>
      <c r="L6" s="58">
        <f>'Income Valuation'!C95</f>
        <v/>
      </c>
      <c r="M6" s="3" t="n"/>
      <c r="N6" s="58">
        <f>'Income Valuation'!C96</f>
        <v/>
      </c>
      <c r="O6" s="3" t="n"/>
      <c r="P6" s="18">
        <f>'Income Valuation'!C118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3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59">
        <f>'Assumptions'!C6</f>
        <v/>
      </c>
      <c r="E10" s="16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59">
        <f>'Assumptions'!C7</f>
        <v/>
      </c>
      <c r="E11" s="16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7">
        <f>'Assumptions'!C9</f>
        <v/>
      </c>
      <c r="E12" s="16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59">
        <f>'Assumptions'!C17</f>
        <v/>
      </c>
      <c r="E13" s="16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7">
        <f>'Assumptions'!C14</f>
        <v/>
      </c>
      <c r="E14" s="16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5">
        <f>'Assumptions'!C10</f>
        <v/>
      </c>
      <c r="E15" s="16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7">
        <f>'Assumptions'!C40</f>
        <v/>
      </c>
      <c r="E16" s="16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7">
        <f>'Assumptions'!C8</f>
        <v/>
      </c>
      <c r="E17" s="16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60" t="n">
        <v>0.055</v>
      </c>
      <c r="E21" s="60" t="n">
        <v>0.06</v>
      </c>
      <c r="F21" s="60" t="n">
        <v>0.065</v>
      </c>
      <c r="G21" s="60" t="n">
        <v>0.07000000000000001</v>
      </c>
      <c r="H21" s="60" t="n">
        <v>0.075</v>
      </c>
    </row>
    <row r="22" ht="15" customHeight="1">
      <c r="B22" s="16" t="inlineStr">
        <is>
          <t xml:space="preserve">  price</t>
        </is>
      </c>
      <c r="D22" s="61">
        <f>'Income Valuation'!C25/D21/1000000</f>
        <v/>
      </c>
      <c r="E22" s="61">
        <f>'Income Valuation'!C25/E21/1000000</f>
        <v/>
      </c>
      <c r="F22" s="61">
        <f>'Income Valuation'!C25/F21/1000000</f>
        <v/>
      </c>
      <c r="G22" s="61">
        <f>'Income Valuation'!C25/G21/1000000</f>
        <v/>
      </c>
      <c r="H22" s="61">
        <f>'Income Valuation'!C25/H21/1000000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53" t="n">
        <v>0.1</v>
      </c>
      <c r="E25" s="53" t="n">
        <v>0.15</v>
      </c>
      <c r="F25" s="53" t="n">
        <v>0.2</v>
      </c>
      <c r="G25" s="53" t="n">
        <v>0.25</v>
      </c>
      <c r="H25" s="53" t="n">
        <v>0.3</v>
      </c>
    </row>
    <row r="26" ht="15" customHeight="1">
      <c r="B26" s="16" t="inlineStr">
        <is>
          <t xml:space="preserve">  price</t>
        </is>
      </c>
      <c r="D26" s="61">
        <f>'Assemblage'!C17*(1+D25)/1000000</f>
        <v/>
      </c>
      <c r="E26" s="61">
        <f>'Assemblage'!C17*(1+E25)/1000000</f>
        <v/>
      </c>
      <c r="F26" s="61">
        <f>'Assemblage'!C17*(1+F25)/1000000</f>
        <v/>
      </c>
      <c r="G26" s="61">
        <f>'Assemblage'!C17*(1+G25)/1000000</f>
        <v/>
      </c>
      <c r="H26" s="61">
        <f>'Assemblage'!C17*(1+H25)/1000000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60" t="n">
        <v>0.06</v>
      </c>
      <c r="E29" s="60" t="n">
        <v>0.065</v>
      </c>
      <c r="F29" s="60" t="n">
        <v>0.07000000000000001</v>
      </c>
      <c r="G29" s="60" t="n">
        <v>0.075</v>
      </c>
      <c r="H29" s="60" t="n">
        <v>0.08</v>
      </c>
    </row>
    <row r="30" ht="15" customHeight="1">
      <c r="B30" s="16" t="inlineStr">
        <is>
          <t xml:space="preserve">  EM</t>
        </is>
      </c>
      <c r="D30" s="62">
        <f>('Income Valuation'!C50-'Income Valuation'!C34*'Income Valuation'!C68+('Income Valuation'!C52*'Income Valuation'!C31/D29)-'Income Valuation'!C69)/'Income Valuation'!C86</f>
        <v/>
      </c>
      <c r="E30" s="62">
        <f>('Income Valuation'!C50-'Income Valuation'!C34*'Income Valuation'!C68+('Income Valuation'!C52*'Income Valuation'!C31/E29)-'Income Valuation'!C69)/'Income Valuation'!C86</f>
        <v/>
      </c>
      <c r="F30" s="62">
        <f>('Income Valuation'!C50-'Income Valuation'!C34*'Income Valuation'!C68+('Income Valuation'!C52*'Income Valuation'!C31/F29)-'Income Valuation'!C69)/'Income Valuation'!C86</f>
        <v/>
      </c>
      <c r="G30" s="62">
        <f>('Income Valuation'!C50-'Income Valuation'!C34*'Income Valuation'!C68+('Income Valuation'!C52*'Income Valuation'!C31/G29)-'Income Valuation'!C69)/'Income Valuation'!C86</f>
        <v/>
      </c>
      <c r="H30" s="62">
        <f>('Income Valuation'!C50-'Income Valuation'!C34*'Income Valuation'!C68+('Income Valuation'!C52*'Income Valuation'!C31/H29)-'Income Valuation'!C69)/'Income Valuation'!C86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3" t="inlineStr">
        <is>
          <t>Price ╲ exit cap</t>
        </is>
      </c>
      <c r="D33" s="60" t="n">
        <v>0.06</v>
      </c>
      <c r="E33" s="60" t="n">
        <v>0.065</v>
      </c>
      <c r="F33" s="60" t="n">
        <v>0.07000000000000001</v>
      </c>
      <c r="G33" s="60" t="n">
        <v>0.075</v>
      </c>
      <c r="H33" s="60" t="n">
        <v>0.08</v>
      </c>
    </row>
    <row r="34">
      <c r="B34" s="63" t="n">
        <v>60000000</v>
      </c>
      <c r="D34" s="62">
        <f>('Income Valuation'!C50-'Income Valuation'!C34*(MIN(B34*'Income Valuation'!C40,'Income Valuation'!C65,'Income Valuation'!C66)*'Income Valuation'!C48)+('Income Valuation'!C52*'Income Valuation'!C31/D33)-(MIN(B34*'Income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E34" s="62">
        <f>('Income Valuation'!C50-'Income Valuation'!C34*(MIN(B34*'Income Valuation'!C40,'Income Valuation'!C65,'Income Valuation'!C66)*'Income Valuation'!C48)+('Income Valuation'!C52*'Income Valuation'!C31/E33)-(MIN(B34*'Income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F34" s="62">
        <f>('Income Valuation'!C50-'Income Valuation'!C34*(MIN(B34*'Income Valuation'!C40,'Income Valuation'!C65,'Income Valuation'!C66)*'Income Valuation'!C48)+('Income Valuation'!C52*'Income Valuation'!C31/F33)-(MIN(B34*'Income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G34" s="62">
        <f>('Income Valuation'!C50-'Income Valuation'!C34*(MIN(B34*'Income Valuation'!C40,'Income Valuation'!C65,'Income Valuation'!C66)*'Income Valuation'!C48)+('Income Valuation'!C52*'Income Valuation'!C31/G33)-(MIN(B34*'Income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H34" s="62">
        <f>('Income Valuation'!C50-'Income Valuation'!C34*(MIN(B34*'Income Valuation'!C40,'Income Valuation'!C65,'Income Valuation'!C66)*'Income Valuation'!C48)+('Income Valuation'!C52*'Income Valuation'!C31/H33)-(MIN(B34*'Income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</row>
    <row r="35">
      <c r="B35" s="63" t="n">
        <v>70000000</v>
      </c>
      <c r="D35" s="62">
        <f>('Income Valuation'!C50-'Income Valuation'!C34*(MIN(B35*'Income Valuation'!C40,'Income Valuation'!C65,'Income Valuation'!C66)*'Income Valuation'!C48)+('Income Valuation'!C52*'Income Valuation'!C31/D33)-(MIN(B35*'Income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E35" s="62">
        <f>('Income Valuation'!C50-'Income Valuation'!C34*(MIN(B35*'Income Valuation'!C40,'Income Valuation'!C65,'Income Valuation'!C66)*'Income Valuation'!C48)+('Income Valuation'!C52*'Income Valuation'!C31/E33)-(MIN(B35*'Income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F35" s="62">
        <f>('Income Valuation'!C50-'Income Valuation'!C34*(MIN(B35*'Income Valuation'!C40,'Income Valuation'!C65,'Income Valuation'!C66)*'Income Valuation'!C48)+('Income Valuation'!C52*'Income Valuation'!C31/F33)-(MIN(B35*'Income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G35" s="62">
        <f>('Income Valuation'!C50-'Income Valuation'!C34*(MIN(B35*'Income Valuation'!C40,'Income Valuation'!C65,'Income Valuation'!C66)*'Income Valuation'!C48)+('Income Valuation'!C52*'Income Valuation'!C31/G33)-(MIN(B35*'Income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H35" s="62">
        <f>('Income Valuation'!C50-'Income Valuation'!C34*(MIN(B35*'Income Valuation'!C40,'Income Valuation'!C65,'Income Valuation'!C66)*'Income Valuation'!C48)+('Income Valuation'!C52*'Income Valuation'!C31/H33)-(MIN(B35*'Income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</row>
    <row r="36">
      <c r="B36" s="63" t="n">
        <v>85000000</v>
      </c>
      <c r="D36" s="62">
        <f>('Income Valuation'!C50-'Income Valuation'!C34*(MIN(B36*'Income Valuation'!C40,'Income Valuation'!C65,'Income Valuation'!C66)*'Income Valuation'!C48)+('Income Valuation'!C52*'Income Valuation'!C31/D33)-(MIN(B36*'Income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E36" s="62">
        <f>('Income Valuation'!C50-'Income Valuation'!C34*(MIN(B36*'Income Valuation'!C40,'Income Valuation'!C65,'Income Valuation'!C66)*'Income Valuation'!C48)+('Income Valuation'!C52*'Income Valuation'!C31/E33)-(MIN(B36*'Income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F36" s="62">
        <f>('Income Valuation'!C50-'Income Valuation'!C34*(MIN(B36*'Income Valuation'!C40,'Income Valuation'!C65,'Income Valuation'!C66)*'Income Valuation'!C48)+('Income Valuation'!C52*'Income Valuation'!C31/F33)-(MIN(B36*'Income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G36" s="62">
        <f>('Income Valuation'!C50-'Income Valuation'!C34*(MIN(B36*'Income Valuation'!C40,'Income Valuation'!C65,'Income Valuation'!C66)*'Income Valuation'!C48)+('Income Valuation'!C52*'Income Valuation'!C31/G33)-(MIN(B36*'Income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H36" s="62">
        <f>('Income Valuation'!C50-'Income Valuation'!C34*(MIN(B36*'Income Valuation'!C40,'Income Valuation'!C65,'Income Valuation'!C66)*'Income Valuation'!C48)+('Income Valuation'!C52*'Income Valuation'!C31/H33)-(MIN(B36*'Income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</row>
    <row r="37">
      <c r="B37" s="63" t="n">
        <v>100000000</v>
      </c>
      <c r="D37" s="62">
        <f>('Income Valuation'!C50-'Income Valuation'!C34*(MIN(B37*'Income Valuation'!C40,'Income Valuation'!C65,'Income Valuation'!C66)*'Income Valuation'!C48)+('Income Valuation'!C52*'Income Valuation'!C31/D33)-(MIN(B37*'Income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E37" s="62">
        <f>('Income Valuation'!C50-'Income Valuation'!C34*(MIN(B37*'Income Valuation'!C40,'Income Valuation'!C65,'Income Valuation'!C66)*'Income Valuation'!C48)+('Income Valuation'!C52*'Income Valuation'!C31/E33)-(MIN(B37*'Income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F37" s="62">
        <f>('Income Valuation'!C50-'Income Valuation'!C34*(MIN(B37*'Income Valuation'!C40,'Income Valuation'!C65,'Income Valuation'!C66)*'Income Valuation'!C48)+('Income Valuation'!C52*'Income Valuation'!C31/F33)-(MIN(B37*'Income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G37" s="62">
        <f>('Income Valuation'!C50-'Income Valuation'!C34*(MIN(B37*'Income Valuation'!C40,'Income Valuation'!C65,'Income Valuation'!C66)*'Income Valuation'!C48)+('Income Valuation'!C52*'Income Valuation'!C31/G33)-(MIN(B37*'Income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H37" s="62">
        <f>('Income Valuation'!C50-'Income Valuation'!C34*(MIN(B37*'Income Valuation'!C40,'Income Valuation'!C65,'Income Valuation'!C66)*'Income Valuation'!C48)+('Income Valuation'!C52*'Income Valuation'!C31/H33)-(MIN(B37*'Income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</row>
    <row r="38">
      <c r="B38" s="63" t="n">
        <v>122000000</v>
      </c>
      <c r="D38" s="62">
        <f>('Income Valuation'!C50-'Income Valuation'!C34*(MIN(B38*'Income Valuation'!C40,'Income Valuation'!C65,'Income Valuation'!C66)*'Income Valuation'!C48)+('Income Valuation'!C52*'Income Valuation'!C31/D33)-(MIN(B38*'Income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E38" s="62">
        <f>('Income Valuation'!C50-'Income Valuation'!C34*(MIN(B38*'Income Valuation'!C40,'Income Valuation'!C65,'Income Valuation'!C66)*'Income Valuation'!C48)+('Income Valuation'!C52*'Income Valuation'!C31/E33)-(MIN(B38*'Income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F38" s="62">
        <f>('Income Valuation'!C50-'Income Valuation'!C34*(MIN(B38*'Income Valuation'!C40,'Income Valuation'!C65,'Income Valuation'!C66)*'Income Valuation'!C48)+('Income Valuation'!C52*'Income Valuation'!C31/F33)-(MIN(B38*'Income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G38" s="62">
        <f>('Income Valuation'!C50-'Income Valuation'!C34*(MIN(B38*'Income Valuation'!C40,'Income Valuation'!C65,'Income Valuation'!C66)*'Income Valuation'!C48)+('Income Valuation'!C52*'Income Valuation'!C31/G33)-(MIN(B38*'Income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H38" s="62">
        <f>('Income Valuation'!C50-'Income Valuation'!C34*(MIN(B38*'Income Valuation'!C40,'Income Valuation'!C65,'Income Valuation'!C66)*'Income Valuation'!C48)+('Income Valuation'!C52*'Income Valuation'!C31/H33)-(MIN(B38*'Income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3" t="inlineStr">
        <is>
          <t>Low</t>
        </is>
      </c>
      <c r="E42" s="23" t="inlineStr">
        <is>
          <t>EM@Low</t>
        </is>
      </c>
      <c r="F42" s="23" t="inlineStr">
        <is>
          <t>EM@Base</t>
        </is>
      </c>
      <c r="G42" s="23" t="inlineStr">
        <is>
          <t>High</t>
        </is>
      </c>
      <c r="H42" s="23" t="inlineStr">
        <is>
          <t>EM@High</t>
        </is>
      </c>
      <c r="I42" s="23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60" t="n">
        <v>0.06</v>
      </c>
      <c r="E43" s="62">
        <f>('Income Valuation'!C50-'Income Valuation'!C34*'Income Valuation'!C68+('Income Valuation'!C52*'Income Valuation'!C31/D43)-'Income Valuation'!C69)/'Income Valuation'!C86</f>
        <v/>
      </c>
      <c r="F43" s="64">
        <f>'Income Valuation'!C95</f>
        <v/>
      </c>
      <c r="G43" s="60" t="n">
        <v>0.08</v>
      </c>
      <c r="H43" s="62">
        <f>('Income Valuation'!C50-'Income Valuation'!C34*'Income Valuation'!C68+('Income Valuation'!C52*'Income Valuation'!C31/G43)-'Income Valuation'!C69)/'Income Valuation'!C86</f>
        <v/>
      </c>
      <c r="I43" s="62">
        <f>ABS(H43-E43)</f>
        <v/>
      </c>
      <c r="J43" s="16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63" t="n">
        <v>60000000</v>
      </c>
      <c r="E44" s="62">
        <f>('Income Valuation'!C50-'Income Valuation'!C34*(MIN(D44*'Income Valuation'!C40,'Income Valuation'!C65,'Income Valuation'!C66)*'Income Valuation'!C48)+'Income Valuation'!C52-(MIN(D44*'Income Valuation'!C40,'Income Valuation'!C65,'Income Valuation'!C66)*(1+'Income Valuation'!C47)^(12*'Income Valuation'!C34)-((MIN(D44*'Income Valuation'!C40,'Income Valuation'!C65,'Income Valuation'!C66)*'Income Valuation'!C48)/12)*((1+'Income Valuation'!C47)^(12*'Income Valuation'!C34)-1)/'Income Valuation'!C47))/(D44*(1+'Income Valuation'!C49)-MIN(D44*'Income Valuation'!C40,'Income Valuation'!C65,'Income Valuation'!C66))</f>
        <v/>
      </c>
      <c r="F44" s="64">
        <f>'Income Valuation'!C95</f>
        <v/>
      </c>
      <c r="G44" s="63" t="n">
        <v>85000000</v>
      </c>
      <c r="H44" s="62">
        <f>('Income Valuation'!C50-'Income Valuation'!C34*(MIN(G44*'Income Valuation'!C40,'Income Valuation'!C65,'Income Valuation'!C66)*'Income Valuation'!C48)+'Income Valuation'!C52-(MIN(G44*'Income Valuation'!C40,'Income Valuation'!C65,'Income Valuation'!C66)*(1+'Income Valuation'!C47)^(12*'Income Valuation'!C34)-((MIN(G44*'Income Valuation'!C40,'Income Valuation'!C65,'Income Valuation'!C66)*'Income Valuation'!C48)/12)*((1+'Income Valuation'!C47)^(12*'Income Valuation'!C34)-1)/'Income Valuation'!C47))/(G44*(1+'Income Valuation'!C49)-MIN(G44*'Income Valuation'!C40,'Income Valuation'!C65,'Income Valuation'!C66))</f>
        <v/>
      </c>
      <c r="I44" s="62">
        <f>ABS(H44-E44)</f>
        <v/>
      </c>
      <c r="J44" s="16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60" t="n">
        <v>0.055</v>
      </c>
      <c r="E45" s="62">
        <f>('Income Valuation'!C50-'Income Valuation'!C34*('Income Valuation'!C67*((D45/12)/(1-(1+(D45/12))^(-'Income Valuation'!C44*12))*12))+'Income Valuation'!C52-('Income Valuation'!C67*(1+(D45/12))^(12*'Income Valuation'!C34)-(('Income Valuation'!C67*((D45/12)/(1-(1+(D45/12))^(-'Income Valuation'!C44*12))*12))/12)*((1+(D45/12))^(12*'Income Valuation'!C34)-1)/(D45/12)))/'Income Valuation'!C86</f>
        <v/>
      </c>
      <c r="F45" s="64">
        <f>'Income Valuation'!C95</f>
        <v/>
      </c>
      <c r="G45" s="60" t="n">
        <v>0.08</v>
      </c>
      <c r="H45" s="62">
        <f>('Income Valuation'!C50-'Income Valuation'!C34*('Income Valuation'!C67*((G45/12)/(1-(1+(G45/12))^(-'Income Valuation'!C44*12))*12))+'Income Valuation'!C52-('Income Valuation'!C67*(1+(G45/12))^(12*'Income Valuation'!C34)-(('Income Valuation'!C67*((G45/12)/(1-(1+(G45/12))^(-'Income Valuation'!C44*12))*12))/12)*((1+(G45/12))^(12*'Income Valuation'!C34)-1)/(G45/12)))/'Income Valuation'!C86</f>
        <v/>
      </c>
      <c r="I45" s="62">
        <f>ABS(H45-E45)</f>
        <v/>
      </c>
      <c r="J45" s="16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53" t="n">
        <v>0.5</v>
      </c>
      <c r="E46" s="62">
        <f>('Income Valuation'!C50-'Income Valuation'!C34*(MIN('Income Valuation'!C61*D46,'Income Valuation'!C65,'Income Valuation'!C66)*'Income Valuation'!C48)+'Income Valuation'!C52-(MIN('Income Valuation'!C61*D46,'Income Valuation'!C65,'Income Valuation'!C66)*(1+'Income Valuation'!C47)^(12*'Income Valuation'!C34)-((MIN('Income Valuation'!C61*D46,'Income Valuation'!C65,'Income Valuation'!C66)*'Income Valuation'!C48)/12)*((1+'Income Valuation'!C47)^(12*'Income Valuation'!C34)-1)/'Income Valuation'!C47))/('Income Valuation'!C61*(1+'Income Valuation'!C49)-MIN('Income Valuation'!C61*D46,'Income Valuation'!C65,'Income Valuation'!C66))</f>
        <v/>
      </c>
      <c r="F46" s="64">
        <f>'Income Valuation'!C95</f>
        <v/>
      </c>
      <c r="G46" s="53" t="n">
        <v>0.7</v>
      </c>
      <c r="H46" s="62">
        <f>('Income Valuation'!C50-'Income Valuation'!C34*(MIN('Income Valuation'!C61*G46,'Income Valuation'!C65,'Income Valuation'!C66)*'Income Valuation'!C48)+'Income Valuation'!C52-(MIN('Income Valuation'!C61*G46,'Income Valuation'!C65,'Income Valuation'!C66)*(1+'Income Valuation'!C47)^(12*'Income Valuation'!C34)-((MIN('Income Valuation'!C61*G46,'Income Valuation'!C65,'Income Valuation'!C66)*'Income Valuation'!C48)/12)*((1+'Income Valuation'!C47)^(12*'Income Valuation'!C34)-1)/'Income Valuation'!C47))/('Income Valuation'!C61*(1+'Income Valuation'!C49)-MIN('Income Valuation'!C61*G46,'Income Valuation'!C65,'Income Valuation'!C66))</f>
        <v/>
      </c>
      <c r="I46" s="62">
        <f>ABS(H46-E46)</f>
        <v/>
      </c>
      <c r="J46" s="16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5" t="n">
        <v>0.9</v>
      </c>
      <c r="E47" s="62">
        <f>((D47*'Income Valuation'!C50)-'Income Valuation'!C34*'Income Valuation'!C68+'Income Valuation'!C52-'Income Valuation'!C69)/'Income Valuation'!C86</f>
        <v/>
      </c>
      <c r="F47" s="64">
        <f>'Income Valuation'!C95</f>
        <v/>
      </c>
      <c r="G47" s="65" t="n">
        <v>1.1</v>
      </c>
      <c r="H47" s="62">
        <f>((G47*'Income Valuation'!C50)-'Income Valuation'!C34*'Income Valuation'!C68+'Income Valuation'!C52-'Income Valuation'!C69)/'Income Valuation'!C86</f>
        <v/>
      </c>
      <c r="I47" s="62">
        <f>ABS(H47-E47)</f>
        <v/>
      </c>
      <c r="J47" s="16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3" t="inlineStr">
        <is>
          <t>Downside</t>
        </is>
      </c>
      <c r="F50" s="23" t="inlineStr">
        <is>
          <t>Base</t>
        </is>
      </c>
      <c r="G50" s="23" t="inlineStr">
        <is>
          <t>Upside</t>
        </is>
      </c>
      <c r="H50" s="9" t="n"/>
    </row>
    <row r="51" ht="15" customHeight="1">
      <c r="B51" s="16" t="inlineStr">
        <is>
          <t xml:space="preserve">  IRR</t>
        </is>
      </c>
      <c r="E51" s="27">
        <f>'Scenarios'!G22</f>
        <v/>
      </c>
      <c r="F51" s="27">
        <f>'Income Valuation'!C94</f>
        <v/>
      </c>
      <c r="G51" s="27">
        <f>'Scenarios'!G24</f>
        <v/>
      </c>
      <c r="H51" s="9" t="n"/>
    </row>
    <row r="52" ht="15" customHeight="1">
      <c r="B52" s="15" t="inlineStr">
        <is>
          <t>At the COVERED-LAND price</t>
        </is>
      </c>
      <c r="D52" s="66">
        <f>'Income Valuation'!E94</f>
        <v/>
      </c>
      <c r="E52" s="15">
        <f>IF('Income Valuation'!E94&lt;0,"income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7">
        <f>'Income Valuation'!C102</f>
        <v/>
      </c>
      <c r="E53" s="16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3" t="inlineStr">
        <is>
          <t>You</t>
        </is>
      </c>
      <c r="D5" s="23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53" t="n">
        <v>0.6</v>
      </c>
      <c r="D7" s="27">
        <f>'Income Valuation'!C40</f>
        <v/>
      </c>
      <c r="E7" s="16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60" t="n">
        <v>0.065</v>
      </c>
      <c r="D8" s="59">
        <f>'Income Valuation'!C43</f>
        <v/>
      </c>
      <c r="E8" s="16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7" t="n">
        <v>30</v>
      </c>
      <c r="D9" s="25">
        <f>'Income Valuation'!C44</f>
        <v/>
      </c>
      <c r="E9" s="16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5" t="n">
        <v>1.3</v>
      </c>
      <c r="D10" s="64">
        <f>'Income Valuation'!C41</f>
        <v/>
      </c>
      <c r="E10" s="16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53" t="n">
        <v>0.08500000000000001</v>
      </c>
      <c r="D11" s="27">
        <f>'Income Valuation'!C42</f>
        <v/>
      </c>
      <c r="E11" s="16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53" t="n">
        <v>0</v>
      </c>
      <c r="D13" s="13" t="inlineStr">
        <is>
          <t>—</t>
        </is>
      </c>
      <c r="E13" s="16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60" t="n">
        <v>0.12</v>
      </c>
      <c r="D14" s="13" t="inlineStr">
        <is>
          <t>—</t>
        </is>
      </c>
      <c r="E14" s="16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68" t="n">
        <v>30000000</v>
      </c>
      <c r="D16" s="54">
        <f>'Income Valuation'!C86</f>
        <v/>
      </c>
      <c r="E16" s="16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53" t="n">
        <v>0.1</v>
      </c>
      <c r="D17" s="13" t="inlineStr">
        <is>
          <t>—</t>
        </is>
      </c>
      <c r="E17" s="16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53" t="n">
        <v>0.08</v>
      </c>
      <c r="D18" s="13" t="inlineStr">
        <is>
          <t>—</t>
        </is>
      </c>
      <c r="E18" s="16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6">
        <f>C8/12</f>
        <v/>
      </c>
    </row>
    <row r="22" ht="15" customHeight="1">
      <c r="B22" s="7" t="inlineStr">
        <is>
          <t>Senior mortgage constant (annual)</t>
        </is>
      </c>
      <c r="C22" s="26">
        <f>IF(C9=0,C8,(C21/(1-(1+C21)^(-C9*12)))*12)</f>
        <v/>
      </c>
      <c r="D22" s="16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3" t="inlineStr">
        <is>
          <t>INCOME PRICE</t>
        </is>
      </c>
      <c r="E25" s="9" t="n"/>
      <c r="G25" s="23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3" t="inlineStr">
        <is>
          <t>$</t>
        </is>
      </c>
      <c r="E26" s="23" t="inlineStr">
        <is>
          <t>% cost</t>
        </is>
      </c>
      <c r="G26" s="23" t="inlineStr">
        <is>
          <t>$</t>
        </is>
      </c>
      <c r="H26" s="23" t="inlineStr">
        <is>
          <t>% cost</t>
        </is>
      </c>
    </row>
    <row r="27" ht="15" customHeight="1">
      <c r="B27" s="7" t="inlineStr">
        <is>
          <t>Purchase price</t>
        </is>
      </c>
      <c r="D27" s="49">
        <f>'Income Valuation'!C122</f>
        <v/>
      </c>
      <c r="G27" s="49">
        <f>'Assemblage'!C29</f>
        <v/>
      </c>
    </row>
    <row r="28" ht="15" customHeight="1">
      <c r="B28" s="7" t="inlineStr">
        <is>
          <t>＋ Closing &amp; acq costs</t>
        </is>
      </c>
      <c r="D28" s="48">
        <f>'Income Valuation'!C122*'Income Valuation'!C49</f>
        <v/>
      </c>
      <c r="G28" s="48">
        <f>'Assemblage'!C29*'Income Valuation'!C49</f>
        <v/>
      </c>
    </row>
    <row r="29" ht="15" customHeight="1">
      <c r="B29" s="41" t="inlineStr">
        <is>
          <t>＝ Total uses (cost)</t>
        </is>
      </c>
      <c r="D29" s="50">
        <f>('Income Valuation'!C122*(1+'Income Valuation'!C49))</f>
        <v/>
      </c>
      <c r="G29" s="50">
        <f>('Assemblage'!C29*(1+'Income Valuation'!C49))</f>
        <v/>
      </c>
    </row>
    <row r="30" ht="15" customHeight="1">
      <c r="B30" s="7" t="inlineStr">
        <is>
          <t>Senior debt (sized, lesser-of)</t>
        </is>
      </c>
      <c r="D30" s="48">
        <f>MIN(C7*'Income Valuation'!C122,'Income Valuation'!C25/(C10*C22),'Income Valuation'!C25/C11)</f>
        <v/>
      </c>
      <c r="E30" s="69">
        <f>MIN(C7*'Income Valuation'!C122,'Income Valuation'!C25/(C10*C22),'Income Valuation'!C25/C11)/D29</f>
        <v/>
      </c>
      <c r="G30" s="48">
        <f>MIN(C7*'Assemblage'!C29,'Income Valuation'!C25/(C10*C22),'Income Valuation'!C25/C11)</f>
        <v/>
      </c>
      <c r="H30" s="69">
        <f>MIN(C7*'Assemblage'!C29,'Income Valuation'!C25/(C10*C22),'Income Valuation'!C25/C11)/G29</f>
        <v/>
      </c>
    </row>
    <row r="31" ht="15" customHeight="1">
      <c r="B31" s="7" t="inlineStr">
        <is>
          <t>Mezzanine</t>
        </is>
      </c>
      <c r="D31" s="48">
        <f>(C13*'Income Valuation'!C122)</f>
        <v/>
      </c>
      <c r="E31" s="69">
        <f>(C13*'Income Valuation'!C122)/D29</f>
        <v/>
      </c>
      <c r="G31" s="48">
        <f>(C13*'Assemblage'!C29)</f>
        <v/>
      </c>
      <c r="H31" s="69">
        <f>(C13*'Assemblage'!C29)/G29</f>
        <v/>
      </c>
    </row>
    <row r="32" ht="15" customHeight="1">
      <c r="B32" s="41" t="inlineStr">
        <is>
          <t>Equity (plug)</t>
        </is>
      </c>
      <c r="D32" s="56">
        <f>(('Income Valuation'!C122*(1+'Income Valuation'!C49))-MIN(C7*'Income Valuation'!C122,'Income Valuation'!C25/(C10*C22),'Income Valuation'!C25/C11)-(C13*'Income Valuation'!C122))</f>
        <v/>
      </c>
      <c r="E32" s="69">
        <f>(('Income Valuation'!C122*(1+'Income Valuation'!C49))-MIN(C7*'Income Valuation'!C122,'Income Valuation'!C25/(C10*C22),'Income Valuation'!C25/C11)-(C13*'Income Valuation'!C122))/D29</f>
        <v/>
      </c>
      <c r="G32" s="56">
        <f>(('Assemblage'!C29*(1+'Income Valuation'!C49))-MIN(C7*'Assemblage'!C29,'Income Valuation'!C25/(C10*C22),'Income Valuation'!C25/C11)-(C13*'Assemblage'!C29))</f>
        <v/>
      </c>
      <c r="H32" s="69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7" t="inlineStr">
        <is>
          <t>Loan-to-cost (senior + mezz)</t>
        </is>
      </c>
      <c r="D34" s="51">
        <f>(MIN(C7*'Income Valuation'!C122,'Income Valuation'!C25/(C10*C22),'Income Valuation'!C25/C11)+(C13*'Income Valuation'!C122))/D29</f>
        <v/>
      </c>
      <c r="G34" s="51">
        <f>(MIN(C7*'Assemblage'!C29,'Income Valuation'!C25/(C10*C22),'Income Valuation'!C25/C11)+(C13*'Assemblage'!C29))/G29</f>
        <v/>
      </c>
    </row>
    <row r="35" ht="15" customHeight="1">
      <c r="B35" s="7" t="inlineStr">
        <is>
          <t>Year-1 DSCR (senior)</t>
        </is>
      </c>
      <c r="D35" s="57">
        <f>'Income Valuation'!C25/(MIN(C7*'Income Valuation'!C122,'Income Valuation'!C25/(C10*C22),'Income Valuation'!C25/C11)*C22)</f>
        <v/>
      </c>
      <c r="G35" s="57">
        <f>'Income Valuation'!C25/(MIN(C7*'Assemblage'!C29,'Income Valuation'!C25/(C10*C22),'Income Valuation'!C25/C11)*C22)</f>
        <v/>
      </c>
    </row>
    <row r="36" ht="15" customHeight="1">
      <c r="B36" s="7" t="inlineStr">
        <is>
          <t>Debt yield (senior)</t>
        </is>
      </c>
      <c r="D36" s="51">
        <f>'Income Valuation'!C25/MIN(C7*'Income Valuation'!C122,'Income Valuation'!C25/(C10*C22),'Income Valuation'!C25/C11)</f>
        <v/>
      </c>
      <c r="G36" s="51">
        <f>'Income Valuation'!C25/MIN(C7*'Assemblage'!C29,'Income Valuation'!C25/(C10*C22),'Income Valuation'!C25/C11)</f>
        <v/>
      </c>
    </row>
    <row r="37" ht="15" customHeight="1">
      <c r="B37" s="7" t="inlineStr">
        <is>
          <t>Blended cost of debt</t>
        </is>
      </c>
      <c r="D37" s="70">
        <f>IFERROR((MIN(C7*'Income Valuation'!C122,'Income Valuation'!C25/(C10*C22),'Income Valuation'!C25/C11)*C8+(C13*'Income Valuation'!C122)*C14)/(MIN(C7*'Income Valuation'!C122,'Income Valuation'!C25/(C10*C22),'Income Valuation'!C25/C11)+(C13*'Income Valuation'!C122)),C8)</f>
        <v/>
      </c>
      <c r="G37" s="70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6" t="inlineStr">
        <is>
          <t xml:space="preserve">  GP / sponsor equity</t>
        </is>
      </c>
      <c r="D38" s="48">
        <f>(('Income Valuation'!C122*(1+'Income Valuation'!C49))-MIN(C7*'Income Valuation'!C122,'Income Valuation'!C25/(C10*C22),'Income Valuation'!C25/C11)-(C13*'Income Valuation'!C122))*C17</f>
        <v/>
      </c>
      <c r="G38" s="48">
        <f>(('Assemblage'!C29*(1+'Income Valuation'!C49))-MIN(C7*'Assemblage'!C29,'Income Valuation'!C25/(C10*C22),'Income Valuation'!C25/C11)-(C13*'Assemblage'!C29))*C17</f>
        <v/>
      </c>
    </row>
    <row r="39" ht="15" customHeight="1">
      <c r="B39" s="16" t="inlineStr">
        <is>
          <t xml:space="preserve">  LP equity</t>
        </is>
      </c>
      <c r="D39" s="48">
        <f>(('Income Valuation'!C122*(1+'Income Valuation'!C49))-MIN(C7*'Income Valuation'!C122,'Income Valuation'!C25/(C10*C22),'Income Valuation'!C25/C11)-(C13*'Income Valuation'!C122))*(1-C17)</f>
        <v/>
      </c>
      <c r="G39" s="48">
        <f>(('Assemblage'!C29*(1+'Income Valuation'!C49))-MIN(C7*'Assemblage'!C29,'Income Valuation'!C25/(C10*C22),'Income Valuation'!C25/C11)-(C13*'Assemblage'!C29))*(1-C17)</f>
        <v/>
      </c>
    </row>
    <row r="40" ht="15" customHeight="1">
      <c r="B40" s="7" t="inlineStr">
        <is>
          <t>Levered IRR at this price (from model)</t>
        </is>
      </c>
      <c r="D40" s="34">
        <f>'Income Valuation'!C94</f>
        <v/>
      </c>
      <c r="G40" s="34">
        <f>'Income Valuation'!E94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69">
        <f>C7+C13</f>
        <v/>
      </c>
    </row>
    <row r="44" ht="15" customHeight="1">
      <c r="B44" s="7" t="inlineStr">
        <is>
          <t>Equity share of cost</t>
        </is>
      </c>
      <c r="C44" s="69">
        <f>1-C43</f>
        <v/>
      </c>
    </row>
    <row r="45" ht="15" customHeight="1">
      <c r="B45" s="6" t="inlineStr">
        <is>
          <t>Max total cost you can fund</t>
        </is>
      </c>
      <c r="C45" s="71">
        <f>C16/C44</f>
        <v/>
      </c>
    </row>
    <row r="46" ht="16" customHeight="1">
      <c r="B46" s="21" t="inlineStr">
        <is>
          <t>→ MAX PURCHASE PRICE</t>
        </is>
      </c>
      <c r="C46" s="72">
        <f>C45/(1+'Income Valuation'!C49)</f>
        <v/>
      </c>
      <c r="D46" s="16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Valuation'!C25/((C7*C46)*C22)&gt;=C10,'Income Valuation'!C25/(C7*C46)&gt;=C11),"OK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3" t="inlineStr">
        <is>
          <t>Price</t>
        </is>
      </c>
      <c r="D49" s="23" t="inlineStr">
        <is>
          <t>Your max vs it</t>
        </is>
      </c>
      <c r="F49" s="23" t="inlineStr">
        <is>
          <t>Equity to control it</t>
        </is>
      </c>
      <c r="G49" s="9" t="n"/>
      <c r="H49" s="23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3">
        <f>'Income Valuation'!C122</f>
        <v/>
      </c>
      <c r="D50" s="69">
        <f>C46/'Income Valuation'!C122</f>
        <v/>
      </c>
      <c r="F50" s="48">
        <f>('Income Valuation'!C122*(1+'Income Valuation'!C49)*C44)</f>
        <v/>
      </c>
      <c r="G50" s="9" t="n"/>
      <c r="H50" s="48">
        <f>('Income Valuation'!C122*(1+'Income Valuation'!C49)*C44)-C16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3">
        <f>'Assemblage'!C17</f>
        <v/>
      </c>
      <c r="D51" s="69">
        <f>C46/'Assemblage'!C17</f>
        <v/>
      </c>
      <c r="F51" s="48">
        <f>('Assemblage'!C17*(1+'Income Valuation'!C49)*C44)</f>
        <v/>
      </c>
      <c r="G51" s="9" t="n"/>
      <c r="H51" s="48">
        <f>('Assemblage'!C17*(1+'Income Valuation'!C49)*C44)-C16</f>
        <v/>
      </c>
      <c r="I51" s="9" t="n"/>
    </row>
    <row r="52" ht="15" customHeight="1">
      <c r="B52" s="7" t="inlineStr">
        <is>
          <t xml:space="preserve">  Covered-land price</t>
        </is>
      </c>
      <c r="C52" s="73">
        <f>'Assemblage'!C29</f>
        <v/>
      </c>
      <c r="D52" s="69">
        <f>C46/'Assemblage'!C29</f>
        <v/>
      </c>
      <c r="F52" s="48">
        <f>('Assemblage'!C29*(1+'Income Valuation'!C49)*C44)</f>
        <v/>
      </c>
      <c r="G52" s="9" t="n"/>
      <c r="H52" s="48">
        <f>('Assemblage'!C29*(1+'Income Valuation'!C49)*C44)-C16</f>
        <v/>
      </c>
      <c r="I52" s="9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3" t="inlineStr">
        <is>
          <t>Equity ╲ leverage</t>
        </is>
      </c>
      <c r="D56" s="53" t="n">
        <v>0.45</v>
      </c>
      <c r="E56" s="53" t="n">
        <v>0.55</v>
      </c>
      <c r="F56" s="53" t="n">
        <v>0.6</v>
      </c>
      <c r="G56" s="53" t="n">
        <v>0.65</v>
      </c>
      <c r="H56" s="53" t="n">
        <v>0.7</v>
      </c>
    </row>
    <row r="57">
      <c r="B57" s="63" t="n">
        <v>15000000</v>
      </c>
      <c r="D57" s="61">
        <f>B57/(1-D56)/(1+'Income Valuation'!C49)/1000000</f>
        <v/>
      </c>
      <c r="E57" s="61">
        <f>B57/(1-E56)/(1+'Income Valuation'!C49)/1000000</f>
        <v/>
      </c>
      <c r="F57" s="61">
        <f>B57/(1-F56)/(1+'Income Valuation'!C49)/1000000</f>
        <v/>
      </c>
      <c r="G57" s="61">
        <f>B57/(1-G56)/(1+'Income Valuation'!C49)/1000000</f>
        <v/>
      </c>
      <c r="H57" s="61">
        <f>B57/(1-H56)/(1+'Income Valuation'!C49)/1000000</f>
        <v/>
      </c>
    </row>
    <row r="58">
      <c r="B58" s="63" t="n">
        <v>25000000</v>
      </c>
      <c r="D58" s="61">
        <f>B58/(1-D56)/(1+'Income Valuation'!C49)/1000000</f>
        <v/>
      </c>
      <c r="E58" s="61">
        <f>B58/(1-E56)/(1+'Income Valuation'!C49)/1000000</f>
        <v/>
      </c>
      <c r="F58" s="61">
        <f>B58/(1-F56)/(1+'Income Valuation'!C49)/1000000</f>
        <v/>
      </c>
      <c r="G58" s="61">
        <f>B58/(1-G56)/(1+'Income Valuation'!C49)/1000000</f>
        <v/>
      </c>
      <c r="H58" s="61">
        <f>B58/(1-H56)/(1+'Income Valuation'!C49)/1000000</f>
        <v/>
      </c>
    </row>
    <row r="59">
      <c r="B59" s="63" t="n">
        <v>35000000</v>
      </c>
      <c r="D59" s="61">
        <f>B59/(1-D56)/(1+'Income Valuation'!C49)/1000000</f>
        <v/>
      </c>
      <c r="E59" s="61">
        <f>B59/(1-E56)/(1+'Income Valuation'!C49)/1000000</f>
        <v/>
      </c>
      <c r="F59" s="61">
        <f>B59/(1-F56)/(1+'Income Valuation'!C49)/1000000</f>
        <v/>
      </c>
      <c r="G59" s="61">
        <f>B59/(1-G56)/(1+'Income Valuation'!C49)/1000000</f>
        <v/>
      </c>
      <c r="H59" s="61">
        <f>B59/(1-H56)/(1+'Income Valuation'!C49)/1000000</f>
        <v/>
      </c>
    </row>
    <row r="60">
      <c r="B60" s="63" t="n">
        <v>50000000</v>
      </c>
      <c r="D60" s="61">
        <f>B60/(1-D56)/(1+'Income Valuation'!C49)/1000000</f>
        <v/>
      </c>
      <c r="E60" s="61">
        <f>B60/(1-E56)/(1+'Income Valuation'!C49)/1000000</f>
        <v/>
      </c>
      <c r="F60" s="61">
        <f>B60/(1-F56)/(1+'Income Valuation'!C49)/1000000</f>
        <v/>
      </c>
      <c r="G60" s="61">
        <f>B60/(1-G56)/(1+'Income Valuation'!C49)/1000000</f>
        <v/>
      </c>
      <c r="H60" s="61">
        <f>B60/(1-H56)/(1+'Income Valuation'!C49)/1000000</f>
        <v/>
      </c>
    </row>
    <row r="61">
      <c r="B61" s="63" t="n">
        <v>75000000</v>
      </c>
      <c r="D61" s="61">
        <f>B61/(1-D56)/(1+'Income Valuation'!C49)/1000000</f>
        <v/>
      </c>
      <c r="E61" s="61">
        <f>B61/(1-E56)/(1+'Income Valuation'!C49)/1000000</f>
        <v/>
      </c>
      <c r="F61" s="61">
        <f>B61/(1-F56)/(1+'Income Valuation'!C49)/1000000</f>
        <v/>
      </c>
      <c r="G61" s="61">
        <f>B61/(1-G56)/(1+'Income Valuation'!C49)/1000000</f>
        <v/>
      </c>
      <c r="H61" s="61">
        <f>B61/(1-H56)/(1+'Income Valuation'!C49)/1000000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3" t="inlineStr">
        <is>
          <t>Input</t>
        </is>
      </c>
      <c r="D5" s="23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60" t="n">
        <v>0.065</v>
      </c>
      <c r="D6" s="40" t="inlineStr">
        <is>
          <t>🔶</t>
        </is>
      </c>
      <c r="E6" s="16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60" t="n">
        <v>0.0675</v>
      </c>
      <c r="D7" s="40" t="inlineStr">
        <is>
          <t>🔶</t>
        </is>
      </c>
      <c r="E7" s="16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53" t="n">
        <v>0.08500000000000001</v>
      </c>
      <c r="D8" s="40" t="inlineStr">
        <is>
          <t>🔶</t>
        </is>
      </c>
      <c r="E8" s="16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53" t="n">
        <v>0.025</v>
      </c>
      <c r="D9" s="40" t="inlineStr">
        <is>
          <t>🔶</t>
        </is>
      </c>
      <c r="E9" s="16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7" t="n">
        <v>5</v>
      </c>
      <c r="D10" s="40" t="inlineStr">
        <is>
          <t>🔶</t>
        </is>
      </c>
      <c r="E10" s="16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53" t="n">
        <v>0.02</v>
      </c>
      <c r="D11" s="40" t="inlineStr">
        <is>
          <t>🔶</t>
        </is>
      </c>
      <c r="E11" s="16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3" t="inlineStr">
        <is>
          <t>Input</t>
        </is>
      </c>
      <c r="D13" s="23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53" t="n">
        <v>0.6</v>
      </c>
      <c r="D14" s="40" t="inlineStr">
        <is>
          <t>🔶</t>
        </is>
      </c>
      <c r="E14" s="16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5" t="n">
        <v>1.3</v>
      </c>
      <c r="D15" s="40" t="inlineStr">
        <is>
          <t>🔶</t>
        </is>
      </c>
      <c r="E15" s="16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53" t="n">
        <v>0.08500000000000001</v>
      </c>
      <c r="D16" s="40" t="inlineStr">
        <is>
          <t>🔶</t>
        </is>
      </c>
      <c r="E16" s="16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60" t="n">
        <v>0.065</v>
      </c>
      <c r="D17" s="40" t="inlineStr">
        <is>
          <t>🔶</t>
        </is>
      </c>
      <c r="E17" s="16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7" t="n">
        <v>30</v>
      </c>
      <c r="D18" s="40" t="inlineStr">
        <is>
          <t>🔶</t>
        </is>
      </c>
      <c r="E18" s="16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3" t="inlineStr">
        <is>
          <t>Input</t>
        </is>
      </c>
      <c r="D20" s="23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60" t="n">
        <v>0.007</v>
      </c>
      <c r="D21" s="40" t="inlineStr">
        <is>
          <t>🔶</t>
        </is>
      </c>
      <c r="E21" s="16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60" t="n">
        <v>0.005</v>
      </c>
      <c r="D22" s="40" t="inlineStr">
        <is>
          <t>🔶</t>
        </is>
      </c>
      <c r="E22" s="16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60" t="n">
        <v>0.004</v>
      </c>
      <c r="D23" s="40" t="inlineStr">
        <is>
          <t>🔶</t>
        </is>
      </c>
      <c r="E23" s="16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60" t="n">
        <v>0.01</v>
      </c>
      <c r="D24" s="40" t="inlineStr">
        <is>
          <t>🔶</t>
        </is>
      </c>
      <c r="E24" s="16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3" t="inlineStr">
        <is>
          <t>Input</t>
        </is>
      </c>
      <c r="D26" s="23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63" t="n">
        <v>17100000</v>
      </c>
      <c r="D27" s="40" t="inlineStr">
        <is>
          <t>✅</t>
        </is>
      </c>
      <c r="E27" s="16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7" t="n">
        <v>2021</v>
      </c>
      <c r="D28" s="40" t="inlineStr">
        <is>
          <t>✅</t>
        </is>
      </c>
      <c r="E28" s="16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63" t="n">
        <v>25000000</v>
      </c>
      <c r="D29" s="40" t="inlineStr">
        <is>
          <t>✅</t>
        </is>
      </c>
      <c r="E29" s="16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7" t="n">
        <v>2025</v>
      </c>
      <c r="D30" s="40" t="inlineStr">
        <is>
          <t>✅</t>
        </is>
      </c>
      <c r="E30" s="16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63" t="n">
        <v>128000</v>
      </c>
      <c r="D31" s="40" t="inlineStr">
        <is>
          <t>⚠️</t>
        </is>
      </c>
      <c r="E31" s="16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7" t="n">
        <v>2000</v>
      </c>
      <c r="D32" s="40" t="inlineStr">
        <is>
          <t>⚠️</t>
        </is>
      </c>
      <c r="E32" s="16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63" t="n">
        <v>10000000</v>
      </c>
      <c r="D33" s="40" t="inlineStr">
        <is>
          <t>✅</t>
        </is>
      </c>
      <c r="E33" s="16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7" t="n">
        <v>2019</v>
      </c>
      <c r="D34" s="40" t="inlineStr">
        <is>
          <t>✅</t>
        </is>
      </c>
      <c r="E34" s="16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63" t="n">
        <v>7900000</v>
      </c>
      <c r="D35" s="40" t="inlineStr">
        <is>
          <t>✅</t>
        </is>
      </c>
      <c r="E35" s="16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7" t="n">
        <v>2014</v>
      </c>
      <c r="D36" s="40" t="inlineStr">
        <is>
          <t>✅</t>
        </is>
      </c>
      <c r="E36" s="16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3" t="inlineStr">
        <is>
          <t>Input</t>
        </is>
      </c>
      <c r="D38" s="23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53" t="n">
        <v>0.15</v>
      </c>
      <c r="D39" s="40" t="inlineStr">
        <is>
          <t>🔶</t>
        </is>
      </c>
      <c r="E39" s="16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53" t="n">
        <v>0.2</v>
      </c>
      <c r="D40" s="40" t="inlineStr">
        <is>
          <t>🔶</t>
        </is>
      </c>
      <c r="E40" s="16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53" t="n">
        <v>0.25</v>
      </c>
      <c r="D41" s="40" t="inlineStr">
        <is>
          <t>🔶</t>
        </is>
      </c>
      <c r="E41" s="16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3" t="inlineStr">
        <is>
          <t>Input</t>
        </is>
      </c>
      <c r="D43" s="23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53" t="n">
        <v>0.3</v>
      </c>
      <c r="D44" s="40" t="inlineStr">
        <is>
          <t>🔶</t>
        </is>
      </c>
      <c r="E44" s="16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74" t="n">
        <v>64</v>
      </c>
      <c r="D45" s="40" t="inlineStr">
        <is>
          <t>🔶</t>
        </is>
      </c>
      <c r="E45" s="16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74" t="n">
        <v>125</v>
      </c>
      <c r="D46" s="40" t="inlineStr">
        <is>
          <t>🔶</t>
        </is>
      </c>
      <c r="E46" s="16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74" t="n">
        <v>200</v>
      </c>
      <c r="D47" s="40" t="inlineStr">
        <is>
          <t>🔶</t>
        </is>
      </c>
      <c r="E47" s="16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63" t="n">
        <v>40000</v>
      </c>
      <c r="D48" s="40" t="inlineStr">
        <is>
          <t>🔶</t>
        </is>
      </c>
      <c r="E48" s="16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63" t="n">
        <v>55000</v>
      </c>
      <c r="D49" s="40" t="inlineStr">
        <is>
          <t>🔶</t>
        </is>
      </c>
      <c r="E49" s="16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63" t="n">
        <v>70000</v>
      </c>
      <c r="D50" s="40" t="inlineStr">
        <is>
          <t>🔶</t>
        </is>
      </c>
      <c r="E50" s="16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63" t="n">
        <v>600000</v>
      </c>
      <c r="D51" s="40" t="inlineStr">
        <is>
          <t>🔶</t>
        </is>
      </c>
      <c r="E51" s="16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74" t="n">
        <v>500</v>
      </c>
      <c r="D52" s="40" t="inlineStr">
        <is>
          <t>🔶</t>
        </is>
      </c>
      <c r="E52" s="16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5" t="n">
        <v>950</v>
      </c>
      <c r="D53" s="40" t="inlineStr">
        <is>
          <t>🔶</t>
        </is>
      </c>
      <c r="E53" s="16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53" t="n">
        <v>0.2</v>
      </c>
      <c r="D54" s="40" t="inlineStr">
        <is>
          <t>🔶</t>
        </is>
      </c>
      <c r="E54" s="16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53" t="n">
        <v>0.15</v>
      </c>
      <c r="D55" s="40" t="inlineStr">
        <is>
          <t>🔶</t>
        </is>
      </c>
      <c r="E55" s="16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68" t="n">
        <v>17100000</v>
      </c>
    </row>
    <row r="60" ht="15" customHeight="1">
      <c r="B60" s="7" t="inlineStr">
        <is>
          <t xml:space="preserve">   Land (SF)</t>
        </is>
      </c>
      <c r="C60" s="75" t="n">
        <v>67080</v>
      </c>
    </row>
    <row r="61" ht="15" customHeight="1">
      <c r="B61" s="7" t="inlineStr">
        <is>
          <t xml:space="preserve">   Land value ($/SF)</t>
        </is>
      </c>
      <c r="C61" s="74" t="n">
        <v>254.92</v>
      </c>
    </row>
    <row r="62" ht="15" customHeight="1">
      <c r="B62" s="7" t="inlineStr">
        <is>
          <t xml:space="preserve">   Market rent ($/SF NNN)</t>
        </is>
      </c>
      <c r="C62" s="74" t="n">
        <v>55</v>
      </c>
    </row>
    <row r="63" ht="15" customHeight="1">
      <c r="B63" s="7" t="inlineStr">
        <is>
          <t xml:space="preserve">   In-place occupancy</t>
        </is>
      </c>
      <c r="C63" s="53" t="n">
        <v>0.8317</v>
      </c>
    </row>
    <row r="64" ht="15" customHeight="1">
      <c r="B64" s="7" t="inlineStr">
        <is>
          <t xml:space="preserve">   Stabilized occupancy</t>
        </is>
      </c>
      <c r="C64" s="53" t="n">
        <v>0.95</v>
      </c>
    </row>
    <row r="65" ht="15" customHeight="1">
      <c r="B65" s="7" t="inlineStr">
        <is>
          <t xml:space="preserve">   Insurance ($/yr)</t>
        </is>
      </c>
      <c r="C65" s="63" t="n">
        <v>65000</v>
      </c>
    </row>
    <row r="66" ht="15" customHeight="1">
      <c r="B66" s="7" t="inlineStr">
        <is>
          <t xml:space="preserve">   CAM ($/yr, recoverable)</t>
        </is>
      </c>
      <c r="C66" s="63" t="n">
        <v>55000</v>
      </c>
    </row>
    <row r="67" ht="15" customHeight="1">
      <c r="B67" s="7" t="inlineStr">
        <is>
          <t xml:space="preserve">   Repairs &amp; maintenance ($/yr)</t>
        </is>
      </c>
      <c r="C67" s="63" t="n">
        <v>40000</v>
      </c>
    </row>
    <row r="68" ht="15" customHeight="1">
      <c r="B68" s="7" t="inlineStr">
        <is>
          <t xml:space="preserve">   Management fee (% EGR)</t>
        </is>
      </c>
      <c r="C68" s="53" t="n">
        <v>0.04</v>
      </c>
    </row>
    <row r="69" ht="15" customHeight="1">
      <c r="B69" s="7" t="inlineStr">
        <is>
          <t xml:space="preserve">   Going-in cap</t>
        </is>
      </c>
      <c r="C69" s="60" t="n">
        <v>0.06</v>
      </c>
    </row>
    <row r="70" ht="15" customHeight="1">
      <c r="B70" s="7" t="inlineStr">
        <is>
          <t xml:space="preserve">   Exit cap</t>
        </is>
      </c>
      <c r="C70" s="60" t="n">
        <v>0.06</v>
      </c>
    </row>
    <row r="71" ht="15" customHeight="1">
      <c r="B71" s="7" t="inlineStr">
        <is>
          <t xml:space="preserve">   Senior LTV</t>
        </is>
      </c>
      <c r="C71" s="53" t="n">
        <v>0.65</v>
      </c>
    </row>
    <row r="72" ht="15" customHeight="1">
      <c r="B72" s="7" t="inlineStr">
        <is>
          <t xml:space="preserve">   Senior rate</t>
        </is>
      </c>
      <c r="C72" s="60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68" t="n">
        <v>25000000</v>
      </c>
    </row>
    <row r="76" ht="15" customHeight="1">
      <c r="B76" s="7" t="inlineStr">
        <is>
          <t xml:space="preserve">   Land (SF)</t>
        </is>
      </c>
      <c r="C76" s="75" t="n">
        <v>109791</v>
      </c>
    </row>
    <row r="77" ht="15" customHeight="1">
      <c r="B77" s="7" t="inlineStr">
        <is>
          <t xml:space="preserve">   Land value ($/SF)</t>
        </is>
      </c>
      <c r="C77" s="74" t="n">
        <v>227.75</v>
      </c>
    </row>
    <row r="78" ht="15" customHeight="1">
      <c r="B78" s="7" t="inlineStr">
        <is>
          <t xml:space="preserve">   Publix leaseback rent ($/SF NNN)</t>
        </is>
      </c>
      <c r="C78" s="74" t="n">
        <v>22</v>
      </c>
    </row>
    <row r="79" ht="15" customHeight="1">
      <c r="B79" s="7" t="inlineStr">
        <is>
          <t xml:space="preserve">   Publix leaseback SF</t>
        </is>
      </c>
      <c r="C79" s="75" t="n">
        <v>34622</v>
      </c>
    </row>
    <row r="80" ht="15" customHeight="1">
      <c r="B80" s="7" t="inlineStr">
        <is>
          <t xml:space="preserve">   Starbucks pad rent ($/SF NNN)</t>
        </is>
      </c>
      <c r="C80" s="74" t="n">
        <v>60</v>
      </c>
    </row>
    <row r="81" ht="15" customHeight="1">
      <c r="B81" s="7" t="inlineStr">
        <is>
          <t xml:space="preserve">   Starbucks pad SF</t>
        </is>
      </c>
      <c r="C81" s="75" t="n">
        <v>2200</v>
      </c>
    </row>
    <row r="82" ht="15" customHeight="1">
      <c r="B82" s="7" t="inlineStr">
        <is>
          <t xml:space="preserve">   Leaseback term / entitlement (yrs)</t>
        </is>
      </c>
      <c r="C82" s="67" t="n">
        <v>4</v>
      </c>
    </row>
    <row r="83" ht="15" customHeight="1">
      <c r="B83" s="7" t="inlineStr">
        <is>
          <t xml:space="preserve">   In-place occupancy</t>
        </is>
      </c>
      <c r="C83" s="53" t="n">
        <v>1</v>
      </c>
    </row>
    <row r="84" ht="15" customHeight="1">
      <c r="B84" s="7" t="inlineStr">
        <is>
          <t xml:space="preserve">   Stabilized occupancy</t>
        </is>
      </c>
      <c r="C84" s="53" t="n">
        <v>1</v>
      </c>
    </row>
    <row r="85" ht="15" customHeight="1">
      <c r="B85" s="7" t="inlineStr">
        <is>
          <t xml:space="preserve">   Insurance ($/yr)</t>
        </is>
      </c>
      <c r="C85" s="63" t="n">
        <v>45000</v>
      </c>
    </row>
    <row r="86" ht="15" customHeight="1">
      <c r="B86" s="7" t="inlineStr">
        <is>
          <t xml:space="preserve">   CAM ($/yr, recoverable)</t>
        </is>
      </c>
      <c r="C86" s="63" t="n">
        <v>35000</v>
      </c>
    </row>
    <row r="87" ht="15" customHeight="1">
      <c r="B87" s="7" t="inlineStr">
        <is>
          <t xml:space="preserve">   Repairs &amp; maintenance ($/yr)</t>
        </is>
      </c>
      <c r="C87" s="63" t="n">
        <v>25000</v>
      </c>
    </row>
    <row r="88" ht="15" customHeight="1">
      <c r="B88" s="7" t="inlineStr">
        <is>
          <t xml:space="preserve">   Management fee (% EGR)</t>
        </is>
      </c>
      <c r="C88" s="53" t="n">
        <v>0.02</v>
      </c>
    </row>
    <row r="89" ht="15" customHeight="1">
      <c r="B89" s="7" t="inlineStr">
        <is>
          <t xml:space="preserve">   Going-in cap (reference)</t>
        </is>
      </c>
      <c r="C89" s="60" t="n">
        <v>0.06</v>
      </c>
    </row>
    <row r="90" ht="15" customHeight="1">
      <c r="B90" s="7" t="inlineStr">
        <is>
          <t xml:space="preserve">   Exit cap</t>
        </is>
      </c>
      <c r="C90" s="60" t="n">
        <v>0.0625</v>
      </c>
    </row>
    <row r="91" ht="15" customHeight="1">
      <c r="B91" s="7" t="inlineStr">
        <is>
          <t xml:space="preserve">   Senior LTV (covered-land, conservative)</t>
        </is>
      </c>
      <c r="C91" s="53" t="n">
        <v>0.45</v>
      </c>
    </row>
    <row r="92" ht="15" customHeight="1">
      <c r="B92" s="7" t="inlineStr">
        <is>
          <t xml:space="preserve">   Senior rate</t>
        </is>
      </c>
      <c r="C92" s="60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68" t="n">
        <v>8500000</v>
      </c>
    </row>
    <row r="96" ht="15" customHeight="1">
      <c r="B96" s="7" t="inlineStr">
        <is>
          <t xml:space="preserve">   Land (SF)</t>
        </is>
      </c>
      <c r="C96" s="75" t="n">
        <v>30928</v>
      </c>
    </row>
    <row r="97" ht="15" customHeight="1">
      <c r="B97" s="7" t="inlineStr">
        <is>
          <t xml:space="preserve">   Land value ($/SF)</t>
        </is>
      </c>
      <c r="C97" s="74" t="n">
        <v>248</v>
      </c>
    </row>
    <row r="98" ht="15" customHeight="1">
      <c r="B98" s="7" t="inlineStr">
        <is>
          <t xml:space="preserve">   Market rent ($/SF NNN)</t>
        </is>
      </c>
      <c r="C98" s="74" t="n">
        <v>34</v>
      </c>
    </row>
    <row r="99" ht="15" customHeight="1">
      <c r="B99" s="7" t="inlineStr">
        <is>
          <t xml:space="preserve">   In-place occupancy</t>
        </is>
      </c>
      <c r="C99" s="53" t="n">
        <v>0.801</v>
      </c>
    </row>
    <row r="100" ht="15" customHeight="1">
      <c r="B100" s="7" t="inlineStr">
        <is>
          <t xml:space="preserve">   Stabilized occupancy</t>
        </is>
      </c>
      <c r="C100" s="53" t="n">
        <v>0.95</v>
      </c>
    </row>
    <row r="101" ht="15" customHeight="1">
      <c r="B101" s="7" t="inlineStr">
        <is>
          <t xml:space="preserve">   Insurance ($/yr)</t>
        </is>
      </c>
      <c r="C101" s="63" t="n">
        <v>40000</v>
      </c>
    </row>
    <row r="102" ht="15" customHeight="1">
      <c r="B102" s="7" t="inlineStr">
        <is>
          <t xml:space="preserve">   CAM ($/yr, recoverable)</t>
        </is>
      </c>
      <c r="C102" s="63" t="n">
        <v>40000</v>
      </c>
    </row>
    <row r="103" ht="15" customHeight="1">
      <c r="B103" s="7" t="inlineStr">
        <is>
          <t xml:space="preserve">   Repairs &amp; maintenance ($/yr)</t>
        </is>
      </c>
      <c r="C103" s="63" t="n">
        <v>30000</v>
      </c>
    </row>
    <row r="104" ht="15" customHeight="1">
      <c r="B104" s="7" t="inlineStr">
        <is>
          <t xml:space="preserve">   Management fee (% EGR)</t>
        </is>
      </c>
      <c r="C104" s="53" t="n">
        <v>0.04</v>
      </c>
    </row>
    <row r="105" ht="15" customHeight="1">
      <c r="B105" s="7" t="inlineStr">
        <is>
          <t xml:space="preserve">   Going-in cap</t>
        </is>
      </c>
      <c r="C105" s="60" t="n">
        <v>0.075</v>
      </c>
    </row>
    <row r="106" ht="15" customHeight="1">
      <c r="B106" s="7" t="inlineStr">
        <is>
          <t xml:space="preserve">   Exit cap</t>
        </is>
      </c>
      <c r="C106" s="60" t="n">
        <v>0.0775</v>
      </c>
    </row>
    <row r="107" ht="15" customHeight="1">
      <c r="B107" s="7" t="inlineStr">
        <is>
          <t xml:space="preserve">   Senior LTV</t>
        </is>
      </c>
      <c r="C107" s="53" t="n">
        <v>0.6</v>
      </c>
    </row>
    <row r="108" ht="15" customHeight="1">
      <c r="B108" s="7" t="inlineStr">
        <is>
          <t xml:space="preserve">   Senior rate</t>
        </is>
      </c>
      <c r="C108" s="60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68" t="n">
        <v>21700000</v>
      </c>
    </row>
    <row r="112" ht="15" customHeight="1">
      <c r="B112" s="7" t="inlineStr">
        <is>
          <t xml:space="preserve">   Market rent ($/SF MG)</t>
        </is>
      </c>
      <c r="C112" s="74" t="n">
        <v>26</v>
      </c>
    </row>
    <row r="113" ht="15" customHeight="1">
      <c r="B113" s="7" t="inlineStr">
        <is>
          <t xml:space="preserve">   In-place occupancy</t>
        </is>
      </c>
      <c r="C113" s="53" t="n">
        <v>0.85</v>
      </c>
    </row>
    <row r="114" ht="15" customHeight="1">
      <c r="B114" s="7" t="inlineStr">
        <is>
          <t xml:space="preserve">   Stabilized occupancy</t>
        </is>
      </c>
      <c r="C114" s="53" t="n">
        <v>0.88</v>
      </c>
    </row>
    <row r="115" ht="15" customHeight="1">
      <c r="B115" s="7" t="inlineStr">
        <is>
          <t xml:space="preserve">   Office opex ex-taxes ($/SF, landlord)</t>
        </is>
      </c>
      <c r="C115" s="74" t="n">
        <v>8</v>
      </c>
    </row>
    <row r="116" ht="15" customHeight="1">
      <c r="B116" s="7" t="inlineStr">
        <is>
          <t xml:space="preserve">   Management fee (% EGR)</t>
        </is>
      </c>
      <c r="C116" s="53" t="n">
        <v>0.03</v>
      </c>
    </row>
    <row r="117" ht="15" customHeight="1">
      <c r="B117" s="7" t="inlineStr">
        <is>
          <t xml:space="preserve">   Going-in cap</t>
        </is>
      </c>
      <c r="C117" s="60" t="n">
        <v>0.08</v>
      </c>
    </row>
    <row r="118" ht="15" customHeight="1">
      <c r="B118" s="7" t="inlineStr">
        <is>
          <t xml:space="preserve">   Exit cap</t>
        </is>
      </c>
      <c r="C118" s="60" t="n">
        <v>0.0825</v>
      </c>
    </row>
    <row r="119" ht="15" customHeight="1">
      <c r="B119" s="7" t="inlineStr">
        <is>
          <t xml:space="preserve">   Senior LTV</t>
        </is>
      </c>
      <c r="C119" s="53" t="n">
        <v>0.55</v>
      </c>
    </row>
    <row r="120" ht="15" customHeight="1">
      <c r="B120" s="7" t="inlineStr">
        <is>
          <t xml:space="preserve">   Senior rate</t>
        </is>
      </c>
      <c r="C120" s="60" t="n">
        <v>0.075</v>
      </c>
    </row>
    <row r="121"/>
    <row r="122" ht="15" customHeight="1">
      <c r="B122" s="14" t="inlineStr">
        <is>
          <t>1040 Bayview — covered land (interim office)  ⚠️ reported parcel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68" t="n">
        <v>13000000</v>
      </c>
    </row>
    <row r="124" ht="15" customHeight="1">
      <c r="B124" s="7" t="inlineStr">
        <is>
          <t xml:space="preserve">   Interim office occupancy</t>
        </is>
      </c>
      <c r="C124" s="53" t="n">
        <v>0.72</v>
      </c>
    </row>
    <row r="125" ht="15" customHeight="1">
      <c r="B125" s="7" t="inlineStr">
        <is>
          <t xml:space="preserve">   Interim office rent ($/SF MG)</t>
        </is>
      </c>
      <c r="C125" s="74" t="n">
        <v>23</v>
      </c>
    </row>
    <row r="126" ht="15" customHeight="1">
      <c r="B126" s="7" t="inlineStr">
        <is>
          <t xml:space="preserve">   Interim office opex ($/SF)</t>
        </is>
      </c>
      <c r="C126" s="74" t="n">
        <v>8</v>
      </c>
    </row>
    <row r="127" ht="15" customHeight="1">
      <c r="B127" s="7" t="inlineStr">
        <is>
          <t xml:space="preserve">   Management fee (% EGR)</t>
        </is>
      </c>
      <c r="C127" s="53" t="n">
        <v>0.03</v>
      </c>
    </row>
    <row r="128" ht="15" customHeight="1">
      <c r="B128" s="7" t="inlineStr">
        <is>
          <t xml:space="preserve">   Land loan LTV</t>
        </is>
      </c>
      <c r="C128" s="53" t="n">
        <v>0.4</v>
      </c>
    </row>
    <row r="129" ht="15" customHeight="1">
      <c r="B129" s="7" t="inlineStr">
        <is>
          <t xml:space="preserve">   Land loan rate</t>
        </is>
      </c>
      <c r="C129" s="60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3" t="inlineStr">
        <is>
          <t>Current</t>
        </is>
      </c>
      <c r="D132" s="23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3">
        <f>'Assumptions'!C95</f>
        <v/>
      </c>
      <c r="D133" s="40" t="inlineStr">
        <is>
          <t>⚠️</t>
        </is>
      </c>
      <c r="E133" s="16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6">
        <f>'Sunrise Plaza'!C27</f>
        <v/>
      </c>
      <c r="D134" s="40" t="inlineStr">
        <is>
          <t>⚠️</t>
        </is>
      </c>
      <c r="E134" s="16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6">
        <f>'Assumptions'!C96</f>
        <v/>
      </c>
      <c r="D135" s="40" t="inlineStr">
        <is>
          <t>⚠️</t>
        </is>
      </c>
      <c r="E135" s="16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6">
        <f>'Office Condo'!C18</f>
        <v/>
      </c>
      <c r="D136" s="40" t="inlineStr">
        <is>
          <t>⚠️</t>
        </is>
      </c>
      <c r="E136" s="16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6">
        <f>'Office Condo'!D91</f>
        <v/>
      </c>
      <c r="D137" s="40" t="inlineStr">
        <is>
          <t>⚠️</t>
        </is>
      </c>
      <c r="E137" s="16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6">
        <f>'Office Condo'!D92</f>
        <v/>
      </c>
      <c r="D138" s="40" t="inlineStr">
        <is>
          <t>⚠️</t>
        </is>
      </c>
      <c r="E138" s="16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3">
        <f>'Assumptions'!C111</f>
        <v/>
      </c>
      <c r="D139" s="40" t="inlineStr">
        <is>
          <t>🔶</t>
        </is>
      </c>
      <c r="E139" s="16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6">
        <f>'Land'!C18</f>
        <v/>
      </c>
      <c r="D140" s="40" t="inlineStr">
        <is>
          <t>⚠️</t>
        </is>
      </c>
      <c r="E140" s="16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6">
        <f>'Land'!C19</f>
        <v/>
      </c>
      <c r="D141" s="40" t="inlineStr">
        <is>
          <t>⚠️</t>
        </is>
      </c>
      <c r="E141" s="16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6">
        <f>'Land'!C20</f>
        <v/>
      </c>
      <c r="D142" s="40" t="inlineStr">
        <is>
          <t>⚠️</t>
        </is>
      </c>
      <c r="E142" s="16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3">
        <f>'Land'!C21</f>
        <v/>
      </c>
      <c r="D143" s="40" t="inlineStr">
        <is>
          <t>⚠️</t>
        </is>
      </c>
      <c r="E143" s="16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15" t="inlineStr">
        <is>
          <t>How to use</t>
        </is>
      </c>
      <c r="D145" s="15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15" t="inlineStr">
        <is>
          <t>Filling in real data</t>
        </is>
      </c>
      <c r="D146" s="15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55" t="n">
        <v>1</v>
      </c>
      <c r="E11" s="55" t="n">
        <v>2</v>
      </c>
      <c r="F11" s="55" t="n">
        <v>3</v>
      </c>
      <c r="G11" s="55" t="n">
        <v>4</v>
      </c>
      <c r="H11" s="55" t="n">
        <v>5</v>
      </c>
      <c r="I11" s="55" t="n">
        <v>6</v>
      </c>
      <c r="J11" s="55" t="n">
        <v>7</v>
      </c>
      <c r="K11" s="55" t="n">
        <v>8</v>
      </c>
      <c r="L11" s="55" t="n">
        <v>9</v>
      </c>
      <c r="M11" s="55" t="n">
        <v>10</v>
      </c>
    </row>
    <row r="12" ht="15" customHeight="1">
      <c r="B12" s="16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20">
        <f>'Shahidi Retail'!D100</f>
        <v/>
      </c>
      <c r="E14" s="24">
        <f>'Shahidi Retail'!E100</f>
        <v/>
      </c>
      <c r="F14" s="24">
        <f>'Shahidi Retail'!F100</f>
        <v/>
      </c>
      <c r="G14" s="24">
        <f>'Shahidi Retail'!G100</f>
        <v/>
      </c>
      <c r="H14" s="24">
        <f>'Shahidi Retail'!H100</f>
        <v/>
      </c>
      <c r="I14" s="24">
        <f>'Shahidi Retail'!I100</f>
        <v/>
      </c>
      <c r="J14" s="24">
        <f>'Shahidi Retail'!J100</f>
        <v/>
      </c>
      <c r="K14" s="24">
        <f>'Shahidi Retail'!K100</f>
        <v/>
      </c>
      <c r="L14" s="24">
        <f>'Shahidi Retail'!L100</f>
        <v/>
      </c>
      <c r="M14" s="24">
        <f>'Shahidi Retail'!M100</f>
        <v/>
      </c>
    </row>
    <row r="15" ht="15" customHeight="1">
      <c r="B15" s="7" t="inlineStr">
        <is>
          <t xml:space="preserve">  Publix + Starbucks</t>
        </is>
      </c>
      <c r="D15" s="20">
        <f>'Publix &amp; Starbucks'!D87</f>
        <v/>
      </c>
      <c r="E15" s="24">
        <f>'Publix &amp; Starbucks'!E87</f>
        <v/>
      </c>
      <c r="F15" s="24">
        <f>'Publix &amp; Starbucks'!F87</f>
        <v/>
      </c>
      <c r="G15" s="24">
        <f>'Publix &amp; Starbucks'!G87</f>
        <v/>
      </c>
      <c r="H15" s="24">
        <f>'Publix &amp; Starbucks'!H87</f>
        <v/>
      </c>
      <c r="I15" s="24">
        <f>'Publix &amp; Starbucks'!I87</f>
        <v/>
      </c>
      <c r="J15" s="24">
        <f>'Publix &amp; Starbucks'!J87</f>
        <v/>
      </c>
      <c r="K15" s="24">
        <f>'Publix &amp; Starbucks'!K87</f>
        <v/>
      </c>
      <c r="L15" s="24">
        <f>'Publix &amp; Starbucks'!L87</f>
        <v/>
      </c>
      <c r="M15" s="24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20">
        <f>'Sunrise Plaza'!D90</f>
        <v/>
      </c>
      <c r="E16" s="24">
        <f>'Sunrise Plaza'!E90</f>
        <v/>
      </c>
      <c r="F16" s="24">
        <f>'Sunrise Plaza'!F90</f>
        <v/>
      </c>
      <c r="G16" s="24">
        <f>'Sunrise Plaza'!G90</f>
        <v/>
      </c>
      <c r="H16" s="24">
        <f>'Sunrise Plaza'!H90</f>
        <v/>
      </c>
      <c r="I16" s="24">
        <f>'Sunrise Plaza'!I90</f>
        <v/>
      </c>
      <c r="J16" s="24">
        <f>'Sunrise Plaza'!J90</f>
        <v/>
      </c>
      <c r="K16" s="24">
        <f>'Sunrise Plaza'!K90</f>
        <v/>
      </c>
      <c r="L16" s="24">
        <f>'Sunrise Plaza'!L90</f>
        <v/>
      </c>
      <c r="M16" s="24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20">
        <f>'Office Condo'!D62</f>
        <v/>
      </c>
      <c r="E17" s="24">
        <f>'Office Condo'!E62</f>
        <v/>
      </c>
      <c r="F17" s="24">
        <f>'Office Condo'!F62</f>
        <v/>
      </c>
      <c r="G17" s="24">
        <f>'Office Condo'!G62</f>
        <v/>
      </c>
      <c r="H17" s="24">
        <f>'Office Condo'!H62</f>
        <v/>
      </c>
      <c r="I17" s="24">
        <f>'Office Condo'!I62</f>
        <v/>
      </c>
      <c r="J17" s="24">
        <f>'Office Condo'!J62</f>
        <v/>
      </c>
      <c r="K17" s="24">
        <f>'Office Condo'!K62</f>
        <v/>
      </c>
      <c r="L17" s="24">
        <f>'Office Condo'!L62</f>
        <v/>
      </c>
      <c r="M17" s="24">
        <f>'Office Condo'!M62</f>
        <v/>
      </c>
    </row>
    <row r="18" ht="15" customHeight="1">
      <c r="B18" s="7" t="inlineStr">
        <is>
          <t xml:space="preserve">  1040 Bayview (interim office)</t>
        </is>
      </c>
      <c r="D18" s="20">
        <f>'Land'!D61</f>
        <v/>
      </c>
      <c r="E18" s="24">
        <f>'Land'!E61</f>
        <v/>
      </c>
      <c r="F18" s="24">
        <f>'Land'!F61</f>
        <v/>
      </c>
      <c r="G18" s="24">
        <f>'Land'!G61</f>
        <v/>
      </c>
      <c r="H18" s="24">
        <f>'Land'!H61</f>
        <v/>
      </c>
      <c r="I18" s="24">
        <f>'Land'!I61</f>
        <v/>
      </c>
      <c r="J18" s="24">
        <f>'Land'!J61</f>
        <v/>
      </c>
      <c r="K18" s="24">
        <f>'Land'!K61</f>
        <v/>
      </c>
      <c r="L18" s="24">
        <f>'Land'!L61</f>
        <v/>
      </c>
      <c r="M18" s="24">
        <f>'Land'!M61</f>
        <v/>
      </c>
    </row>
    <row r="19" ht="15" customHeight="1">
      <c r="B19" s="41" t="inlineStr">
        <is>
          <t>Consolidated NOI</t>
        </is>
      </c>
      <c r="D19" s="50">
        <f>SUM(D14:D18)</f>
        <v/>
      </c>
      <c r="E19" s="56">
        <f>SUM(E14:E18)</f>
        <v/>
      </c>
      <c r="F19" s="56">
        <f>SUM(F14:F18)</f>
        <v/>
      </c>
      <c r="G19" s="56">
        <f>SUM(G14:G18)</f>
        <v/>
      </c>
      <c r="H19" s="56">
        <f>SUM(H14:H18)</f>
        <v/>
      </c>
      <c r="I19" s="56">
        <f>SUM(I14:I18)</f>
        <v/>
      </c>
      <c r="J19" s="56">
        <f>SUM(J14:J18)</f>
        <v/>
      </c>
      <c r="K19" s="56">
        <f>SUM(K14:K18)</f>
        <v/>
      </c>
      <c r="L19" s="56">
        <f>SUM(L14:L18)</f>
        <v/>
      </c>
      <c r="M19" s="56">
        <f>SUM(M14:M18)</f>
        <v/>
      </c>
    </row>
    <row r="20" ht="15" customHeight="1">
      <c r="B20" s="7" t="inlineStr">
        <is>
          <t>Less: consolidated capital (reserves + leasing)</t>
        </is>
      </c>
      <c r="D20" s="24">
        <f>-('Shahidi Retail'!D104+'Publix &amp; Starbucks'!D91+'Sunrise Plaza'!D94+'Office Condo'!D63)</f>
        <v/>
      </c>
      <c r="E20" s="24">
        <f>-('Shahidi Retail'!E104+'Publix &amp; Starbucks'!E91+'Sunrise Plaza'!E94+'Office Condo'!E63)</f>
        <v/>
      </c>
      <c r="F20" s="24">
        <f>-('Shahidi Retail'!F104+'Publix &amp; Starbucks'!F91+'Sunrise Plaza'!F94+'Office Condo'!F63)</f>
        <v/>
      </c>
      <c r="G20" s="24">
        <f>-('Shahidi Retail'!G104+'Publix &amp; Starbucks'!G91+'Sunrise Plaza'!G94+'Office Condo'!G63)</f>
        <v/>
      </c>
      <c r="H20" s="24">
        <f>-('Shahidi Retail'!H104+'Publix &amp; Starbucks'!H91+'Sunrise Plaza'!H94+'Office Condo'!H63)</f>
        <v/>
      </c>
      <c r="I20" s="24">
        <f>-('Shahidi Retail'!I104+'Publix &amp; Starbucks'!I91+'Sunrise Plaza'!I94+'Office Condo'!I63)</f>
        <v/>
      </c>
      <c r="J20" s="24">
        <f>-('Shahidi Retail'!J104+'Publix &amp; Starbucks'!J91+'Sunrise Plaza'!J94+'Office Condo'!J63)</f>
        <v/>
      </c>
      <c r="K20" s="24">
        <f>-('Shahidi Retail'!K104+'Publix &amp; Starbucks'!K91+'Sunrise Plaza'!K94+'Office Condo'!K63)</f>
        <v/>
      </c>
      <c r="L20" s="24">
        <f>-('Shahidi Retail'!L104+'Publix &amp; Starbucks'!L91+'Sunrise Plaza'!L94+'Office Condo'!L63)</f>
        <v/>
      </c>
      <c r="M20" s="24">
        <f>-('Shahidi Retail'!M104+'Publix &amp; Starbucks'!M91+'Sunrise Plaza'!M94+'Office Condo'!M63)</f>
        <v/>
      </c>
    </row>
    <row r="21" ht="15" customHeight="1">
      <c r="B21" s="41" t="inlineStr">
        <is>
          <t>Consolidated unlevered operating CF</t>
        </is>
      </c>
      <c r="D21" s="50">
        <f>D19+D20</f>
        <v/>
      </c>
      <c r="E21" s="56">
        <f>E19+E20</f>
        <v/>
      </c>
      <c r="F21" s="56">
        <f>F19+F20</f>
        <v/>
      </c>
      <c r="G21" s="56">
        <f>G19+G20</f>
        <v/>
      </c>
      <c r="H21" s="56">
        <f>H19+H20</f>
        <v/>
      </c>
      <c r="I21" s="56">
        <f>I19+I20</f>
        <v/>
      </c>
      <c r="J21" s="56">
        <f>J19+J20</f>
        <v/>
      </c>
      <c r="K21" s="56">
        <f>K19+K20</f>
        <v/>
      </c>
      <c r="L21" s="56">
        <f>L19+L20</f>
        <v/>
      </c>
      <c r="M21" s="56">
        <f>M19+M20</f>
        <v/>
      </c>
    </row>
    <row r="22" ht="15" customHeight="1">
      <c r="B22" s="7" t="inlineStr">
        <is>
          <t>Consolidated reversion (net sale, exit yr)</t>
        </is>
      </c>
      <c r="D22" s="24">
        <f>'Shahidi Retail'!D108+'Publix &amp; Starbucks'!D95+'Sunrise Plaza'!D98+'Office Condo'!D67+'Land'!D62</f>
        <v/>
      </c>
      <c r="E22" s="24">
        <f>'Shahidi Retail'!E108+'Publix &amp; Starbucks'!E95+'Sunrise Plaza'!E98+'Office Condo'!E67+'Land'!E62</f>
        <v/>
      </c>
      <c r="F22" s="24">
        <f>'Shahidi Retail'!F108+'Publix &amp; Starbucks'!F95+'Sunrise Plaza'!F98+'Office Condo'!F67+'Land'!F62</f>
        <v/>
      </c>
      <c r="G22" s="24">
        <f>'Shahidi Retail'!G108+'Publix &amp; Starbucks'!G95+'Sunrise Plaza'!G98+'Office Condo'!G67+'Land'!G62</f>
        <v/>
      </c>
      <c r="H22" s="24">
        <f>'Shahidi Retail'!H108+'Publix &amp; Starbucks'!H95+'Sunrise Plaza'!H98+'Office Condo'!H67+'Land'!H62</f>
        <v/>
      </c>
      <c r="I22" s="24">
        <f>'Shahidi Retail'!I108+'Publix &amp; Starbucks'!I95+'Sunrise Plaza'!I98+'Office Condo'!I67+'Land'!I62</f>
        <v/>
      </c>
      <c r="J22" s="24">
        <f>'Shahidi Retail'!J108+'Publix &amp; Starbucks'!J95+'Sunrise Plaza'!J98+'Office Condo'!J67+'Land'!J62</f>
        <v/>
      </c>
      <c r="K22" s="24">
        <f>'Shahidi Retail'!K108+'Publix &amp; Starbucks'!K95+'Sunrise Plaza'!K98+'Office Condo'!K67+'Land'!K62</f>
        <v/>
      </c>
      <c r="L22" s="24">
        <f>'Shahidi Retail'!L108+'Publix &amp; Starbucks'!L95+'Sunrise Plaza'!L98+'Office Condo'!L67+'Land'!L62</f>
        <v/>
      </c>
      <c r="M22" s="24">
        <f>'Shahidi Retail'!M108+'Publix &amp; Starbucks'!M95+'Sunrise Plaza'!M98+'Office Condo'!M67+'Land'!M62</f>
        <v/>
      </c>
    </row>
    <row r="23"/>
    <row r="24">
      <c r="B24" s="5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1" t="inlineStr">
        <is>
          <t>Consolidated AS-IS in-place NOI</t>
        </is>
      </c>
      <c r="C25" s="77">
        <f>'Shahidi Retail'!C122+'Publix &amp; Starbucks'!C110+'Sunrise Plaza'!C113+'Office Condo'!C80+'Land'!C50</f>
        <v/>
      </c>
      <c r="D25" s="16" t="inlineStr">
        <is>
          <t>current occupancy, no lease-up (going-in)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41" t="inlineStr">
        <is>
          <t>Consolidated STABILIZED NOI (lease-up complete)</t>
        </is>
      </c>
      <c r="C26" s="77">
        <f>'Shahidi Retail'!C124+'Publix &amp; Starbucks'!C112+'Sunrise Plaza'!C115+'Office Condo'!C82+'Land'!C50</f>
        <v/>
      </c>
      <c r="D26" s="16" t="inlineStr">
        <is>
          <t>post lease-up (Shahidi to 95%, Sunrise to 95%, office to 88%)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Value creation (lease-up NOI gain)</t>
        </is>
      </c>
      <c r="C27" s="48">
        <f>C26-C25</f>
        <v/>
      </c>
    </row>
    <row r="28"/>
    <row r="29">
      <c r="B29" s="5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Blended going-in cap (as-is)</t>
        </is>
      </c>
      <c r="C30" s="37">
        <f>'Assumptions'!C6</f>
        <v/>
      </c>
      <c r="D30" s="16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Blended stabilized / exit cap</t>
        </is>
      </c>
      <c r="C31" s="37">
        <f>'Assumptions'!C7</f>
        <v/>
      </c>
      <c r="D31" s="16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Target unlevered yield (DCF discount)</t>
        </is>
      </c>
      <c r="C32" s="34">
        <f>'Assumptions'!C8</f>
        <v/>
      </c>
      <c r="D32" s="16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Blended NOI growth</t>
        </is>
      </c>
      <c r="C33" s="34">
        <f>'Assumptions'!C9</f>
        <v/>
      </c>
      <c r="D33" s="16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Hold period (yrs)</t>
        </is>
      </c>
      <c r="C34" s="78">
        <f>'Assumptions'!C10</f>
        <v/>
      </c>
      <c r="D34" s="16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Cost of sale at exit</t>
        </is>
      </c>
      <c r="C35" s="34">
        <f>'Assumptions'!C11</f>
        <v/>
      </c>
      <c r="D35" s="16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Doc-stamp / transfer tax (% price)</t>
        </is>
      </c>
      <c r="C36" s="37">
        <f>'Assumptions'!C21</f>
        <v/>
      </c>
      <c r="D36" s="16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Title insurance (% price)</t>
        </is>
      </c>
      <c r="C37" s="37">
        <f>'Assumptions'!C22</f>
        <v/>
      </c>
      <c r="D37" s="16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Legal &amp; due diligence (% price)</t>
        </is>
      </c>
      <c r="C38" s="37">
        <f>'Assumptions'!C23</f>
        <v/>
      </c>
      <c r="D38" s="16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Loan origination fee (% loan)</t>
        </is>
      </c>
      <c r="C39" s="37">
        <f>'Assumptions'!C24</f>
        <v/>
      </c>
      <c r="D39" s="16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Max senior LTV</t>
        </is>
      </c>
      <c r="C40" s="34">
        <f>'Assumptions'!C14</f>
        <v/>
      </c>
      <c r="D40" s="16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DSCR (sizing constraint)</t>
        </is>
      </c>
      <c r="C41" s="35">
        <f>'Assumptions'!C15</f>
        <v/>
      </c>
      <c r="D41" s="16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Min debt yield (sizing constraint)</t>
        </is>
      </c>
      <c r="C42" s="34">
        <f>'Assumptions'!C16</f>
        <v/>
      </c>
      <c r="D42" s="16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Senior rate</t>
        </is>
      </c>
      <c r="C43" s="37">
        <f>'Assumptions'!C17</f>
        <v/>
      </c>
      <c r="D43" s="16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Amortization (yrs)</t>
        </is>
      </c>
      <c r="C44" s="78">
        <f>'Assumptions'!C18</f>
        <v/>
      </c>
      <c r="D44" s="16" t="inlineStr">
        <is>
          <t>🟢 Assumptions tab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Monthly rate</t>
        </is>
      </c>
      <c r="C47" s="70">
        <f>C43/12</f>
        <v/>
      </c>
    </row>
    <row r="48" ht="15" customHeight="1">
      <c r="B48" s="7" t="inlineStr">
        <is>
          <t>Mortgage constant (annual)</t>
        </is>
      </c>
      <c r="C48" s="70">
        <f>(C47/(1-(1+C47)^(-C44*12)))*12</f>
        <v/>
      </c>
      <c r="D48" s="16" t="inlineStr">
        <is>
          <t>DS ÷ loan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Total transaction cost (% price)</t>
        </is>
      </c>
      <c r="C49" s="70">
        <f>C36+C37+C38</f>
        <v/>
      </c>
      <c r="D49" s="16" t="inlineStr">
        <is>
          <t>doc stamps + title + legal/DD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Σ unlevered operating CF, Yr 1–hold</t>
        </is>
      </c>
      <c r="C50" s="49">
        <f>SUM(D21:INDEX(D21:M21,C34))</f>
        <v/>
      </c>
    </row>
    <row r="51" ht="15" customHeight="1">
      <c r="B51" s="7" t="inlineStr">
        <is>
          <t>Exit-year consolidated NOI</t>
        </is>
      </c>
      <c r="C51" s="49">
        <f>INDEX(D19:M19,C34)</f>
        <v/>
      </c>
    </row>
    <row r="52" ht="15" customHeight="1">
      <c r="B52" s="7" t="inlineStr">
        <is>
          <t>Base-case consolidated reversion</t>
        </is>
      </c>
      <c r="C52" s="49">
        <f>INDEX(D22:M22,C34)</f>
        <v/>
      </c>
      <c r="D52" s="16" t="inlineStr">
        <is>
          <t>sum of asset reversions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/>
    <row r="54">
      <c r="B54" s="5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27" customHeight="1">
      <c r="B55" s="7" t="inlineStr">
        <is>
          <t>① Sum of the parts  (each asset at its OWN going-in cap)</t>
        </is>
      </c>
      <c r="C55" s="49">
        <f>('Shahidi Retail'!C122/'Shahidi Retail'!C63)+('Publix &amp; Starbucks'!C110/'Publix &amp; Starbucks'!C50)+('Sunrise Plaza'!C113/'Sunrise Plaza'!C53)+('Office Condo'!C80/'Office Condo'!C34)+'Land'!C51</f>
        <v/>
      </c>
      <c r="D55" s="16" t="inlineStr">
        <is>
          <t>reconciles to the asset tabs — the concluded income basis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 xml:space="preserve">   → implied blended going-in cap</t>
        </is>
      </c>
      <c r="C56" s="70">
        <f>C25/C55</f>
        <v/>
      </c>
      <c r="D56" s="16" t="inlineStr">
        <is>
          <t>as-is NOI ÷ sum-of-parts value — the TRUE weighted cap (an output, not a guess)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② At a single blended cap (input)</t>
        </is>
      </c>
      <c r="C57" s="49">
        <f>C25/C30</f>
        <v/>
      </c>
      <c r="D57" s="16" t="inlineStr">
        <is>
          <t>cross-check at the single blended-cap input — an alternative view, not the conclusion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③ Stabilized value  (stab NOI ÷ exit cap)</t>
        </is>
      </c>
      <c r="C58" s="49">
        <f>C26/C31</f>
        <v/>
      </c>
      <c r="D58" s="16" t="inlineStr">
        <is>
          <t>post lease-up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Valuation CF (op CF ≤ hold + reversion)</t>
        </is>
      </c>
      <c r="D59" s="49">
        <f>IF(1&lt;=C34,D21,0)+IF(1=C34,D22,0)</f>
        <v/>
      </c>
      <c r="E59" s="48">
        <f>IF(2&lt;=C34,E21,0)+IF(2=C34,E22,0)</f>
        <v/>
      </c>
      <c r="F59" s="48">
        <f>IF(3&lt;=C34,F21,0)+IF(3=C34,F22,0)</f>
        <v/>
      </c>
      <c r="G59" s="48">
        <f>IF(4&lt;=C34,G21,0)+IF(4=C34,G22,0)</f>
        <v/>
      </c>
      <c r="H59" s="48">
        <f>IF(5&lt;=C34,H21,0)+IF(5=C34,H22,0)</f>
        <v/>
      </c>
      <c r="I59" s="48">
        <f>IF(6&lt;=C34,I21,0)+IF(6=C34,I22,0)</f>
        <v/>
      </c>
      <c r="J59" s="48">
        <f>IF(7&lt;=C34,J21,0)+IF(7=C34,J22,0)</f>
        <v/>
      </c>
      <c r="K59" s="48">
        <f>IF(8&lt;=C34,K21,0)+IF(8=C34,K22,0)</f>
        <v/>
      </c>
      <c r="L59" s="48">
        <f>IF(9&lt;=C34,L21,0)+IF(9=C34,L22,0)</f>
        <v/>
      </c>
      <c r="M59" s="48">
        <f>IF(10&lt;=C34,M21,0)+IF(10=C34,M22,0)</f>
        <v/>
      </c>
    </row>
    <row r="60" ht="15" customHeight="1">
      <c r="B60" s="7" t="inlineStr">
        <is>
          <t>④ DCF value  (PV @ target unlevered yield)</t>
        </is>
      </c>
      <c r="C60" s="49">
        <f>NPV(C32,D59:M59)</f>
        <v/>
      </c>
      <c r="D60" s="16" t="inlineStr">
        <is>
          <t>price where unlevered IRR = target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CONCLUDED INCOME-BASED PURCHASE PRICE</t>
        </is>
      </c>
      <c r="C61" s="49">
        <f>C55</f>
        <v/>
      </c>
      <c r="D61" s="16" t="inlineStr">
        <is>
          <t>sum of the parts — each asset at its own cap; reconciles to the components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/>
    <row r="63">
      <c r="B63" s="5" t="inlineStr">
        <is>
          <t>SENIOR DEBT SIZING  —  lesser of LTV / DSCR / debt-yield  (sized on as-is NOI)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7" t="inlineStr">
        <is>
          <t>Loan by max LTV</t>
        </is>
      </c>
      <c r="C64" s="49">
        <f>C61*C40</f>
        <v/>
      </c>
    </row>
    <row r="65" ht="15" customHeight="1">
      <c r="B65" s="7" t="inlineStr">
        <is>
          <t>Loan by min DSCR</t>
        </is>
      </c>
      <c r="C65" s="49">
        <f>C25/(C41*C48)</f>
        <v/>
      </c>
    </row>
    <row r="66" ht="15" customHeight="1">
      <c r="B66" s="7" t="inlineStr">
        <is>
          <t>Loan by min debt yield</t>
        </is>
      </c>
      <c r="C66" s="49">
        <f>C25/C42</f>
        <v/>
      </c>
    </row>
    <row r="67" ht="15" customHeight="1">
      <c r="B67" s="7" t="inlineStr">
        <is>
          <t>SIZED SENIOR LOAN (binding constraint)</t>
        </is>
      </c>
      <c r="C67" s="49">
        <f>MIN(C64,C65,C66)</f>
        <v/>
      </c>
      <c r="D67" s="16">
        <f>IF(C67=C64,"LTV-constrained",IF(C67=C65,"DSCR-constrained","Debt-yield-constrained"))</f>
        <v/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7" t="inlineStr">
        <is>
          <t>Annual debt service</t>
        </is>
      </c>
      <c r="C68" s="49">
        <f>C67*C48</f>
        <v/>
      </c>
    </row>
    <row r="69" ht="15" customHeight="1">
      <c r="B69" s="7" t="inlineStr">
        <is>
          <t>Loan balance at exit</t>
        </is>
      </c>
      <c r="C69" s="49">
        <f>C67*(1+C47)^(12*C34)-(C68/12)*((1+C47)^(12*C34)-1)/C47</f>
        <v/>
      </c>
    </row>
    <row r="70" ht="15" customHeight="1">
      <c r="B70" s="7" t="inlineStr">
        <is>
          <t>Equity required (at income price)</t>
        </is>
      </c>
      <c r="C70" s="49">
        <f>C61*(1+C49)+C39*C67-C67</f>
        <v/>
      </c>
    </row>
    <row r="71"/>
    <row r="72">
      <c r="B72" s="5" t="inlineStr">
        <is>
          <t>SOURCES  &amp;  USES  (at the income-based price)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USES</t>
        </is>
      </c>
      <c r="C73" s="9" t="n"/>
      <c r="E73" s="14" t="inlineStr">
        <is>
          <t>SOURCES</t>
        </is>
      </c>
      <c r="F73" s="9" t="n"/>
    </row>
    <row r="74" ht="27" customHeight="1">
      <c r="B74" s="7" t="inlineStr">
        <is>
          <t xml:space="preserve">  Purchase price</t>
        </is>
      </c>
      <c r="C74" s="49">
        <f>C61</f>
        <v/>
      </c>
      <c r="E74" s="7" t="inlineStr">
        <is>
          <t xml:space="preserve">  Senior loan (sized)</t>
        </is>
      </c>
      <c r="F74" s="49">
        <f>C67</f>
        <v/>
      </c>
    </row>
    <row r="75" ht="27" customHeight="1">
      <c r="B75" s="7" t="inlineStr">
        <is>
          <t xml:space="preserve">  Doc-stamp / transfer tax</t>
        </is>
      </c>
      <c r="C75" s="48">
        <f>C61*C36</f>
        <v/>
      </c>
      <c r="E75" s="7" t="inlineStr">
        <is>
          <t xml:space="preserve">  Sponsor equity (plug)</t>
        </is>
      </c>
      <c r="F75" s="49">
        <f>C70</f>
        <v/>
      </c>
    </row>
    <row r="76" ht="15" customHeight="1">
      <c r="B76" s="7" t="inlineStr">
        <is>
          <t xml:space="preserve">  Title insurance</t>
        </is>
      </c>
      <c r="C76" s="48">
        <f>C61*C37</f>
        <v/>
      </c>
    </row>
    <row r="77" ht="15" customHeight="1">
      <c r="B77" s="7" t="inlineStr">
        <is>
          <t xml:space="preserve">  Legal &amp; due diligence</t>
        </is>
      </c>
      <c r="C77" s="48">
        <f>C61*C38</f>
        <v/>
      </c>
    </row>
    <row r="78" ht="15" customHeight="1">
      <c r="B78" s="7" t="inlineStr">
        <is>
          <t xml:space="preserve">  Loan origination fee</t>
        </is>
      </c>
      <c r="C78" s="48">
        <f>C39*C67</f>
        <v/>
      </c>
    </row>
    <row r="79" ht="15" customHeight="1">
      <c r="B79" s="41" t="inlineStr">
        <is>
          <t>TOTAL USES</t>
        </is>
      </c>
      <c r="C79" s="50">
        <f>SUM(C74:C78)</f>
        <v/>
      </c>
      <c r="E79" s="41" t="inlineStr">
        <is>
          <t>TOTAL SOURCES</t>
        </is>
      </c>
      <c r="F79" s="50">
        <f>F74+F75</f>
        <v/>
      </c>
    </row>
    <row r="80" ht="15" customHeight="1">
      <c r="B80" s="16" t="inlineStr">
        <is>
          <t>Check (sources − uses)</t>
        </is>
      </c>
      <c r="C80" s="48">
        <f>F79-C79</f>
        <v/>
      </c>
      <c r="E80" s="16" t="inlineStr">
        <is>
          <t>Loan-to-cost (LTC)</t>
        </is>
      </c>
      <c r="F80" s="51">
        <f>F74/C79</f>
        <v/>
      </c>
    </row>
    <row r="81"/>
    <row r="82">
      <c r="B82" s="5" t="inlineStr">
        <is>
          <t>PORTFOLIO RETURNS  —  consolidated cash-flow IRR at income price vs. covered-land price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Scenario</t>
        </is>
      </c>
      <c r="C83" s="23" t="inlineStr">
        <is>
          <t>① Income price</t>
        </is>
      </c>
      <c r="E83" s="23" t="inlineStr">
        <is>
          <t>② Covered-land (HBU)</t>
        </is>
      </c>
      <c r="F83" s="9" t="n"/>
    </row>
    <row r="84" ht="15" customHeight="1">
      <c r="B84" s="7" t="inlineStr">
        <is>
          <t>Purchase price</t>
        </is>
      </c>
      <c r="C84" s="49">
        <f>C61</f>
        <v/>
      </c>
      <c r="E84" s="49">
        <f>'Assemblage'!C29</f>
        <v/>
      </c>
      <c r="F84" s="9" t="n"/>
    </row>
    <row r="85" ht="15" customHeight="1">
      <c r="B85" s="7" t="inlineStr">
        <is>
          <t>Sized senior loan</t>
        </is>
      </c>
      <c r="C85" s="49">
        <f>C67</f>
        <v/>
      </c>
      <c r="E85" s="49">
        <f>MIN('Assemblage'!C29*C40,C65,C66)</f>
        <v/>
      </c>
      <c r="F85" s="9" t="n"/>
    </row>
    <row r="86" ht="15" customHeight="1">
      <c r="B86" s="7" t="inlineStr">
        <is>
          <t>Equity required</t>
        </is>
      </c>
      <c r="C86" s="49">
        <f>C61*(1+C49)+C39*C85-C85</f>
        <v/>
      </c>
      <c r="E86" s="49">
        <f>'Assemblage'!C29*(1+C49)+C39*E85-E85</f>
        <v/>
      </c>
      <c r="F86" s="9" t="n"/>
    </row>
    <row r="87" ht="15" customHeight="1">
      <c r="B87" s="7" t="inlineStr">
        <is>
          <t>Going-in cap (as-is NOI ÷ price)</t>
        </is>
      </c>
      <c r="C87" s="70">
        <f>C25/C61</f>
        <v/>
      </c>
      <c r="E87" s="70">
        <f>C25/'Assemblage'!C29</f>
        <v/>
      </c>
      <c r="F87" s="9" t="n"/>
    </row>
    <row r="88" ht="15" customHeight="1">
      <c r="B88" s="16" t="inlineStr">
        <is>
          <t xml:space="preserve">  Unlevered CF ① (acq + valuation CF)</t>
        </is>
      </c>
      <c r="C88" s="48">
        <f>-C61*(1+C49)</f>
        <v/>
      </c>
      <c r="D88" s="48">
        <f>D59</f>
        <v/>
      </c>
      <c r="E88" s="48">
        <f>E59</f>
        <v/>
      </c>
      <c r="F88" s="48">
        <f>F59</f>
        <v/>
      </c>
      <c r="G88" s="48">
        <f>G59</f>
        <v/>
      </c>
      <c r="H88" s="48">
        <f>H59</f>
        <v/>
      </c>
      <c r="I88" s="48">
        <f>I59</f>
        <v/>
      </c>
      <c r="J88" s="48">
        <f>J59</f>
        <v/>
      </c>
      <c r="K88" s="48">
        <f>K59</f>
        <v/>
      </c>
      <c r="L88" s="48">
        <f>L59</f>
        <v/>
      </c>
      <c r="M88" s="48">
        <f>M59</f>
        <v/>
      </c>
    </row>
    <row r="89" ht="15" customHeight="1">
      <c r="B89" s="16" t="inlineStr">
        <is>
          <t xml:space="preserve">  Unlevered CF ② (acq + valuation CF)</t>
        </is>
      </c>
      <c r="C89" s="48">
        <f>-'Assemblage'!C29*(1+C49)</f>
        <v/>
      </c>
      <c r="D89" s="48">
        <f>D59</f>
        <v/>
      </c>
      <c r="E89" s="48">
        <f>E59</f>
        <v/>
      </c>
      <c r="F89" s="48">
        <f>F59</f>
        <v/>
      </c>
      <c r="G89" s="48">
        <f>G59</f>
        <v/>
      </c>
      <c r="H89" s="48">
        <f>H59</f>
        <v/>
      </c>
      <c r="I89" s="48">
        <f>I59</f>
        <v/>
      </c>
      <c r="J89" s="48">
        <f>J59</f>
        <v/>
      </c>
      <c r="K89" s="48">
        <f>K59</f>
        <v/>
      </c>
      <c r="L89" s="48">
        <f>L59</f>
        <v/>
      </c>
      <c r="M89" s="48">
        <f>M59</f>
        <v/>
      </c>
    </row>
    <row r="90" ht="15" customHeight="1">
      <c r="B90" s="16" t="inlineStr">
        <is>
          <t xml:space="preserve">  Levered CF ① (equity)</t>
        </is>
      </c>
      <c r="C90" s="48">
        <f>-C86</f>
        <v/>
      </c>
      <c r="D90" s="48">
        <f>IF(1&lt;=C34,D21-C85*C48,0)+IF(1=C34,D22-(C85*(1+C47)^(12*C34)-(C85*C48/12)*((1+C47)^(12*C34)-1)/C47),0)</f>
        <v/>
      </c>
      <c r="E90" s="48">
        <f>IF(2&lt;=C34,E21-C85*C48,0)+IF(2=C34,E22-(C85*(1+C47)^(12*C34)-(C85*C48/12)*((1+C47)^(12*C34)-1)/C47),0)</f>
        <v/>
      </c>
      <c r="F90" s="48">
        <f>IF(3&lt;=C34,F21-C85*C48,0)+IF(3=C34,F22-(C85*(1+C47)^(12*C34)-(C85*C48/12)*((1+C47)^(12*C34)-1)/C47),0)</f>
        <v/>
      </c>
      <c r="G90" s="48">
        <f>IF(4&lt;=C34,G21-C85*C48,0)+IF(4=C34,G22-(C85*(1+C47)^(12*C34)-(C85*C48/12)*((1+C47)^(12*C34)-1)/C47),0)</f>
        <v/>
      </c>
      <c r="H90" s="48">
        <f>IF(5&lt;=C34,H21-C85*C48,0)+IF(5=C34,H22-(C85*(1+C47)^(12*C34)-(C85*C48/12)*((1+C47)^(12*C34)-1)/C47),0)</f>
        <v/>
      </c>
      <c r="I90" s="48">
        <f>IF(6&lt;=C34,I21-C85*C48,0)+IF(6=C34,I22-(C85*(1+C47)^(12*C34)-(C85*C48/12)*((1+C47)^(12*C34)-1)/C47),0)</f>
        <v/>
      </c>
      <c r="J90" s="48">
        <f>IF(7&lt;=C34,J21-C85*C48,0)+IF(7=C34,J22-(C85*(1+C47)^(12*C34)-(C85*C48/12)*((1+C47)^(12*C34)-1)/C47),0)</f>
        <v/>
      </c>
      <c r="K90" s="48">
        <f>IF(8&lt;=C34,K21-C85*C48,0)+IF(8=C34,K22-(C85*(1+C47)^(12*C34)-(C85*C48/12)*((1+C47)^(12*C34)-1)/C47),0)</f>
        <v/>
      </c>
      <c r="L90" s="48">
        <f>IF(9&lt;=C34,L21-C85*C48,0)+IF(9=C34,L22-(C85*(1+C47)^(12*C34)-(C85*C48/12)*((1+C47)^(12*C34)-1)/C47),0)</f>
        <v/>
      </c>
      <c r="M90" s="48">
        <f>IF(10&lt;=C34,M21-C85*C48,0)+IF(10=C34,M22-(C85*(1+C47)^(12*C34)-(C85*C48/12)*((1+C47)^(12*C34)-1)/C47),0)</f>
        <v/>
      </c>
    </row>
    <row r="91" ht="15" customHeight="1">
      <c r="B91" s="16" t="inlineStr">
        <is>
          <t xml:space="preserve">  Levered CF ② (equity)</t>
        </is>
      </c>
      <c r="C91" s="48">
        <f>-E86</f>
        <v/>
      </c>
      <c r="D91" s="48">
        <f>IF(1&lt;=C34,D21-E85*C48,0)+IF(1=C34,D22-(E85*(1+C47)^(12*C34)-(E85*C48/12)*((1+C47)^(12*C34)-1)/C47),0)</f>
        <v/>
      </c>
      <c r="E91" s="48">
        <f>IF(2&lt;=C34,E21-E85*C48,0)+IF(2=C34,E22-(E85*(1+C47)^(12*C34)-(E85*C48/12)*((1+C47)^(12*C34)-1)/C47),0)</f>
        <v/>
      </c>
      <c r="F91" s="48">
        <f>IF(3&lt;=C34,F21-E85*C48,0)+IF(3=C34,F22-(E85*(1+C47)^(12*C34)-(E85*C48/12)*((1+C47)^(12*C34)-1)/C47),0)</f>
        <v/>
      </c>
      <c r="G91" s="48">
        <f>IF(4&lt;=C34,G21-E85*C48,0)+IF(4=C34,G22-(E85*(1+C47)^(12*C34)-(E85*C48/12)*((1+C47)^(12*C34)-1)/C47),0)</f>
        <v/>
      </c>
      <c r="H91" s="48">
        <f>IF(5&lt;=C34,H21-E85*C48,0)+IF(5=C34,H22-(E85*(1+C47)^(12*C34)-(E85*C48/12)*((1+C47)^(12*C34)-1)/C47),0)</f>
        <v/>
      </c>
      <c r="I91" s="48">
        <f>IF(6&lt;=C34,I21-E85*C48,0)+IF(6=C34,I22-(E85*(1+C47)^(12*C34)-(E85*C48/12)*((1+C47)^(12*C34)-1)/C47),0)</f>
        <v/>
      </c>
      <c r="J91" s="48">
        <f>IF(7&lt;=C34,J21-E85*C48,0)+IF(7=C34,J22-(E85*(1+C47)^(12*C34)-(E85*C48/12)*((1+C47)^(12*C34)-1)/C47),0)</f>
        <v/>
      </c>
      <c r="K91" s="48">
        <f>IF(8&lt;=C34,K21-E85*C48,0)+IF(8=C34,K22-(E85*(1+C47)^(12*C34)-(E85*C48/12)*((1+C47)^(12*C34)-1)/C47),0)</f>
        <v/>
      </c>
      <c r="L91" s="48">
        <f>IF(9&lt;=C34,L21-E85*C48,0)+IF(9=C34,L22-(E85*(1+C47)^(12*C34)-(E85*C48/12)*((1+C47)^(12*C34)-1)/C47),0)</f>
        <v/>
      </c>
      <c r="M91" s="48">
        <f>IF(10&lt;=C34,M21-E85*C48,0)+IF(10=C34,M22-(E85*(1+C47)^(12*C34)-(E85*C48/12)*((1+C47)^(12*C34)-1)/C47),0)</f>
        <v/>
      </c>
    </row>
    <row r="92" ht="15" customHeight="1">
      <c r="B92" s="7" t="inlineStr">
        <is>
          <t>Unlevered IRR</t>
        </is>
      </c>
      <c r="C92" s="51">
        <f>IRR(C88:M88)</f>
        <v/>
      </c>
      <c r="E92" s="51">
        <f>IRR(C89:M89)</f>
        <v/>
      </c>
      <c r="F92" s="9" t="n"/>
    </row>
    <row r="93" ht="15" customHeight="1">
      <c r="B93" s="7" t="inlineStr">
        <is>
          <t>Unlevered equity multiple</t>
        </is>
      </c>
      <c r="C93" s="57">
        <f>SUM(D88:M88)/-C88</f>
        <v/>
      </c>
      <c r="E93" s="57">
        <f>SUM(D89:M89)/-C89</f>
        <v/>
      </c>
      <c r="F93" s="9" t="n"/>
    </row>
    <row r="94" ht="15" customHeight="1">
      <c r="B94" s="7" t="inlineStr">
        <is>
          <t>Levered IRR</t>
        </is>
      </c>
      <c r="C94" s="51">
        <f>IRR(C90:M90)</f>
        <v/>
      </c>
      <c r="E94" s="51">
        <f>IRR(C91:M91)</f>
        <v/>
      </c>
      <c r="F94" s="9" t="n"/>
    </row>
    <row r="95" ht="15" customHeight="1">
      <c r="B95" s="7" t="inlineStr">
        <is>
          <t>Levered equity multiple</t>
        </is>
      </c>
      <c r="C95" s="57">
        <f>SUM(D90:M90)/C86</f>
        <v/>
      </c>
      <c r="E95" s="57">
        <f>SUM(D91:M91)/E86</f>
        <v/>
      </c>
      <c r="F95" s="9" t="n"/>
    </row>
    <row r="96" ht="15" customHeight="1">
      <c r="B96" s="7" t="inlineStr">
        <is>
          <t>Year-1 DSCR</t>
        </is>
      </c>
      <c r="C96" s="57">
        <f>C25/(C85*C48)</f>
        <v/>
      </c>
      <c r="E96" s="57">
        <f>C25/(E85*C48)</f>
        <v/>
      </c>
      <c r="F96" s="9" t="n"/>
    </row>
    <row r="97" ht="15" customHeight="1">
      <c r="B97" s="16" t="inlineStr">
        <is>
          <t xml:space="preserve">  Cash-on-cash ① by year (levered)</t>
        </is>
      </c>
      <c r="D97" s="51">
        <f>IF(1&lt;=C34,(D21-C85*C48)/C86,0)</f>
        <v/>
      </c>
      <c r="E97" s="51">
        <f>IF(2&lt;=C34,(E21-C85*C48)/C86,0)</f>
        <v/>
      </c>
      <c r="F97" s="51">
        <f>IF(3&lt;=C34,(F21-C85*C48)/C86,0)</f>
        <v/>
      </c>
      <c r="G97" s="51">
        <f>IF(4&lt;=C34,(G21-C85*C48)/C86,0)</f>
        <v/>
      </c>
      <c r="H97" s="51">
        <f>IF(5&lt;=C34,(H21-C85*C48)/C86,0)</f>
        <v/>
      </c>
      <c r="I97" s="51">
        <f>IF(6&lt;=C34,(I21-C85*C48)/C86,0)</f>
        <v/>
      </c>
      <c r="J97" s="51">
        <f>IF(7&lt;=C34,(J21-C85*C48)/C86,0)</f>
        <v/>
      </c>
      <c r="K97" s="51">
        <f>IF(8&lt;=C34,(K21-C85*C48)/C86,0)</f>
        <v/>
      </c>
      <c r="L97" s="51">
        <f>IF(9&lt;=C34,(L21-C85*C48)/C86,0)</f>
        <v/>
      </c>
      <c r="M97" s="51">
        <f>IF(10&lt;=C34,(M21-C85*C48)/C86,0)</f>
        <v/>
      </c>
    </row>
    <row r="98" ht="15" customHeight="1">
      <c r="B98" s="7" t="inlineStr">
        <is>
          <t>Avg cash-on-cash (Yr 1–hold)</t>
        </is>
      </c>
      <c r="C98" s="51">
        <f>SUM(D97:M97)/C34</f>
        <v/>
      </c>
      <c r="E98" s="51">
        <f>(( C50-C34*E85*C48)/C34)/E86</f>
        <v/>
      </c>
      <c r="F98" s="9" t="n"/>
    </row>
    <row r="99"/>
    <row r="100">
      <c r="B100" s="5" t="inlineStr">
        <is>
          <t>COVERED-LAND JUSTIFICATION  —  land appreciation required to make the HBU price work</t>
        </is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3" t="n"/>
    </row>
    <row r="101" ht="15" customHeight="1">
      <c r="B101" s="7" t="inlineStr">
        <is>
          <t>Premium paid over income value</t>
        </is>
      </c>
      <c r="C101" s="49">
        <f>'Assemblage'!C29-C61</f>
        <v/>
      </c>
      <c r="D101" s="16" t="inlineStr">
        <is>
          <t>the dirt / optionality cost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Land CAGR over hold to recover the premium</t>
        </is>
      </c>
      <c r="C102" s="51">
        <f>((C61+C101)/C61)^(1/C34)-1</f>
        <v/>
      </c>
      <c r="D102" s="16" t="inlineStr">
        <is>
          <t>annual land-value growth needed just to break even on the premium at exit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 ht="27" customHeight="1">
      <c r="B103" s="15" t="inlineStr">
        <is>
          <t>Read</t>
        </is>
      </c>
      <c r="D103" s="15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 t="n"/>
    </row>
    <row r="104"/>
    <row r="105">
      <c r="B105" s="5" t="inlineStr">
        <is>
          <t>RETURN ATTRIBUTION  —  where the unlevered profit comes from  (at income price)</t>
        </is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3" t="n"/>
    </row>
    <row r="106" ht="15" customHeight="1">
      <c r="B106" s="7" t="inlineStr">
        <is>
          <t>Exit-year forward NOI (grown into sale)</t>
        </is>
      </c>
      <c r="C106" s="49">
        <f>C51*(1+C33)</f>
        <v/>
      </c>
    </row>
    <row r="107" ht="15" customHeight="1">
      <c r="B107" s="7" t="inlineStr">
        <is>
          <t>Gross exit value (from consolidated reversion)</t>
        </is>
      </c>
      <c r="C107" s="49">
        <f>C52/(1-C35)</f>
        <v/>
      </c>
    </row>
    <row r="108" ht="15" customHeight="1">
      <c r="B108" s="7" t="inlineStr">
        <is>
          <t>＋ Operating cash flow (Yr 1–hold)</t>
        </is>
      </c>
      <c r="C108" s="48">
        <f>C50</f>
        <v/>
      </c>
    </row>
    <row r="109" ht="15" customHeight="1">
      <c r="B109" s="7" t="inlineStr">
        <is>
          <t>＋ Value from NOI growth / lease-up</t>
        </is>
      </c>
      <c r="C109" s="48">
        <f>(C106-C25)/C56</f>
        <v/>
      </c>
    </row>
    <row r="110" ht="15" customHeight="1">
      <c r="B110" s="7" t="inlineStr">
        <is>
          <t>＋/− Value from cap-rate movement</t>
        </is>
      </c>
      <c r="C110" s="48">
        <f>C107-C106/C56</f>
        <v/>
      </c>
    </row>
    <row r="111" ht="15" customHeight="1">
      <c r="B111" s="7" t="inlineStr">
        <is>
          <t>− Cost of sale at exit</t>
        </is>
      </c>
      <c r="C111" s="48">
        <f>-C107*C35</f>
        <v/>
      </c>
    </row>
    <row r="112" ht="15" customHeight="1">
      <c r="B112" s="7" t="inlineStr">
        <is>
          <t>− Acquisition transaction costs</t>
        </is>
      </c>
      <c r="C112" s="48">
        <f>-C61*C49</f>
        <v/>
      </c>
    </row>
    <row r="113" ht="15" customHeight="1">
      <c r="B113" s="41" t="inlineStr">
        <is>
          <t>UNLEVERED PROFIT (sum of the above)</t>
        </is>
      </c>
      <c r="C113" s="50">
        <f>C108+C109+C110+C111+C112</f>
        <v/>
      </c>
    </row>
    <row r="114" ht="15" customHeight="1">
      <c r="B114" s="16" t="inlineStr">
        <is>
          <t>Check: Σ unlevered cash flow (income scenario)</t>
        </is>
      </c>
      <c r="C114" s="48">
        <f>SUM(C88:M88)</f>
        <v/>
      </c>
      <c r="D114" s="16" t="inlineStr">
        <is>
          <t>ties to unlevered profit above</t>
        </is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9" t="n"/>
    </row>
    <row r="115"/>
    <row r="116">
      <c r="B116" s="5" t="inlineStr">
        <is>
          <t>BREAK-EVEN  —  downside guardrails (at income price)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Σ levered operating CF (Yr 1–hold)</t>
        </is>
      </c>
      <c r="C117" s="49">
        <f>C50-C34*C68</f>
        <v/>
      </c>
    </row>
    <row r="118" ht="15" customHeight="1">
      <c r="B118" s="7" t="inlineStr">
        <is>
          <t>Break-even exit cap (return of capital, 1.00x)</t>
        </is>
      </c>
      <c r="C118" s="70">
        <f>C106*(1-C35)/(C86-C117+C69)</f>
        <v/>
      </c>
      <c r="D118" s="16" t="inlineStr">
        <is>
          <t>max exit cap before levered equity &lt; 1.0x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 ht="15" customHeight="1">
      <c r="B119" s="7" t="inlineStr">
        <is>
          <t>Cushion vs. underwritten exit cap</t>
        </is>
      </c>
      <c r="C119" s="70">
        <f>C118-C31</f>
        <v/>
      </c>
      <c r="D119" s="16" t="inlineStr">
        <is>
          <t>bps of exit-cap softening tolerable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/>
    <row r="121">
      <c r="B121" s="5" t="inlineStr">
        <is>
          <t>VALUATION BRIDGE  —  income basis vs. highest-and-best-use (covered land)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6" t="inlineStr">
        <is>
          <t>Income-based purchase price (this tab)</t>
        </is>
      </c>
      <c r="C122" s="49">
        <f>C61</f>
        <v/>
      </c>
      <c r="D122" s="16" t="inlineStr">
        <is>
          <t>what the combined cash flows support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6" t="inlineStr">
        <is>
          <t>HBU covered-land acquisition (Assemblage tab)</t>
        </is>
      </c>
      <c r="C123" s="20">
        <f>'Assemblage'!C29</f>
        <v/>
      </c>
      <c r="D123" s="16" t="inlineStr">
        <is>
          <t>land value + 20% assemblage premium to control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29" customHeight="1">
      <c r="B124" s="21" t="inlineStr">
        <is>
          <t>PREMIUM OVER INCOME VALUE (dirt + optionality)</t>
        </is>
      </c>
      <c r="C124" s="22">
        <f>C123-C122</f>
        <v/>
      </c>
    </row>
    <row r="125" ht="15" customHeight="1">
      <c r="B125" s="7" t="inlineStr">
        <is>
          <t>Premium as % of income value</t>
        </is>
      </c>
      <c r="C125" s="51">
        <f>C124/C122</f>
        <v/>
      </c>
    </row>
    <row r="126"/>
    <row r="127">
      <c r="B127" s="5" t="inlineStr">
        <is>
          <t>SENSITIVITY ①  —  income value  ($M)  ·  going-in cap (rows) × as-is NOI (cols)</t>
        </is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3" t="n"/>
    </row>
    <row r="128" ht="15" customHeight="1">
      <c r="B128" s="23" t="inlineStr">
        <is>
          <t>Cap  ╲  NOI</t>
        </is>
      </c>
      <c r="D128" s="79" t="n">
        <v>0.9</v>
      </c>
      <c r="E128" s="79" t="n">
        <v>0.95</v>
      </c>
      <c r="F128" s="79" t="n">
        <v>1</v>
      </c>
      <c r="G128" s="79" t="n">
        <v>1.05</v>
      </c>
      <c r="H128" s="79" t="n">
        <v>1.1</v>
      </c>
    </row>
    <row r="129">
      <c r="B129" s="60" t="n">
        <v>0.06</v>
      </c>
      <c r="D129" s="61">
        <f>C25*D128/B129/1000000</f>
        <v/>
      </c>
      <c r="E129" s="61">
        <f>C25*E128/B129/1000000</f>
        <v/>
      </c>
      <c r="F129" s="61">
        <f>C25*F128/B129/1000000</f>
        <v/>
      </c>
      <c r="G129" s="61">
        <f>C25*G128/B129/1000000</f>
        <v/>
      </c>
      <c r="H129" s="61">
        <f>C25*H128/B129/1000000</f>
        <v/>
      </c>
    </row>
    <row r="130">
      <c r="B130" s="60" t="n">
        <v>0.0625</v>
      </c>
      <c r="D130" s="61">
        <f>C25*D128/B130/1000000</f>
        <v/>
      </c>
      <c r="E130" s="61">
        <f>C25*E128/B130/1000000</f>
        <v/>
      </c>
      <c r="F130" s="61">
        <f>C25*F128/B130/1000000</f>
        <v/>
      </c>
      <c r="G130" s="61">
        <f>C25*G128/B130/1000000</f>
        <v/>
      </c>
      <c r="H130" s="61">
        <f>C25*H128/B130/1000000</f>
        <v/>
      </c>
    </row>
    <row r="131">
      <c r="B131" s="60" t="n">
        <v>0.065</v>
      </c>
      <c r="D131" s="61">
        <f>C25*D128/B131/1000000</f>
        <v/>
      </c>
      <c r="E131" s="61">
        <f>C25*E128/B131/1000000</f>
        <v/>
      </c>
      <c r="F131" s="61">
        <f>C25*F128/B131/1000000</f>
        <v/>
      </c>
      <c r="G131" s="61">
        <f>C25*G128/B131/1000000</f>
        <v/>
      </c>
      <c r="H131" s="61">
        <f>C25*H128/B131/1000000</f>
        <v/>
      </c>
    </row>
    <row r="132">
      <c r="B132" s="60" t="n">
        <v>0.0675</v>
      </c>
      <c r="D132" s="61">
        <f>C25*D128/B132/1000000</f>
        <v/>
      </c>
      <c r="E132" s="61">
        <f>C25*E128/B132/1000000</f>
        <v/>
      </c>
      <c r="F132" s="61">
        <f>C25*F128/B132/1000000</f>
        <v/>
      </c>
      <c r="G132" s="61">
        <f>C25*G128/B132/1000000</f>
        <v/>
      </c>
      <c r="H132" s="61">
        <f>C25*H128/B132/1000000</f>
        <v/>
      </c>
    </row>
    <row r="133">
      <c r="B133" s="60" t="n">
        <v>0.07000000000000001</v>
      </c>
      <c r="D133" s="61">
        <f>C25*D128/B133/1000000</f>
        <v/>
      </c>
      <c r="E133" s="61">
        <f>C25*E128/B133/1000000</f>
        <v/>
      </c>
      <c r="F133" s="61">
        <f>C25*F128/B133/1000000</f>
        <v/>
      </c>
      <c r="G133" s="61">
        <f>C25*G128/B133/1000000</f>
        <v/>
      </c>
      <c r="H133" s="61">
        <f>C25*H128/B133/1000000</f>
        <v/>
      </c>
    </row>
    <row r="134"/>
    <row r="135">
      <c r="B135" s="5" t="inlineStr">
        <is>
          <t>SENSITIVITY ②  —  levered equity multiple  ·  purchase price (rows) × exit cap (cols)</t>
        </is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3" t="n"/>
    </row>
    <row r="136" ht="15" customHeight="1">
      <c r="B136" s="23" t="inlineStr">
        <is>
          <t>Price ╲ exit cap</t>
        </is>
      </c>
      <c r="D136" s="60" t="n">
        <v>0.06</v>
      </c>
      <c r="E136" s="60" t="n">
        <v>0.065</v>
      </c>
      <c r="F136" s="60" t="n">
        <v>0.07000000000000001</v>
      </c>
      <c r="G136" s="60" t="n">
        <v>0.075</v>
      </c>
      <c r="H136" s="60" t="n">
        <v>0.08</v>
      </c>
    </row>
    <row r="137">
      <c r="B137" s="63" t="n">
        <v>65000000</v>
      </c>
      <c r="D137" s="62">
        <f>(C50-C34*(MIN(B137*C40,C65,C66)*C48)+(C52*C31/D136)-(MIN(B137*C40,C65,C66)*(1+C47)^(12*C34)-((MIN(B137*C40,C65,C66)*C48)/12)*((1+C47)^(12*C34)-1)/C47))/(B137*(1+C49)-MIN(B137*C40,C65,C66))</f>
        <v/>
      </c>
      <c r="E137" s="62">
        <f>(C50-C34*(MIN(B137*C40,C65,C66)*C48)+(C52*C31/E136)-(MIN(B137*C40,C65,C66)*(1+C47)^(12*C34)-((MIN(B137*C40,C65,C66)*C48)/12)*((1+C47)^(12*C34)-1)/C47))/(B137*(1+C49)-MIN(B137*C40,C65,C66))</f>
        <v/>
      </c>
      <c r="F137" s="62">
        <f>(C50-C34*(MIN(B137*C40,C65,C66)*C48)+(C52*C31/F136)-(MIN(B137*C40,C65,C66)*(1+C47)^(12*C34)-((MIN(B137*C40,C65,C66)*C48)/12)*((1+C47)^(12*C34)-1)/C47))/(B137*(1+C49)-MIN(B137*C40,C65,C66))</f>
        <v/>
      </c>
      <c r="G137" s="62">
        <f>(C50-C34*(MIN(B137*C40,C65,C66)*C48)+(C52*C31/G136)-(MIN(B137*C40,C65,C66)*(1+C47)^(12*C34)-((MIN(B137*C40,C65,C66)*C48)/12)*((1+C47)^(12*C34)-1)/C47))/(B137*(1+C49)-MIN(B137*C40,C65,C66))</f>
        <v/>
      </c>
      <c r="H137" s="62">
        <f>(C50-C34*(MIN(B137*C40,C65,C66)*C48)+(C52*C31/H136)-(MIN(B137*C40,C65,C66)*(1+C47)^(12*C34)-((MIN(B137*C40,C65,C66)*C48)/12)*((1+C47)^(12*C34)-1)/C47))/(B137*(1+C49)-MIN(B137*C40,C65,C66))</f>
        <v/>
      </c>
    </row>
    <row r="138">
      <c r="B138" s="63" t="n">
        <v>75000000</v>
      </c>
      <c r="D138" s="62">
        <f>(C50-C34*(MIN(B138*C40,C65,C66)*C48)+(C52*C31/D136)-(MIN(B138*C40,C65,C66)*(1+C47)^(12*C34)-((MIN(B138*C40,C65,C66)*C48)/12)*((1+C47)^(12*C34)-1)/C47))/(B138*(1+C49)-MIN(B138*C40,C65,C66))</f>
        <v/>
      </c>
      <c r="E138" s="62">
        <f>(C50-C34*(MIN(B138*C40,C65,C66)*C48)+(C52*C31/E136)-(MIN(B138*C40,C65,C66)*(1+C47)^(12*C34)-((MIN(B138*C40,C65,C66)*C48)/12)*((1+C47)^(12*C34)-1)/C47))/(B138*(1+C49)-MIN(B138*C40,C65,C66))</f>
        <v/>
      </c>
      <c r="F138" s="62">
        <f>(C50-C34*(MIN(B138*C40,C65,C66)*C48)+(C52*C31/F136)-(MIN(B138*C40,C65,C66)*(1+C47)^(12*C34)-((MIN(B138*C40,C65,C66)*C48)/12)*((1+C47)^(12*C34)-1)/C47))/(B138*(1+C49)-MIN(B138*C40,C65,C66))</f>
        <v/>
      </c>
      <c r="G138" s="62">
        <f>(C50-C34*(MIN(B138*C40,C65,C66)*C48)+(C52*C31/G136)-(MIN(B138*C40,C65,C66)*(1+C47)^(12*C34)-((MIN(B138*C40,C65,C66)*C48)/12)*((1+C47)^(12*C34)-1)/C47))/(B138*(1+C49)-MIN(B138*C40,C65,C66))</f>
        <v/>
      </c>
      <c r="H138" s="62">
        <f>(C50-C34*(MIN(B138*C40,C65,C66)*C48)+(C52*C31/H136)-(MIN(B138*C40,C65,C66)*(1+C47)^(12*C34)-((MIN(B138*C40,C65,C66)*C48)/12)*((1+C47)^(12*C34)-1)/C47))/(B138*(1+C49)-MIN(B138*C40,C65,C66))</f>
        <v/>
      </c>
    </row>
    <row r="139">
      <c r="B139" s="63" t="n">
        <v>85000000</v>
      </c>
      <c r="D139" s="62">
        <f>(C50-C34*(MIN(B139*C40,C65,C66)*C48)+(C52*C31/D136)-(MIN(B139*C40,C65,C66)*(1+C47)^(12*C34)-((MIN(B139*C40,C65,C66)*C48)/12)*((1+C47)^(12*C34)-1)/C47))/(B139*(1+C49)-MIN(B139*C40,C65,C66))</f>
        <v/>
      </c>
      <c r="E139" s="62">
        <f>(C50-C34*(MIN(B139*C40,C65,C66)*C48)+(C52*C31/E136)-(MIN(B139*C40,C65,C66)*(1+C47)^(12*C34)-((MIN(B139*C40,C65,C66)*C48)/12)*((1+C47)^(12*C34)-1)/C47))/(B139*(1+C49)-MIN(B139*C40,C65,C66))</f>
        <v/>
      </c>
      <c r="F139" s="62">
        <f>(C50-C34*(MIN(B139*C40,C65,C66)*C48)+(C52*C31/F136)-(MIN(B139*C40,C65,C66)*(1+C47)^(12*C34)-((MIN(B139*C40,C65,C66)*C48)/12)*((1+C47)^(12*C34)-1)/C47))/(B139*(1+C49)-MIN(B139*C40,C65,C66))</f>
        <v/>
      </c>
      <c r="G139" s="62">
        <f>(C50-C34*(MIN(B139*C40,C65,C66)*C48)+(C52*C31/G136)-(MIN(B139*C40,C65,C66)*(1+C47)^(12*C34)-((MIN(B139*C40,C65,C66)*C48)/12)*((1+C47)^(12*C34)-1)/C47))/(B139*(1+C49)-MIN(B139*C40,C65,C66))</f>
        <v/>
      </c>
      <c r="H139" s="62">
        <f>(C50-C34*(MIN(B139*C40,C65,C66)*C48)+(C52*C31/H136)-(MIN(B139*C40,C65,C66)*(1+C47)^(12*C34)-((MIN(B139*C40,C65,C66)*C48)/12)*((1+C47)^(12*C34)-1)/C47))/(B139*(1+C49)-MIN(B139*C40,C65,C66))</f>
        <v/>
      </c>
    </row>
    <row r="140">
      <c r="B140" s="63" t="n">
        <v>95000000</v>
      </c>
      <c r="D140" s="62">
        <f>(C50-C34*(MIN(B140*C40,C65,C66)*C48)+(C52*C31/D136)-(MIN(B140*C40,C65,C66)*(1+C47)^(12*C34)-((MIN(B140*C40,C65,C66)*C48)/12)*((1+C47)^(12*C34)-1)/C47))/(B140*(1+C49)-MIN(B140*C40,C65,C66))</f>
        <v/>
      </c>
      <c r="E140" s="62">
        <f>(C50-C34*(MIN(B140*C40,C65,C66)*C48)+(C52*C31/E136)-(MIN(B140*C40,C65,C66)*(1+C47)^(12*C34)-((MIN(B140*C40,C65,C66)*C48)/12)*((1+C47)^(12*C34)-1)/C47))/(B140*(1+C49)-MIN(B140*C40,C65,C66))</f>
        <v/>
      </c>
      <c r="F140" s="62">
        <f>(C50-C34*(MIN(B140*C40,C65,C66)*C48)+(C52*C31/F136)-(MIN(B140*C40,C65,C66)*(1+C47)^(12*C34)-((MIN(B140*C40,C65,C66)*C48)/12)*((1+C47)^(12*C34)-1)/C47))/(B140*(1+C49)-MIN(B140*C40,C65,C66))</f>
        <v/>
      </c>
      <c r="G140" s="62">
        <f>(C50-C34*(MIN(B140*C40,C65,C66)*C48)+(C52*C31/G136)-(MIN(B140*C40,C65,C66)*(1+C47)^(12*C34)-((MIN(B140*C40,C65,C66)*C48)/12)*((1+C47)^(12*C34)-1)/C47))/(B140*(1+C49)-MIN(B140*C40,C65,C66))</f>
        <v/>
      </c>
      <c r="H140" s="62">
        <f>(C50-C34*(MIN(B140*C40,C65,C66)*C48)+(C52*C31/H136)-(MIN(B140*C40,C65,C66)*(1+C47)^(12*C34)-((MIN(B140*C40,C65,C66)*C48)/12)*((1+C47)^(12*C34)-1)/C47))/(B140*(1+C49)-MIN(B140*C40,C65,C66))</f>
        <v/>
      </c>
    </row>
    <row r="141">
      <c r="B141" s="63" t="n">
        <v>102000000</v>
      </c>
      <c r="D141" s="62">
        <f>(C50-C34*(MIN(B141*C40,C65,C66)*C48)+(C52*C31/D136)-(MIN(B141*C40,C65,C66)*(1+C47)^(12*C34)-((MIN(B141*C40,C65,C66)*C48)/12)*((1+C47)^(12*C34)-1)/C47))/(B141*(1+C49)-MIN(B141*C40,C65,C66))</f>
        <v/>
      </c>
      <c r="E141" s="62">
        <f>(C50-C34*(MIN(B141*C40,C65,C66)*C48)+(C52*C31/E136)-(MIN(B141*C40,C65,C66)*(1+C47)^(12*C34)-((MIN(B141*C40,C65,C66)*C48)/12)*((1+C47)^(12*C34)-1)/C47))/(B141*(1+C49)-MIN(B141*C40,C65,C66))</f>
        <v/>
      </c>
      <c r="F141" s="62">
        <f>(C50-C34*(MIN(B141*C40,C65,C66)*C48)+(C52*C31/F136)-(MIN(B141*C40,C65,C66)*(1+C47)^(12*C34)-((MIN(B141*C40,C65,C66)*C48)/12)*((1+C47)^(12*C34)-1)/C47))/(B141*(1+C49)-MIN(B141*C40,C65,C66))</f>
        <v/>
      </c>
      <c r="G141" s="62">
        <f>(C50-C34*(MIN(B141*C40,C65,C66)*C48)+(C52*C31/G136)-(MIN(B141*C40,C65,C66)*(1+C47)^(12*C34)-((MIN(B141*C40,C65,C66)*C48)/12)*((1+C47)^(12*C34)-1)/C47))/(B141*(1+C49)-MIN(B141*C40,C65,C66))</f>
        <v/>
      </c>
      <c r="H141" s="62">
        <f>(C50-C34*(MIN(B141*C40,C65,C66)*C48)+(C52*C31/H136)-(MIN(B141*C40,C65,C66)*(1+C47)^(12*C34)-((MIN(B141*C40,C65,C66)*C48)/12)*((1+C47)^(12*C34)-1)/C47))/(B141*(1+C49)-MIN(B141*C40,C65,C66))</f>
        <v/>
      </c>
    </row>
    <row r="142"/>
    <row r="143" ht="25" customHeight="1">
      <c r="B143" s="16" t="inlineStr">
        <is>
          <t>Note</t>
        </is>
      </c>
      <c r="D143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9" t="n"/>
    </row>
  </sheetData>
  <mergeCells count="71">
    <mergeCell ref="B2:M2"/>
    <mergeCell ref="D37:M37"/>
    <mergeCell ref="D102:M102"/>
    <mergeCell ref="D122:M122"/>
    <mergeCell ref="D118:M118"/>
    <mergeCell ref="D56:M56"/>
    <mergeCell ref="D58:M58"/>
    <mergeCell ref="E98:F98"/>
    <mergeCell ref="D143:M143"/>
    <mergeCell ref="B8:M8"/>
    <mergeCell ref="D30:M30"/>
    <mergeCell ref="D25:M25"/>
    <mergeCell ref="D39:M39"/>
    <mergeCell ref="E83:F83"/>
    <mergeCell ref="D114:M114"/>
    <mergeCell ref="B1:M1"/>
    <mergeCell ref="B13:M13"/>
    <mergeCell ref="D55:M55"/>
    <mergeCell ref="D42:M42"/>
    <mergeCell ref="B82:M82"/>
    <mergeCell ref="D38:M38"/>
    <mergeCell ref="B29:M29"/>
    <mergeCell ref="D33:M33"/>
    <mergeCell ref="D67:M67"/>
    <mergeCell ref="E92:F92"/>
    <mergeCell ref="E73:F73"/>
    <mergeCell ref="B116:M116"/>
    <mergeCell ref="E87:F87"/>
    <mergeCell ref="B10:M10"/>
    <mergeCell ref="D123:M123"/>
    <mergeCell ref="D35:M35"/>
    <mergeCell ref="D26:M26"/>
    <mergeCell ref="D44:M44"/>
    <mergeCell ref="D60:M60"/>
    <mergeCell ref="E94:F94"/>
    <mergeCell ref="B127:M127"/>
    <mergeCell ref="E84:F84"/>
    <mergeCell ref="D34:M34"/>
    <mergeCell ref="D119:M119"/>
    <mergeCell ref="B73:C73"/>
    <mergeCell ref="B6:M6"/>
    <mergeCell ref="B24:M24"/>
    <mergeCell ref="D31:M31"/>
    <mergeCell ref="B5:M5"/>
    <mergeCell ref="D40:M40"/>
    <mergeCell ref="D36:M36"/>
    <mergeCell ref="E86:F86"/>
    <mergeCell ref="B63:M63"/>
    <mergeCell ref="E95:F95"/>
    <mergeCell ref="D101:M101"/>
    <mergeCell ref="D52:M52"/>
    <mergeCell ref="B105:M105"/>
    <mergeCell ref="D57:M57"/>
    <mergeCell ref="B135:M135"/>
    <mergeCell ref="B4:M4"/>
    <mergeCell ref="D49:M49"/>
    <mergeCell ref="B54:M54"/>
    <mergeCell ref="D41:M41"/>
    <mergeCell ref="B100:M100"/>
    <mergeCell ref="B7:M7"/>
    <mergeCell ref="D32:M32"/>
    <mergeCell ref="D61:M61"/>
    <mergeCell ref="B72:M72"/>
    <mergeCell ref="E85:F85"/>
    <mergeCell ref="D48:M48"/>
    <mergeCell ref="B46:M46"/>
    <mergeCell ref="B121:M121"/>
    <mergeCell ref="E93:F93"/>
    <mergeCell ref="D43:M43"/>
    <mergeCell ref="E96:F96"/>
    <mergeCell ref="D103:M103"/>
  </mergeCells>
  <conditionalFormatting sqref="D129:H1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7:H1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3" t="inlineStr">
        <is>
          <t>NOI achieved</t>
        </is>
      </c>
      <c r="D5" s="23" t="inlineStr">
        <is>
          <t>Exit cap</t>
        </is>
      </c>
      <c r="E5" s="23" t="inlineStr">
        <is>
          <t>Senior rate</t>
        </is>
      </c>
    </row>
    <row r="6" ht="15" customHeight="1">
      <c r="B6" s="6" t="inlineStr">
        <is>
          <t>Downside</t>
        </is>
      </c>
      <c r="C6" s="79" t="n">
        <v>0.92</v>
      </c>
      <c r="D6" s="60" t="n">
        <v>0.0725</v>
      </c>
      <c r="E6" s="60" t="n">
        <v>0.0725</v>
      </c>
    </row>
    <row r="7" ht="15" customHeight="1">
      <c r="B7" s="6" t="inlineStr">
        <is>
          <t>Base</t>
        </is>
      </c>
      <c r="C7" s="79" t="n">
        <v>1</v>
      </c>
      <c r="D7" s="60" t="n">
        <v>0.0675</v>
      </c>
      <c r="E7" s="60" t="n">
        <v>0.065</v>
      </c>
    </row>
    <row r="8" ht="15" customHeight="1">
      <c r="B8" s="6" t="inlineStr">
        <is>
          <t>Upside</t>
        </is>
      </c>
      <c r="C8" s="79" t="n">
        <v>1.06</v>
      </c>
      <c r="D8" s="60" t="n">
        <v>0.0625</v>
      </c>
      <c r="E8" s="60" t="n">
        <v>0.06</v>
      </c>
    </row>
    <row r="9" ht="15" customHeight="1">
      <c r="B9" s="16" t="inlineStr">
        <is>
          <t>Base income price (fixed basis)</t>
        </is>
      </c>
      <c r="C9" s="24">
        <f>'Income Valuation'!C61</f>
        <v/>
      </c>
      <c r="E9" s="16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3" t="inlineStr">
        <is>
          <t>0/Acq</t>
        </is>
      </c>
      <c r="D12" s="55" t="n">
        <v>1</v>
      </c>
      <c r="E12" s="55" t="n">
        <v>2</v>
      </c>
      <c r="F12" s="55" t="n">
        <v>3</v>
      </c>
      <c r="G12" s="55" t="n">
        <v>4</v>
      </c>
      <c r="H12" s="55" t="n">
        <v>5</v>
      </c>
      <c r="I12" s="55" t="n">
        <v>6</v>
      </c>
      <c r="J12" s="55" t="n">
        <v>7</v>
      </c>
      <c r="K12" s="55" t="n">
        <v>8</v>
      </c>
      <c r="L12" s="55" t="n">
        <v>9</v>
      </c>
      <c r="M12" s="55" t="n">
        <v>10</v>
      </c>
    </row>
    <row r="13" ht="15" customHeight="1">
      <c r="B13" s="16" t="inlineStr">
        <is>
          <t xml:space="preserve">  Downside — unlevered CF</t>
        </is>
      </c>
      <c r="C13" s="48">
        <f>-'Income Valuation'!C61*(1+'Income Valuation'!C49)</f>
        <v/>
      </c>
      <c r="D13" s="48">
        <f>IF(1&lt;='Income Valuation'!C34,'Income Valuation'!D21*C6,0)+IF(1='Income Valuation'!C34,('Income Valuation'!C52*C6*D7/D6),0)</f>
        <v/>
      </c>
      <c r="E13" s="48">
        <f>IF(2&lt;='Income Valuation'!C34,'Income Valuation'!E21*C6,0)+IF(2='Income Valuation'!C34,('Income Valuation'!C52*C6*D7/D6),0)</f>
        <v/>
      </c>
      <c r="F13" s="48">
        <f>IF(3&lt;='Income Valuation'!C34,'Income Valuation'!F21*C6,0)+IF(3='Income Valuation'!C34,('Income Valuation'!C52*C6*D7/D6),0)</f>
        <v/>
      </c>
      <c r="G13" s="48">
        <f>IF(4&lt;='Income Valuation'!C34,'Income Valuation'!G21*C6,0)+IF(4='Income Valuation'!C34,('Income Valuation'!C52*C6*D7/D6),0)</f>
        <v/>
      </c>
      <c r="H13" s="48">
        <f>IF(5&lt;='Income Valuation'!C34,'Income Valuation'!H21*C6,0)+IF(5='Income Valuation'!C34,('Income Valuation'!C52*C6*D7/D6),0)</f>
        <v/>
      </c>
      <c r="I13" s="48">
        <f>IF(6&lt;='Income Valuation'!C34,'Income Valuation'!I21*C6,0)+IF(6='Income Valuation'!C34,('Income Valuation'!C52*C6*D7/D6),0)</f>
        <v/>
      </c>
      <c r="J13" s="48">
        <f>IF(7&lt;='Income Valuation'!C34,'Income Valuation'!J21*C6,0)+IF(7='Income Valuation'!C34,('Income Valuation'!C52*C6*D7/D6),0)</f>
        <v/>
      </c>
      <c r="K13" s="48">
        <f>IF(8&lt;='Income Valuation'!C34,'Income Valuation'!K21*C6,0)+IF(8='Income Valuation'!C34,('Income Valuation'!C52*C6*D7/D6),0)</f>
        <v/>
      </c>
      <c r="L13" s="48">
        <f>IF(9&lt;='Income Valuation'!C34,'Income Valuation'!L21*C6,0)+IF(9='Income Valuation'!C34,('Income Valuation'!C52*C6*D7/D6),0)</f>
        <v/>
      </c>
      <c r="M13" s="48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48">
        <f>-('Income Valuation'!C61*(1+'Income Valuation'!C49)+'Income Valuation'!C39*'Income Valuation'!C67-'Income Valuation'!C67)</f>
        <v/>
      </c>
      <c r="D14" s="48">
        <f>IF(1&lt;='Income Valuation'!C34,'Income Valuation'!D21*C6-('Income Valuation'!C67*((E6/12)/(1-(1+(E6/12))^(-'Income Valuation'!C44*12))*12)),0)+IF(1='Income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E14" s="48">
        <f>IF(2&lt;='Income Valuation'!C34,'Income Valuation'!E21*C6-('Income Valuation'!C67*((E6/12)/(1-(1+(E6/12))^(-'Income Valuation'!C44*12))*12)),0)+IF(2='Income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F14" s="48">
        <f>IF(3&lt;='Income Valuation'!C34,'Income Valuation'!F21*C6-('Income Valuation'!C67*((E6/12)/(1-(1+(E6/12))^(-'Income Valuation'!C44*12))*12)),0)+IF(3='Income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G14" s="48">
        <f>IF(4&lt;='Income Valuation'!C34,'Income Valuation'!G21*C6-('Income Valuation'!C67*((E6/12)/(1-(1+(E6/12))^(-'Income Valuation'!C44*12))*12)),0)+IF(4='Income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H14" s="48">
        <f>IF(5&lt;='Income Valuation'!C34,'Income Valuation'!H21*C6-('Income Valuation'!C67*((E6/12)/(1-(1+(E6/12))^(-'Income Valuation'!C44*12))*12)),0)+IF(5='Income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I14" s="48">
        <f>IF(6&lt;='Income Valuation'!C34,'Income Valuation'!I21*C6-('Income Valuation'!C67*((E6/12)/(1-(1+(E6/12))^(-'Income Valuation'!C44*12))*12)),0)+IF(6='Income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J14" s="48">
        <f>IF(7&lt;='Income Valuation'!C34,'Income Valuation'!J21*C6-('Income Valuation'!C67*((E6/12)/(1-(1+(E6/12))^(-'Income Valuation'!C44*12))*12)),0)+IF(7='Income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K14" s="48">
        <f>IF(8&lt;='Income Valuation'!C34,'Income Valuation'!K21*C6-('Income Valuation'!C67*((E6/12)/(1-(1+(E6/12))^(-'Income Valuation'!C44*12))*12)),0)+IF(8='Income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L14" s="48">
        <f>IF(9&lt;='Income Valuation'!C34,'Income Valuation'!L21*C6-('Income Valuation'!C67*((E6/12)/(1-(1+(E6/12))^(-'Income Valuation'!C44*12))*12)),0)+IF(9='Income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M14" s="48">
        <f>IF(10&lt;='Income Valuation'!C34,'Income Valuation'!M21*C6-('Income Valuation'!C67*((E6/12)/(1-(1+(E6/12))^(-'Income Valuation'!C44*12))*12)),0)+IF(10='Income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48">
        <f>-'Income Valuation'!C61*(1+'Income Valuation'!C49)</f>
        <v/>
      </c>
      <c r="D15" s="48">
        <f>IF(1&lt;='Income Valuation'!C34,'Income Valuation'!D21*C7,0)+IF(1='Income Valuation'!C34,('Income Valuation'!C52*C7*D7/D7),0)</f>
        <v/>
      </c>
      <c r="E15" s="48">
        <f>IF(2&lt;='Income Valuation'!C34,'Income Valuation'!E21*C7,0)+IF(2='Income Valuation'!C34,('Income Valuation'!C52*C7*D7/D7),0)</f>
        <v/>
      </c>
      <c r="F15" s="48">
        <f>IF(3&lt;='Income Valuation'!C34,'Income Valuation'!F21*C7,0)+IF(3='Income Valuation'!C34,('Income Valuation'!C52*C7*D7/D7),0)</f>
        <v/>
      </c>
      <c r="G15" s="48">
        <f>IF(4&lt;='Income Valuation'!C34,'Income Valuation'!G21*C7,0)+IF(4='Income Valuation'!C34,('Income Valuation'!C52*C7*D7/D7),0)</f>
        <v/>
      </c>
      <c r="H15" s="48">
        <f>IF(5&lt;='Income Valuation'!C34,'Income Valuation'!H21*C7,0)+IF(5='Income Valuation'!C34,('Income Valuation'!C52*C7*D7/D7),0)</f>
        <v/>
      </c>
      <c r="I15" s="48">
        <f>IF(6&lt;='Income Valuation'!C34,'Income Valuation'!I21*C7,0)+IF(6='Income Valuation'!C34,('Income Valuation'!C52*C7*D7/D7),0)</f>
        <v/>
      </c>
      <c r="J15" s="48">
        <f>IF(7&lt;='Income Valuation'!C34,'Income Valuation'!J21*C7,0)+IF(7='Income Valuation'!C34,('Income Valuation'!C52*C7*D7/D7),0)</f>
        <v/>
      </c>
      <c r="K15" s="48">
        <f>IF(8&lt;='Income Valuation'!C34,'Income Valuation'!K21*C7,0)+IF(8='Income Valuation'!C34,('Income Valuation'!C52*C7*D7/D7),0)</f>
        <v/>
      </c>
      <c r="L15" s="48">
        <f>IF(9&lt;='Income Valuation'!C34,'Income Valuation'!L21*C7,0)+IF(9='Income Valuation'!C34,('Income Valuation'!C52*C7*D7/D7),0)</f>
        <v/>
      </c>
      <c r="M15" s="48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48">
        <f>-('Income Valuation'!C61*(1+'Income Valuation'!C49)+'Income Valuation'!C39*'Income Valuation'!C67-'Income Valuation'!C67)</f>
        <v/>
      </c>
      <c r="D16" s="48">
        <f>IF(1&lt;='Income Valuation'!C34,'Income Valuation'!D21*C7-('Income Valuation'!C67*((E7/12)/(1-(1+(E7/12))^(-'Income Valuation'!C44*12))*12)),0)+IF(1='Income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E16" s="48">
        <f>IF(2&lt;='Income Valuation'!C34,'Income Valuation'!E21*C7-('Income Valuation'!C67*((E7/12)/(1-(1+(E7/12))^(-'Income Valuation'!C44*12))*12)),0)+IF(2='Income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F16" s="48">
        <f>IF(3&lt;='Income Valuation'!C34,'Income Valuation'!F21*C7-('Income Valuation'!C67*((E7/12)/(1-(1+(E7/12))^(-'Income Valuation'!C44*12))*12)),0)+IF(3='Income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G16" s="48">
        <f>IF(4&lt;='Income Valuation'!C34,'Income Valuation'!G21*C7-('Income Valuation'!C67*((E7/12)/(1-(1+(E7/12))^(-'Income Valuation'!C44*12))*12)),0)+IF(4='Income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H16" s="48">
        <f>IF(5&lt;='Income Valuation'!C34,'Income Valuation'!H21*C7-('Income Valuation'!C67*((E7/12)/(1-(1+(E7/12))^(-'Income Valuation'!C44*12))*12)),0)+IF(5='Income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I16" s="48">
        <f>IF(6&lt;='Income Valuation'!C34,'Income Valuation'!I21*C7-('Income Valuation'!C67*((E7/12)/(1-(1+(E7/12))^(-'Income Valuation'!C44*12))*12)),0)+IF(6='Income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J16" s="48">
        <f>IF(7&lt;='Income Valuation'!C34,'Income Valuation'!J21*C7-('Income Valuation'!C67*((E7/12)/(1-(1+(E7/12))^(-'Income Valuation'!C44*12))*12)),0)+IF(7='Income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K16" s="48">
        <f>IF(8&lt;='Income Valuation'!C34,'Income Valuation'!K21*C7-('Income Valuation'!C67*((E7/12)/(1-(1+(E7/12))^(-'Income Valuation'!C44*12))*12)),0)+IF(8='Income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L16" s="48">
        <f>IF(9&lt;='Income Valuation'!C34,'Income Valuation'!L21*C7-('Income Valuation'!C67*((E7/12)/(1-(1+(E7/12))^(-'Income Valuation'!C44*12))*12)),0)+IF(9='Income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M16" s="48">
        <f>IF(10&lt;='Income Valuation'!C34,'Income Valuation'!M21*C7-('Income Valuation'!C67*((E7/12)/(1-(1+(E7/12))^(-'Income Valuation'!C44*12))*12)),0)+IF(10='Income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48">
        <f>-'Income Valuation'!C61*(1+'Income Valuation'!C49)</f>
        <v/>
      </c>
      <c r="D17" s="48">
        <f>IF(1&lt;='Income Valuation'!C34,'Income Valuation'!D21*C8,0)+IF(1='Income Valuation'!C34,('Income Valuation'!C52*C8*D7/D8),0)</f>
        <v/>
      </c>
      <c r="E17" s="48">
        <f>IF(2&lt;='Income Valuation'!C34,'Income Valuation'!E21*C8,0)+IF(2='Income Valuation'!C34,('Income Valuation'!C52*C8*D7/D8),0)</f>
        <v/>
      </c>
      <c r="F17" s="48">
        <f>IF(3&lt;='Income Valuation'!C34,'Income Valuation'!F21*C8,0)+IF(3='Income Valuation'!C34,('Income Valuation'!C52*C8*D7/D8),0)</f>
        <v/>
      </c>
      <c r="G17" s="48">
        <f>IF(4&lt;='Income Valuation'!C34,'Income Valuation'!G21*C8,0)+IF(4='Income Valuation'!C34,('Income Valuation'!C52*C8*D7/D8),0)</f>
        <v/>
      </c>
      <c r="H17" s="48">
        <f>IF(5&lt;='Income Valuation'!C34,'Income Valuation'!H21*C8,0)+IF(5='Income Valuation'!C34,('Income Valuation'!C52*C8*D7/D8),0)</f>
        <v/>
      </c>
      <c r="I17" s="48">
        <f>IF(6&lt;='Income Valuation'!C34,'Income Valuation'!I21*C8,0)+IF(6='Income Valuation'!C34,('Income Valuation'!C52*C8*D7/D8),0)</f>
        <v/>
      </c>
      <c r="J17" s="48">
        <f>IF(7&lt;='Income Valuation'!C34,'Income Valuation'!J21*C8,0)+IF(7='Income Valuation'!C34,('Income Valuation'!C52*C8*D7/D8),0)</f>
        <v/>
      </c>
      <c r="K17" s="48">
        <f>IF(8&lt;='Income Valuation'!C34,'Income Valuation'!K21*C8,0)+IF(8='Income Valuation'!C34,('Income Valuation'!C52*C8*D7/D8),0)</f>
        <v/>
      </c>
      <c r="L17" s="48">
        <f>IF(9&lt;='Income Valuation'!C34,'Income Valuation'!L21*C8,0)+IF(9='Income Valuation'!C34,('Income Valuation'!C52*C8*D7/D8),0)</f>
        <v/>
      </c>
      <c r="M17" s="48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48">
        <f>-('Income Valuation'!C61*(1+'Income Valuation'!C49)+'Income Valuation'!C39*'Income Valuation'!C67-'Income Valuation'!C67)</f>
        <v/>
      </c>
      <c r="D18" s="48">
        <f>IF(1&lt;='Income Valuation'!C34,'Income Valuation'!D21*C8-('Income Valuation'!C67*((E8/12)/(1-(1+(E8/12))^(-'Income Valuation'!C44*12))*12)),0)+IF(1='Income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E18" s="48">
        <f>IF(2&lt;='Income Valuation'!C34,'Income Valuation'!E21*C8-('Income Valuation'!C67*((E8/12)/(1-(1+(E8/12))^(-'Income Valuation'!C44*12))*12)),0)+IF(2='Income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F18" s="48">
        <f>IF(3&lt;='Income Valuation'!C34,'Income Valuation'!F21*C8-('Income Valuation'!C67*((E8/12)/(1-(1+(E8/12))^(-'Income Valuation'!C44*12))*12)),0)+IF(3='Income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G18" s="48">
        <f>IF(4&lt;='Income Valuation'!C34,'Income Valuation'!G21*C8-('Income Valuation'!C67*((E8/12)/(1-(1+(E8/12))^(-'Income Valuation'!C44*12))*12)),0)+IF(4='Income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H18" s="48">
        <f>IF(5&lt;='Income Valuation'!C34,'Income Valuation'!H21*C8-('Income Valuation'!C67*((E8/12)/(1-(1+(E8/12))^(-'Income Valuation'!C44*12))*12)),0)+IF(5='Income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I18" s="48">
        <f>IF(6&lt;='Income Valuation'!C34,'Income Valuation'!I21*C8-('Income Valuation'!C67*((E8/12)/(1-(1+(E8/12))^(-'Income Valuation'!C44*12))*12)),0)+IF(6='Income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J18" s="48">
        <f>IF(7&lt;='Income Valuation'!C34,'Income Valuation'!J21*C8-('Income Valuation'!C67*((E8/12)/(1-(1+(E8/12))^(-'Income Valuation'!C44*12))*12)),0)+IF(7='Income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K18" s="48">
        <f>IF(8&lt;='Income Valuation'!C34,'Income Valuation'!K21*C8-('Income Valuation'!C67*((E8/12)/(1-(1+(E8/12))^(-'Income Valuation'!C44*12))*12)),0)+IF(8='Income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L18" s="48">
        <f>IF(9&lt;='Income Valuation'!C34,'Income Valuation'!L21*C8-('Income Valuation'!C67*((E8/12)/(1-(1+(E8/12))^(-'Income Valuation'!C44*12))*12)),0)+IF(9='Income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M18" s="48">
        <f>IF(10&lt;='Income Valuation'!C34,'Income Valuation'!M21*C8-('Income Valuation'!C67*((E8/12)/(1-(1+(E8/12))^(-'Income Valuation'!C44*12))*12)),0)+IF(10='Income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3" t="inlineStr">
        <is>
          <t>Income value</t>
        </is>
      </c>
      <c r="E21" s="9" t="n"/>
      <c r="F21" s="23" t="inlineStr">
        <is>
          <t>Unlev IRR</t>
        </is>
      </c>
      <c r="G21" s="23" t="inlineStr">
        <is>
          <t>Lev IRR</t>
        </is>
      </c>
      <c r="H21" s="23" t="inlineStr">
        <is>
          <t>Lev EM</t>
        </is>
      </c>
      <c r="I21" s="23" t="inlineStr">
        <is>
          <t>Yr-1 DSCR</t>
        </is>
      </c>
      <c r="J21" s="23" t="inlineStr">
        <is>
          <t>Avg CoC</t>
        </is>
      </c>
    </row>
    <row r="22" ht="15" customHeight="1">
      <c r="B22" s="7" t="inlineStr">
        <is>
          <t>Downside</t>
        </is>
      </c>
      <c r="D22" s="48">
        <f>'Income Valuation'!C25*C6/'Income Valuation'!C30</f>
        <v/>
      </c>
      <c r="E22" s="9" t="n"/>
      <c r="F22" s="69">
        <f>IRR(C13:M13)</f>
        <v/>
      </c>
      <c r="G22" s="69">
        <f>IRR(C14:M14)</f>
        <v/>
      </c>
      <c r="H22" s="62">
        <f>SUM(D14:M14)/('Income Valuation'!C61*(1+'Income Valuation'!C49)+'Income Valuation'!C39*'Income Valuation'!C67-'Income Valuation'!C67)</f>
        <v/>
      </c>
      <c r="I22" s="62">
        <f>'Income Valuation'!C25*C6/('Income Valuation'!C67*((E6/12)/(1-(1+(E6/12))^(-'Income Valuation'!C44*12))*12))</f>
        <v/>
      </c>
      <c r="J22" s="69">
        <f>('Income Valuation'!C50*C6-'Income Valuation'!C34*('Income Valuation'!C67*((E6/12)/(1-(1+(E6/12))^(-'Income Valuation'!C44*12))*12)))/'Income Valuation'!C34/('Income Valuation'!C61*(1+'Income Valuation'!C49)+'Income Valuation'!C39*'Income Valuation'!C67-'Income Valuation'!C67)</f>
        <v/>
      </c>
      <c r="K22" s="8" t="n"/>
      <c r="L22" s="8" t="n"/>
      <c r="M22" s="9" t="n"/>
    </row>
    <row r="23" ht="15" customHeight="1">
      <c r="B23" s="28" t="inlineStr">
        <is>
          <t>Base</t>
        </is>
      </c>
      <c r="D23" s="80">
        <f>'Income Valuation'!C25*C7/'Income Valuation'!C30</f>
        <v/>
      </c>
      <c r="E23" s="9" t="n"/>
      <c r="F23" s="33">
        <f>IRR(C15:M15)</f>
        <v/>
      </c>
      <c r="G23" s="33">
        <f>IRR(C16:M16)</f>
        <v/>
      </c>
      <c r="H23" s="81">
        <f>SUM(D16:M16)/('Income Valuation'!C61*(1+'Income Valuation'!C49)+'Income Valuation'!C39*'Income Valuation'!C67-'Income Valuation'!C67)</f>
        <v/>
      </c>
      <c r="I23" s="81">
        <f>'Income Valuation'!C25*C7/('Income Valuation'!C67*((E7/12)/(1-(1+(E7/12))^(-'Income Valuation'!C44*12))*12))</f>
        <v/>
      </c>
      <c r="J23" s="33">
        <f>('Income Valuation'!C50*C7-'Income Valuation'!C34*('Income Valuation'!C67*((E7/12)/(1-(1+(E7/12))^(-'Income Valuation'!C44*12))*12)))/'Income Valuation'!C34/('Income Valuation'!C61*(1+'Income Valuation'!C49)+'Income Valuation'!C39*'Income Valuation'!C67-'Income Valuation'!C67)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48">
        <f>'Income Valuation'!C25*C8/'Income Valuation'!C30</f>
        <v/>
      </c>
      <c r="E24" s="9" t="n"/>
      <c r="F24" s="69">
        <f>IRR(C17:M17)</f>
        <v/>
      </c>
      <c r="G24" s="69">
        <f>IRR(C18:M18)</f>
        <v/>
      </c>
      <c r="H24" s="62">
        <f>SUM(D18:M18)/('Income Valuation'!C61*(1+'Income Valuation'!C49)+'Income Valuation'!C39*'Income Valuation'!C67-'Income Valuation'!C67)</f>
        <v/>
      </c>
      <c r="I24" s="62">
        <f>'Income Valuation'!C25*C8/('Income Valuation'!C67*((E8/12)/(1-(1+(E8/12))^(-'Income Valuation'!C44*12))*12))</f>
        <v/>
      </c>
      <c r="J24" s="69">
        <f>('Income Valuation'!C50*C8-'Income Valuation'!C34*('Income Valuation'!C67*((E8/12)/(1-(1+(E8/12))^(-'Income Valuation'!C44*12))*12)))/'Income Valuation'!C34/('Income Valuation'!C61*(1+'Income Valuation'!C49)+'Income Valuation'!C39*'Income Valuation'!C67-'Income Valuation'!C67)</f>
        <v/>
      </c>
      <c r="K24" s="8" t="n"/>
      <c r="L24" s="8" t="n"/>
      <c r="M24" s="9" t="n"/>
    </row>
    <row r="25"/>
    <row r="26" ht="27" customHeight="1">
      <c r="B26" s="15" t="inlineStr">
        <is>
          <t>Read</t>
        </is>
      </c>
      <c r="D26" s="15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3" t="inlineStr">
        <is>
          <t>Control cost</t>
        </is>
      </c>
      <c r="D11" s="23" t="inlineStr">
        <is>
          <t>In-place NOI</t>
        </is>
      </c>
      <c r="E11" s="23" t="inlineStr">
        <is>
          <t>Going-in cap</t>
        </is>
      </c>
      <c r="F11" s="23" t="inlineStr">
        <is>
          <t>Land SF</t>
        </is>
      </c>
      <c r="G11" s="23" t="inlineStr">
        <is>
          <t>Land value</t>
        </is>
      </c>
      <c r="H11" s="23" t="inlineStr">
        <is>
          <t>Unlev IRR</t>
        </is>
      </c>
      <c r="I11" s="23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4">
        <f>'Shahidi Retail'!C57</f>
        <v/>
      </c>
      <c r="D12" s="24">
        <f>'Shahidi Retail'!C122</f>
        <v/>
      </c>
      <c r="E12" s="70">
        <f>D12/C12</f>
        <v/>
      </c>
      <c r="F12" s="82">
        <f>'Shahidi Retail'!C36</f>
        <v/>
      </c>
      <c r="G12" s="24">
        <f>'Shahidi Retail'!C80</f>
        <v/>
      </c>
      <c r="H12" s="34">
        <f>'Shahidi Retail'!C117</f>
        <v/>
      </c>
      <c r="I12" s="34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4">
        <f>'Publix &amp; Starbucks'!C44</f>
        <v/>
      </c>
      <c r="D13" s="24">
        <f>'Publix &amp; Starbucks'!C109</f>
        <v/>
      </c>
      <c r="E13" s="70">
        <f>D13/C13</f>
        <v/>
      </c>
      <c r="F13" s="82">
        <f>'Publix &amp; Starbucks'!C25</f>
        <v/>
      </c>
      <c r="G13" s="24">
        <f>'Publix &amp; Starbucks'!C67</f>
        <v/>
      </c>
      <c r="H13" s="34">
        <f>'Publix &amp; Starbucks'!C104</f>
        <v/>
      </c>
      <c r="I13" s="34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4">
        <f>'Sunrise Plaza'!C47</f>
        <v/>
      </c>
      <c r="D14" s="24">
        <f>'Sunrise Plaza'!C112</f>
        <v/>
      </c>
      <c r="E14" s="70">
        <f>D14/C14</f>
        <v/>
      </c>
      <c r="F14" s="82">
        <f>'Sunrise Plaza'!C28</f>
        <v/>
      </c>
      <c r="G14" s="24">
        <f>'Sunrise Plaza'!C70</f>
        <v/>
      </c>
      <c r="H14" s="34">
        <f>'Sunrise Plaza'!C107</f>
        <v/>
      </c>
      <c r="I14" s="34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4">
        <f>'Office Condo'!I99</f>
        <v/>
      </c>
      <c r="D15" s="24">
        <f>'Office Condo'!C79</f>
        <v/>
      </c>
      <c r="E15" s="70">
        <f>D15/C15</f>
        <v/>
      </c>
      <c r="F15" s="83" t="n">
        <v>0</v>
      </c>
      <c r="G15" s="48">
        <f>0</f>
        <v/>
      </c>
      <c r="H15" s="34">
        <f>'Office Condo'!C74</f>
        <v/>
      </c>
      <c r="I15" s="34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7" t="inlineStr">
        <is>
          <t>1040 Bayview (covered land)</t>
        </is>
      </c>
      <c r="C16" s="24">
        <f>'Land'!E43</f>
        <v/>
      </c>
      <c r="D16" s="24">
        <f>'Land'!C50</f>
        <v/>
      </c>
      <c r="E16" s="70">
        <f>D16/C16</f>
        <v/>
      </c>
      <c r="F16" s="82">
        <f>'Land'!C18</f>
        <v/>
      </c>
      <c r="G16" s="24">
        <f>'Land'!E43</f>
        <v/>
      </c>
      <c r="H16" s="34">
        <f>'Land'!C68</f>
        <v/>
      </c>
      <c r="I16" s="34">
        <f>'Land'!C71</f>
        <v/>
      </c>
      <c r="J16" s="7" t="inlineStr">
        <is>
          <t>entitled 259 units · hold for redevelopment</t>
        </is>
      </c>
      <c r="K16" s="8" t="n"/>
      <c r="L16" s="8" t="n"/>
      <c r="M16" s="9" t="n"/>
    </row>
    <row r="17" ht="15" customHeight="1">
      <c r="B17" s="28" t="inlineStr">
        <is>
          <t>ASSEMBLAGE TOTAL (pre-premium)</t>
        </is>
      </c>
      <c r="C17" s="31">
        <f>SUM(C12:C16)</f>
        <v/>
      </c>
      <c r="D17" s="31">
        <f>SUM(D12:D16)</f>
        <v/>
      </c>
      <c r="E17" s="84">
        <f>D17/C17</f>
        <v/>
      </c>
      <c r="F17" s="85">
        <f>SUM(F12:F16)</f>
        <v/>
      </c>
      <c r="G17" s="31">
        <f>SUM(G12:G16)</f>
        <v/>
      </c>
      <c r="H17" s="29" t="inlineStr">
        <is>
          <t>—</t>
        </is>
      </c>
      <c r="I17" s="29" t="inlineStr">
        <is>
          <t>—</t>
        </is>
      </c>
      <c r="J17" s="28" t="inlineStr">
        <is>
          <t>blended going-in cap covers carry</t>
        </is>
      </c>
      <c r="K17" s="8" t="n"/>
      <c r="L17" s="8" t="n"/>
      <c r="M17" s="9" t="n"/>
    </row>
    <row r="18"/>
    <row r="19">
      <c r="B19" s="5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7" t="inlineStr">
        <is>
          <t>Total existing building (GLA, SF)</t>
        </is>
      </c>
      <c r="C20" s="83">
        <f>341501</f>
        <v/>
      </c>
      <c r="D20" s="16" t="inlineStr">
        <is>
          <t>existing improvements across all five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Total land assembled (acres)</t>
        </is>
      </c>
      <c r="C21" s="86">
        <f>F17/43560</f>
        <v/>
      </c>
      <c r="D21" s="16" t="inlineStr">
        <is>
          <t>≈ 7+ acres of E Sunrise frontage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land basis ($/SF)</t>
        </is>
      </c>
      <c r="C22" s="86">
        <f>G17/F17</f>
        <v/>
      </c>
      <c r="D22" s="16" t="inlineStr">
        <is>
          <t>vs. subject comps $228–255/SF; Galleria bulk $53/SF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Blended in-place cap (income ÷ cost)</t>
        </is>
      </c>
      <c r="C23" s="70">
        <f>D17/C17</f>
        <v/>
      </c>
      <c r="D23" s="16" t="inlineStr">
        <is>
          <t>covered-land range ~3–5% — income covers carry, not a yield play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/>
    <row r="25" ht="15" customHeight="1">
      <c r="B25" s="14" t="inlineStr">
        <is>
          <t>Assemblage premium (to control holdouts)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 xml:space="preserve">  Low</t>
        </is>
      </c>
      <c r="C26" s="48">
        <f>C17*(1+'Assumptions'!C39)</f>
        <v/>
      </c>
      <c r="D26" s="34">
        <f>'Assumptions'!C39</f>
        <v/>
      </c>
    </row>
    <row r="27" ht="15" customHeight="1">
      <c r="B27" s="6" t="inlineStr">
        <is>
          <t xml:space="preserve">  Base</t>
        </is>
      </c>
      <c r="C27" s="50">
        <f>C17*(1+'Assumptions'!C40)</f>
        <v/>
      </c>
      <c r="D27" s="34">
        <f>'Assumptions'!C40</f>
        <v/>
      </c>
    </row>
    <row r="28" ht="15" customHeight="1">
      <c r="B28" s="7" t="inlineStr">
        <is>
          <t xml:space="preserve">  High</t>
        </is>
      </c>
      <c r="C28" s="48">
        <f>C17*(1+'Assumptions'!C41)</f>
        <v/>
      </c>
      <c r="D28" s="34">
        <f>'Assumptions'!C41</f>
        <v/>
      </c>
    </row>
    <row r="29" ht="16" customHeight="1">
      <c r="B29" s="21" t="inlineStr">
        <is>
          <t>TOTAL ASSEMBLAGE ACQUISITION COST (base)</t>
        </is>
      </c>
      <c r="C29" s="22">
        <f>C27</f>
        <v/>
      </c>
      <c r="D29" s="16" t="inlineStr">
        <is>
          <t>🔶 base premium (Assumptions tab) on the summed control cost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/>
    <row r="31">
      <c r="B31" s="5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7" t="inlineStr">
        <is>
          <t>Redevelopment residual — 1040 Bayview (per Land tab)</t>
        </is>
      </c>
      <c r="C32" s="20">
        <f>'Land'!C81</f>
        <v/>
      </c>
    </row>
    <row r="33" ht="27" customHeight="1">
      <c r="B33" s="15" t="inlineStr">
        <is>
          <t>Redevelopment verdict</t>
        </is>
      </c>
      <c r="C33" s="45" t="inlineStr">
        <is>
          <t>HOLD</t>
        </is>
      </c>
      <c r="D33" s="15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/>
    <row r="35">
      <c r="B35" s="5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7" t="inlineStr">
        <is>
          <t>Total equity required (all assets, at asset prices)</t>
        </is>
      </c>
      <c r="C36" s="49">
        <f>'Shahidi Retail'!C78+'Publix &amp; Starbucks'!C65+'Sunrise Plaza'!C68+'Office Condo'!C47+'Land'!C55</f>
        <v/>
      </c>
    </row>
    <row r="37" ht="15" customHeight="1">
      <c r="B37" s="7" t="inlineStr">
        <is>
          <t>Total in-place NOI (covers carry)</t>
        </is>
      </c>
      <c r="C37" s="49">
        <f>D17</f>
        <v/>
      </c>
    </row>
    <row r="38" ht="27" customHeight="1">
      <c r="B38" s="15" t="inlineStr">
        <is>
          <t>Portfolio IRR (unlevered / levered)</t>
        </is>
      </c>
      <c r="D38" s="15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3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4">
        <f>'Shahidi Retail'!C57</f>
        <v/>
      </c>
      <c r="E6" s="16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4">
        <f>'Publix &amp; Starbucks'!C44</f>
        <v/>
      </c>
      <c r="E7" s="16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4">
        <f>'Sunrise Plaza'!C47</f>
        <v/>
      </c>
      <c r="E8" s="16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4">
        <f>'Office Condo'!I99</f>
        <v/>
      </c>
      <c r="E9" s="16" t="inlineStr">
        <is>
          <t>buy out BOTH condo owners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1040 Bayview (entitled land)</t>
        </is>
      </c>
      <c r="C10" s="24">
        <f>'Land'!E43</f>
        <v/>
      </c>
      <c r="E10" s="16" t="inlineStr">
        <is>
          <t>covered land · hold for redevelopment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41" t="inlineStr">
        <is>
          <t>SUM OF THE PARTS  (priced independently)</t>
        </is>
      </c>
      <c r="C11" s="50">
        <f>SUM(C6:C10)</f>
        <v/>
      </c>
      <c r="E11" s="16" t="inlineStr">
        <is>
          <t>what you'd pay buying each one at a time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＋ Assemblage premium (hard to put together)</t>
        </is>
      </c>
      <c r="C12" s="48">
        <f>C11*'Assumptions'!C40</f>
        <v/>
      </c>
      <c r="D12" s="34">
        <f>'Assumptions'!C40</f>
        <v/>
      </c>
      <c r="E12" s="16" t="inlineStr">
        <is>
          <t>5 owners · a sale-leaseback · a fractured condo · holdout risk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6" customHeight="1">
      <c r="B13" s="21" t="inlineStr">
        <is>
          <t>PRICED AS AN ASSEMBLAGE (base)</t>
        </is>
      </c>
      <c r="C13" s="22">
        <f>C11+C12</f>
        <v/>
      </c>
      <c r="E13" s="16" t="inlineStr">
        <is>
          <t>total to control the whole block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 / owner</t>
        </is>
      </c>
      <c r="C16" s="23" t="inlineStr">
        <is>
          <t>Bought</t>
        </is>
      </c>
      <c r="D16" s="23" t="inlineStr">
        <is>
          <t>For</t>
        </is>
      </c>
      <c r="E16" s="23" t="inlineStr">
        <is>
          <t>Our modeled price</t>
        </is>
      </c>
      <c r="F16" s="14" t="inlineStr">
        <is>
          <t>note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39" t="inlineStr">
        <is>
          <t>Shahidi Retail — Shawnick Galleria LLC (Shahidi)</t>
        </is>
      </c>
      <c r="C17" s="87" t="inlineStr">
        <is>
          <t>11/09/2021</t>
        </is>
      </c>
      <c r="D17" s="24">
        <f>'Assumptions'!C27</f>
        <v/>
      </c>
      <c r="E17" s="24">
        <f>'Shahidi Retail'!C57</f>
        <v/>
      </c>
      <c r="F17" s="16" t="inlineStr">
        <is>
          <t>Special Warranty Deed (flagged disqualified sale)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39" t="inlineStr">
        <is>
          <t>Publix + Starbucks — REAL SUB LLC (Publix)</t>
        </is>
      </c>
      <c r="C18" s="87" t="inlineStr">
        <is>
          <t>03/14/2025</t>
        </is>
      </c>
      <c r="D18" s="24">
        <f>'Assumptions'!C29</f>
        <v/>
      </c>
      <c r="E18" s="24">
        <f>'Publix &amp; Starbucks'!C44</f>
        <v/>
      </c>
      <c r="F18" s="16" t="inlineStr">
        <is>
          <t>Trustee's Deed · $679/SF bldg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Sunrise Plaza — Kar Luen Inc</t>
        </is>
      </c>
      <c r="C19" s="40" t="inlineStr">
        <is>
          <t>Oct 2000</t>
        </is>
      </c>
      <c r="D19" s="24">
        <f>'Assumptions'!C31</f>
        <v/>
      </c>
      <c r="E19" s="24">
        <f>'Sunrise Plaza'!C47</f>
        <v/>
      </c>
      <c r="F19" s="16" t="inlineStr">
        <is>
          <t>stale/nominal — held since; no recent arm's-length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Grove Gate bulk (57.4%)</t>
        </is>
      </c>
      <c r="C20" s="40" t="inlineStr">
        <is>
          <t>09/23/2019</t>
        </is>
      </c>
      <c r="D20" s="24">
        <f>'Assumptions'!C33</f>
        <v/>
      </c>
      <c r="E20" s="24">
        <f>'Office Condo'!I91</f>
        <v/>
      </c>
      <c r="F20" s="16" t="inlineStr">
        <is>
          <t>$103/SF from Intl Sunrise (dissolved 2020); now reselling units $270–381/SF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Office — 42.6% individual owners</t>
        </is>
      </c>
      <c r="C21" s="40" t="inlineStr">
        <is>
          <t>2011→2026</t>
        </is>
      </c>
      <c r="D21" s="88" t="inlineStr">
        <is>
          <t>—</t>
        </is>
      </c>
      <c r="E21" s="88" t="inlineStr">
        <is>
          <t>—</t>
        </is>
      </c>
      <c r="F21" s="16" t="inlineStr">
        <is>
          <t>~40 small owners (Merrimac, Cosmo, Jorgensen, Hublot); un-itemizable without BCPA</t>
        </is>
      </c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39" t="inlineStr">
        <is>
          <t>1040 Bayview — Sunrise &amp; Bayview Partners</t>
        </is>
      </c>
      <c r="C22" s="87" t="inlineStr">
        <is>
          <t>2014 (JV)</t>
        </is>
      </c>
      <c r="D22" s="24">
        <f>'Assumptions'!C35</f>
        <v/>
      </c>
      <c r="E22" s="24">
        <f>'Land'!E43</f>
        <v/>
      </c>
      <c r="F22" s="16" t="inlineStr">
        <is>
          <t>Procacci/BBX bought 2014 ~$7.9M; BBX exited to Procacci 2022</t>
        </is>
      </c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>
        <is>
          <t>Parcel</t>
        </is>
      </c>
      <c r="C25" s="23" t="inlineStr">
        <is>
          <t>Land SF</t>
        </is>
      </c>
      <c r="D25" s="23" t="inlineStr">
        <is>
          <t>$/SF</t>
        </is>
      </c>
      <c r="E25" s="23" t="inlineStr">
        <is>
          <t>Land value</t>
        </is>
      </c>
      <c r="F25" s="14" t="inlineStr">
        <is>
          <t>note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Shahidi Retail</t>
        </is>
      </c>
      <c r="C26" s="82">
        <f>'Shahidi Retail'!C36</f>
        <v/>
      </c>
      <c r="D26" s="36">
        <f>'Shahidi Retail'!C79</f>
        <v/>
      </c>
      <c r="E26" s="24">
        <f>'Shahidi Retail'!C80</f>
        <v/>
      </c>
      <c r="F26" s="16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Publix + Starbucks</t>
        </is>
      </c>
      <c r="C27" s="82">
        <f>'Publix &amp; Starbucks'!C25</f>
        <v/>
      </c>
      <c r="D27" s="36">
        <f>'Publix &amp; Starbucks'!C55</f>
        <v/>
      </c>
      <c r="E27" s="24">
        <f>'Publix &amp; Starbucks'!C67</f>
        <v/>
      </c>
      <c r="F27" s="16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Sunrise Plaza (Kar Luen)</t>
        </is>
      </c>
      <c r="C28" s="82">
        <f>'Sunrise Plaza'!C28</f>
        <v/>
      </c>
      <c r="D28" s="36">
        <f>'Sunrise Plaza'!C58</f>
        <v/>
      </c>
      <c r="E28" s="24">
        <f>'Sunrise Plaza'!C70</f>
        <v/>
      </c>
      <c r="F28" s="16" t="inlineStr">
        <is>
          <t>standalone parcel</t>
        </is>
      </c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1040 Bayview</t>
        </is>
      </c>
      <c r="C29" s="82">
        <f>'Land'!C18</f>
        <v/>
      </c>
      <c r="D29" s="86">
        <f>'Land'!E43/'Land'!C18</f>
        <v/>
      </c>
      <c r="E29" s="24">
        <f>'Land'!E43</f>
        <v/>
      </c>
      <c r="F29" s="16" t="inlineStr">
        <is>
          <t>standalone parcel</t>
        </is>
      </c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41" t="inlineStr">
        <is>
          <t>SUM OF THE PARTS  (fragmented land)</t>
        </is>
      </c>
      <c r="C30" s="89">
        <f>SUM(C26:C29)</f>
        <v/>
      </c>
      <c r="D30" s="90">
        <f>SUM(E26:E29)/SUM(C26:C29)</f>
        <v/>
      </c>
      <c r="E30" s="91">
        <f>SUM(E26:E29)</f>
        <v/>
      </c>
      <c r="F30" s="16" t="inlineStr">
        <is>
          <t>office excluded — building, not land (buy-out below)</t>
        </is>
      </c>
      <c r="G30" s="8" t="n"/>
      <c r="H30" s="8" t="n"/>
      <c r="I30" s="8" t="n"/>
      <c r="J30" s="8" t="n"/>
      <c r="K30" s="8" t="n"/>
      <c r="L30" s="8" t="n"/>
      <c r="M30" s="9" t="n"/>
    </row>
    <row r="31">
      <c r="B31" s="5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7" t="inlineStr">
        <is>
          <t>Assembled land (SF)</t>
        </is>
      </c>
      <c r="C32" s="83">
        <f>C30</f>
        <v/>
      </c>
      <c r="E32" s="16" t="inlineStr">
        <is>
          <t>4 contiguous land parcels, one plat block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(acres)</t>
        </is>
      </c>
      <c r="C33" s="86">
        <f>C30/43560</f>
        <v/>
      </c>
    </row>
    <row r="34" ht="15" customHeight="1">
      <c r="B34" s="7" t="inlineStr">
        <is>
          <t>Plottage / assemblage premium (base)</t>
        </is>
      </c>
      <c r="C34" s="51">
        <f>'Assumptions'!C40</f>
        <v/>
      </c>
      <c r="E34" s="16" t="inlineStr">
        <is>
          <t>uplift for a large contiguous development site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Assembled land value — low</t>
        </is>
      </c>
      <c r="C35" s="48">
        <f>E30*(1+'Assumptions'!C39)</f>
        <v/>
      </c>
    </row>
    <row r="36" ht="16" customHeight="1">
      <c r="B36" s="21" t="inlineStr">
        <is>
          <t>Assembled land value — BASE</t>
        </is>
      </c>
      <c r="C36" s="22">
        <f>E30*(1+'Assumptions'!C40)</f>
        <v/>
      </c>
    </row>
    <row r="37" ht="15" customHeight="1">
      <c r="B37" s="7" t="inlineStr">
        <is>
          <t>Assembled land value — high</t>
        </is>
      </c>
      <c r="C37" s="48">
        <f>E30*(1+'Assumptions'!C41)</f>
        <v/>
      </c>
    </row>
    <row r="38" ht="15" customHeight="1">
      <c r="B38" s="7" t="inlineStr">
        <is>
          <t>Implied assembled $/SF (base)</t>
        </is>
      </c>
      <c r="C38" s="86">
        <f>C36/C30</f>
        <v/>
      </c>
      <c r="E38" s="16" t="inlineStr">
        <is>
          <t>vs. fragmented blend above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PLOTTAGE PREMIUM (assembled − fragmented)</t>
        </is>
      </c>
      <c r="C39" s="49">
        <f>C36-E30</f>
        <v/>
      </c>
      <c r="E39" s="16" t="inlineStr">
        <is>
          <t>the value created / cost incurred by assembling the hard-to-put-together block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Entitlement lift (post-Live Local approval)</t>
        </is>
      </c>
      <c r="C40" s="51">
        <f>'Assumptions'!C44</f>
        <v/>
      </c>
      <c r="E40" s="16" t="inlineStr">
        <is>
          <t>value bump once entitled for Live Local density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6" customHeight="1">
      <c r="B41" s="21" t="inlineStr">
        <is>
          <t>POST-APPROVAL assembled land value</t>
        </is>
      </c>
      <c r="C41" s="22">
        <f>C36*(1+'Assumptions'!C44)</f>
        <v/>
      </c>
      <c r="E41" s="16" t="inlineStr">
        <is>
          <t>what the ENTITLED dirt is worth — the redevelopment upside the premium buys you the option on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Main Street Fund LLC (Grove Gate, 57.4%)</t>
        </is>
      </c>
      <c r="C44" s="24">
        <f>'Office Condo'!I91</f>
        <v/>
      </c>
      <c r="E44" s="16" t="inlineStr">
        <is>
          <t>bought 96,930 SF + 2 parking lots for $10M (2019)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International Sunrise Partners LLC (42.6%)</t>
        </is>
      </c>
      <c r="C45" s="24">
        <f>'Office Condo'!I92</f>
        <v/>
      </c>
      <c r="E45" s="16" t="inlineStr">
        <is>
          <t>prior bulk owner (2011 condo-conversion sponsor)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6" customHeight="1">
      <c r="B46" s="21" t="inlineStr">
        <is>
          <t>FULL BUY-OUT VALUE (both owners)</t>
        </is>
      </c>
      <c r="C46" s="22">
        <f>'Office Condo'!I99</f>
        <v/>
      </c>
      <c r="E46" s="16" t="inlineStr">
        <is>
          <t>income value + buy-out premium; adjust the premium on the Office Condo tab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/>
    <row r="48">
      <c r="B48" s="5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7" t="inlineStr">
        <is>
          <t>Buildable density (units/acre)</t>
        </is>
      </c>
      <c r="C49" s="92" t="n">
        <v>100</v>
      </c>
      <c r="D49" s="16" t="inlineStr">
        <is>
          <t>🔵 Live Local target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Assemblage buildable units</t>
        </is>
      </c>
      <c r="C50" s="83">
        <f>C30/43560*C49</f>
        <v/>
      </c>
      <c r="E50" s="16" t="inlineStr">
        <is>
          <t>acres × density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Gross development value (GDV)</t>
        </is>
      </c>
      <c r="C51" s="49">
        <f>C50*'Assumptions'!C51</f>
        <v/>
      </c>
      <c r="E51" s="16" t="inlineStr">
        <is>
          <t>units × achievable value/unit (Assumptions)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Buildable GBA (SF)</t>
        </is>
      </c>
      <c r="C52" s="83">
        <f>C50*'Assumptions'!C53</f>
        <v/>
      </c>
    </row>
    <row r="53" ht="15" customHeight="1">
      <c r="B53" s="7" t="inlineStr">
        <is>
          <t>− Hard cost</t>
        </is>
      </c>
      <c r="C53" s="48">
        <f>-C52*'Assumptions'!C52</f>
        <v/>
      </c>
    </row>
    <row r="54" ht="15" customHeight="1">
      <c r="B54" s="7" t="inlineStr">
        <is>
          <t>− Soft cost</t>
        </is>
      </c>
      <c r="C54" s="48">
        <f>-C52*'Assumptions'!C52*'Assumptions'!C54</f>
        <v/>
      </c>
    </row>
    <row r="55" ht="15" customHeight="1">
      <c r="B55" s="7" t="inlineStr">
        <is>
          <t>− Developer profit</t>
        </is>
      </c>
      <c r="C55" s="48">
        <f>-C51*'Assumptions'!C55</f>
        <v/>
      </c>
    </row>
    <row r="56" ht="16" customHeight="1">
      <c r="B56" s="21" t="inlineStr">
        <is>
          <t>RESIDUAL LAND VALUE (supports acquisition?)</t>
        </is>
      </c>
      <c r="C56" s="22">
        <f>C51+C53-C52*'Assumptions'!C52*'Assumptions'!C54-C51*'Assumptions'!C55</f>
        <v/>
      </c>
    </row>
    <row r="57" ht="27" customHeight="1">
      <c r="B57" s="15" t="inlineStr">
        <is>
          <t>HBU verdict</t>
        </is>
      </c>
      <c r="C57" s="45" t="inlineStr">
        <is>
          <t>HOLD</t>
        </is>
      </c>
      <c r="D57" s="15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7" t="inlineStr">
        <is>
          <t>• Priced independently, the components sum to ~$86M; as an assemblage (base premium) ~$103M — the premium is the cost of controlling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 xml:space="preserve">  a contiguous block held by five owners (a sale-leaseback, a fractured condo, and holdout risk).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• The land alone is worth more assembled (plottage) than as fragmented parcels — but redevelopment does not yet pencil, so the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 xml:space="preserve">  return today is income-covered land banking, with the Live Local density as the option you are paying the premium to hold.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</t>
        </is>
      </c>
      <c r="D5" s="39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39" t="inlineStr">
        <is>
          <t>Principal / manager</t>
        </is>
      </c>
      <c r="D6" s="39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Gross leasable area (GLA)</t>
        </is>
      </c>
      <c r="D7" s="39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Zoning / flood</t>
        </is>
      </c>
      <c r="D10" s="39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Last sale</t>
        </is>
      </c>
      <c r="D11" s="39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39" t="inlineStr">
        <is>
          <t>2025 real-estate taxes</t>
        </is>
      </c>
      <c r="D12" s="39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39" t="inlineStr">
        <is>
          <t>2026 just / market value (BCPA)</t>
        </is>
      </c>
      <c r="D13" s="39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39" t="inlineStr">
        <is>
          <t>Effective millage</t>
        </is>
      </c>
      <c r="D14" s="39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39" t="inlineStr">
        <is>
          <t>Derived basis on $17.1M</t>
        </is>
      </c>
      <c r="D15" s="39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In-place occupancy</t>
        </is>
      </c>
      <c r="D16" s="39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3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3" t="inlineStr">
        <is>
          <t>SF</t>
        </is>
      </c>
      <c r="G19" s="23" t="inlineStr">
        <is>
          <t>$/SF NNN</t>
        </is>
      </c>
      <c r="H19" s="23" t="inlineStr">
        <is>
          <t>Annual rent</t>
        </is>
      </c>
      <c r="I19" s="8" t="n"/>
      <c r="J19" s="9" t="n"/>
      <c r="K19" s="23" t="inlineStr">
        <is>
          <t>Tenant type</t>
        </is>
      </c>
      <c r="L19" s="8" t="n"/>
      <c r="M19" s="9" t="n"/>
    </row>
    <row r="20" ht="27" customHeight="1">
      <c r="B20" s="4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83" t="n">
        <v>4000</v>
      </c>
      <c r="G20" s="93" t="n">
        <v>48</v>
      </c>
      <c r="H20" s="48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4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83" t="n">
        <v>3500</v>
      </c>
      <c r="G21" s="93" t="n">
        <v>62</v>
      </c>
      <c r="H21" s="48">
        <f>F21*G21</f>
        <v/>
      </c>
      <c r="I21" s="8" t="n"/>
      <c r="J21" s="9" t="n"/>
      <c r="K21" s="39" t="inlineStr">
        <is>
          <t>NATIONAL credit</t>
        </is>
      </c>
      <c r="L21" s="8" t="n"/>
      <c r="M21" s="9" t="n"/>
    </row>
    <row r="22" ht="27" customHeight="1">
      <c r="B22" s="4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83" t="n">
        <v>3700</v>
      </c>
      <c r="G22" s="93" t="n">
        <v>52</v>
      </c>
      <c r="H22" s="48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4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83" t="n">
        <v>2200</v>
      </c>
      <c r="G23" s="93" t="n">
        <v>58</v>
      </c>
      <c r="H23" s="48">
        <f>F23*G23</f>
        <v/>
      </c>
      <c r="I23" s="8" t="n"/>
      <c r="J23" s="9" t="n"/>
      <c r="K23" s="39" t="inlineStr">
        <is>
          <t>NATIONAL credit</t>
        </is>
      </c>
      <c r="L23" s="8" t="n"/>
      <c r="M23" s="9" t="n"/>
    </row>
    <row r="24" ht="27" customHeight="1">
      <c r="B24" s="4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83" t="n">
        <v>2200</v>
      </c>
      <c r="G24" s="93" t="n">
        <v>54</v>
      </c>
      <c r="H24" s="48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4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83" t="n">
        <v>2000</v>
      </c>
      <c r="G25" s="93" t="n">
        <v>50</v>
      </c>
      <c r="H25" s="48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4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83" t="n">
        <v>1800</v>
      </c>
      <c r="G26" s="93" t="n">
        <v>56</v>
      </c>
      <c r="H26" s="48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4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83" t="n">
        <v>1250</v>
      </c>
      <c r="G27" s="93" t="n">
        <v>58</v>
      </c>
      <c r="H27" s="48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4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83" t="n">
        <v>1200</v>
      </c>
      <c r="G28" s="93" t="n">
        <v>56</v>
      </c>
      <c r="H28" s="48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45" t="inlineStr">
        <is>
          <t>—</t>
        </is>
      </c>
      <c r="C29" s="15" t="inlineStr">
        <is>
          <t>VACANT / available (mid-strip)</t>
        </is>
      </c>
      <c r="D29" s="15" t="inlineStr">
        <is>
          <t>Lease-up target to 95%</t>
        </is>
      </c>
      <c r="E29" s="9" t="n"/>
      <c r="F29" s="94" t="n">
        <v>4422</v>
      </c>
      <c r="G29" s="95" t="inlineStr">
        <is>
          <t>—</t>
        </is>
      </c>
      <c r="H29" s="95" t="inlineStr">
        <is>
          <t>—</t>
        </is>
      </c>
      <c r="I29" s="8" t="n"/>
      <c r="J29" s="9" t="n"/>
      <c r="K29" s="15" t="inlineStr">
        <is>
          <t>value-add upside</t>
        </is>
      </c>
      <c r="L29" s="8" t="n"/>
      <c r="M29" s="9" t="n"/>
    </row>
    <row r="30" ht="27" customHeight="1">
      <c r="B30" s="28" t="inlineStr">
        <is>
          <t>TOTAL / WEIGHTED AVG</t>
        </is>
      </c>
      <c r="C30" s="28" t="inlineStr">
        <is>
          <t>9 tenants + vacancy</t>
        </is>
      </c>
      <c r="D30" s="30" t="inlineStr"/>
      <c r="E30" s="9" t="n"/>
      <c r="F30" s="85">
        <f>SUM(F20:F29)</f>
        <v/>
      </c>
      <c r="G30" s="96">
        <f>IFERROR(SUM(H20:H28)/SUM(F20:F28),0)</f>
        <v/>
      </c>
      <c r="H30" s="31">
        <f>SUM(H20:H28)</f>
        <v/>
      </c>
      <c r="I30" s="8" t="n"/>
      <c r="J30" s="9" t="n"/>
      <c r="K30" s="28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92" t="n">
        <v>26272</v>
      </c>
      <c r="D34" s="16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7">
        <f>'Assumptions'!C63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2">
        <f>'Assumptions'!C60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97" t="n">
        <v>0.0191</v>
      </c>
      <c r="D37" s="16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93" t="n">
        <v>55</v>
      </c>
      <c r="D39" s="16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6">
        <f>'Assumptions'!C62</f>
        <v/>
      </c>
      <c r="D40" s="16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98" t="n">
        <v>0.03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4">
        <f>'Assumptions'!C64</f>
        <v/>
      </c>
      <c r="D42" s="16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98" t="n">
        <v>0.02</v>
      </c>
      <c r="D43" s="16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47" t="n">
        <v>17100000</v>
      </c>
      <c r="D45" s="16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20">
        <f>'Assumptions'!C65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20">
        <f>'Assumptions'!C66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20">
        <f>'Assumptions'!C67</f>
        <v/>
      </c>
      <c r="D48" s="16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4">
        <f>'Assumptions'!C68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98" t="n">
        <v>0.03</v>
      </c>
      <c r="D50" s="16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93" t="n">
        <v>30</v>
      </c>
      <c r="D52" s="16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93" t="n">
        <v>20</v>
      </c>
      <c r="D53" s="16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93" t="n">
        <v>0.15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93" t="n">
        <v>0.75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20">
        <f>'Assumptions'!C59</f>
        <v/>
      </c>
      <c r="D57" s="16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98" t="n">
        <v>0.025</v>
      </c>
      <c r="D58" s="16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4">
        <f>'Assumptions'!C71</f>
        <v/>
      </c>
      <c r="D59" s="16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7">
        <f>'Assumptions'!C72</f>
        <v/>
      </c>
      <c r="D60" s="16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99" t="n">
        <v>30</v>
      </c>
      <c r="D61" s="16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4">
        <f>'Assumptions'!C69</f>
        <v/>
      </c>
      <c r="D63" s="16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4">
        <f>'Assumptions'!C70</f>
        <v/>
      </c>
      <c r="D64" s="16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98" t="n">
        <v>0.02</v>
      </c>
      <c r="D65" s="16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99" t="n">
        <v>5</v>
      </c>
      <c r="D66" s="16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98" t="n">
        <v>0.09</v>
      </c>
      <c r="D67" s="16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49">
        <f>C57*C59</f>
        <v/>
      </c>
      <c r="D70" s="16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70">
        <f>C60/12</f>
        <v/>
      </c>
    </row>
    <row r="72" ht="15" customHeight="1">
      <c r="B72" s="7" t="inlineStr">
        <is>
          <t>Amortization periods</t>
        </is>
      </c>
      <c r="C72" s="83">
        <f>C61*12</f>
        <v/>
      </c>
    </row>
    <row r="73" ht="15" customHeight="1">
      <c r="B73" s="7" t="inlineStr">
        <is>
          <t>Annual debt service (amortizing)</t>
        </is>
      </c>
      <c r="C73" s="49">
        <f>C70*(C71/(1-(1+C71)^(-C72)))*12</f>
        <v/>
      </c>
    </row>
    <row r="74" ht="15" customHeight="1">
      <c r="B74" s="7" t="inlineStr">
        <is>
          <t>Equity at acquisition</t>
        </is>
      </c>
      <c r="C74" s="49">
        <f>C57*(1+C58)-C70</f>
        <v/>
      </c>
      <c r="D74" s="16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83">
        <f>C34*(C42-C35)</f>
        <v/>
      </c>
    </row>
    <row r="76" ht="15" customHeight="1">
      <c r="B76" s="7" t="inlineStr">
        <is>
          <t>Initial leasing capital (TI/LC on absorbed SF)</t>
        </is>
      </c>
      <c r="C76" s="49">
        <f>C75*(C52+C53)</f>
        <v/>
      </c>
    </row>
    <row r="77" ht="15" customHeight="1">
      <c r="B77" s="7" t="inlineStr">
        <is>
          <t>Total cost basis (incl. initial leasing)</t>
        </is>
      </c>
      <c r="C77" s="49">
        <f>C57*(1+C58)+C76</f>
        <v/>
      </c>
    </row>
    <row r="78" ht="15" customHeight="1">
      <c r="B78" s="7" t="inlineStr">
        <is>
          <t>Total equity required</t>
        </is>
      </c>
      <c r="C78" s="49">
        <f>C77-C70</f>
        <v/>
      </c>
    </row>
    <row r="79" ht="15" customHeight="1">
      <c r="B79" s="7" t="inlineStr">
        <is>
          <t>Land value ($/SF)</t>
        </is>
      </c>
      <c r="C79" s="36">
        <f>'Assumptions'!C61</f>
        <v/>
      </c>
      <c r="D79" s="16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49">
        <f>C36*C79</f>
        <v/>
      </c>
      <c r="D80" s="16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3" t="inlineStr">
        <is>
          <t>0 / Acq</t>
        </is>
      </c>
      <c r="D83" s="55" t="n">
        <v>1</v>
      </c>
      <c r="E83" s="55" t="n">
        <v>2</v>
      </c>
      <c r="F83" s="55" t="n">
        <v>3</v>
      </c>
      <c r="G83" s="55" t="n">
        <v>4</v>
      </c>
      <c r="H83" s="55" t="n">
        <v>5</v>
      </c>
      <c r="I83" s="55" t="n">
        <v>6</v>
      </c>
      <c r="J83" s="55" t="n">
        <v>7</v>
      </c>
      <c r="K83" s="55" t="n">
        <v>8</v>
      </c>
      <c r="L83" s="55" t="n">
        <v>9</v>
      </c>
      <c r="M83" s="55" t="n">
        <v>10</v>
      </c>
    </row>
    <row r="84" ht="15" customHeight="1">
      <c r="B84" s="16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51">
        <f>(C35+C42)/2</f>
        <v/>
      </c>
      <c r="E85" s="51">
        <f>C42</f>
        <v/>
      </c>
      <c r="F85" s="51">
        <f>C42</f>
        <v/>
      </c>
      <c r="G85" s="51">
        <f>C42</f>
        <v/>
      </c>
      <c r="H85" s="51">
        <f>C42</f>
        <v/>
      </c>
      <c r="I85" s="51">
        <f>C42</f>
        <v/>
      </c>
      <c r="J85" s="51">
        <f>C42</f>
        <v/>
      </c>
      <c r="K85" s="51">
        <f>C42</f>
        <v/>
      </c>
      <c r="L85" s="51">
        <f>C42</f>
        <v/>
      </c>
      <c r="M85" s="51">
        <f>C42</f>
        <v/>
      </c>
    </row>
    <row r="86" ht="15" customHeight="1">
      <c r="B86" s="7" t="inlineStr">
        <is>
          <t>Leased SF</t>
        </is>
      </c>
      <c r="D86" s="83">
        <f>C34*D85</f>
        <v/>
      </c>
      <c r="E86" s="83">
        <f>C34*E85</f>
        <v/>
      </c>
      <c r="F86" s="83">
        <f>C34*F85</f>
        <v/>
      </c>
      <c r="G86" s="83">
        <f>C34*G85</f>
        <v/>
      </c>
      <c r="H86" s="83">
        <f>C34*H85</f>
        <v/>
      </c>
      <c r="I86" s="83">
        <f>C34*I85</f>
        <v/>
      </c>
      <c r="J86" s="83">
        <f>C34*J85</f>
        <v/>
      </c>
      <c r="K86" s="83">
        <f>C34*K85</f>
        <v/>
      </c>
      <c r="L86" s="83">
        <f>C34*L85</f>
        <v/>
      </c>
      <c r="M86" s="83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49">
        <f>D86*C40*(1+C41)^(1-1)</f>
        <v/>
      </c>
      <c r="E88" s="48">
        <f>E86*C40*(1+C41)^(2-1)</f>
        <v/>
      </c>
      <c r="F88" s="48">
        <f>F86*C40*(1+C41)^(3-1)</f>
        <v/>
      </c>
      <c r="G88" s="48">
        <f>G86*C40*(1+C41)^(4-1)</f>
        <v/>
      </c>
      <c r="H88" s="48">
        <f>H86*C40*(1+C41)^(5-1)</f>
        <v/>
      </c>
      <c r="I88" s="48">
        <f>I86*C40*(1+C41)^(6-1)</f>
        <v/>
      </c>
      <c r="J88" s="48">
        <f>J86*C40*(1+C41)^(7-1)</f>
        <v/>
      </c>
      <c r="K88" s="48">
        <f>K86*C40*(1+C41)^(8-1)</f>
        <v/>
      </c>
      <c r="L88" s="48">
        <f>L86*C40*(1+C41)^(9-1)</f>
        <v/>
      </c>
      <c r="M88" s="48">
        <f>M86*C40*(1+C41)^(10-1)</f>
        <v/>
      </c>
    </row>
    <row r="89" ht="15" customHeight="1">
      <c r="B89" s="7" t="inlineStr">
        <is>
          <t>Recoverable opex (gross)</t>
        </is>
      </c>
      <c r="D89" s="48">
        <f>(C45*C37+C46+C47)*(1+C50)^(1-1)</f>
        <v/>
      </c>
      <c r="E89" s="48">
        <f>(C45*C37+C46+C47)*(1+C50)^(2-1)</f>
        <v/>
      </c>
      <c r="F89" s="48">
        <f>(C45*C37+C46+C47)*(1+C50)^(3-1)</f>
        <v/>
      </c>
      <c r="G89" s="48">
        <f>(C45*C37+C46+C47)*(1+C50)^(4-1)</f>
        <v/>
      </c>
      <c r="H89" s="48">
        <f>(C45*C37+C46+C47)*(1+C50)^(5-1)</f>
        <v/>
      </c>
      <c r="I89" s="48">
        <f>(C45*C37+C46+C47)*(1+C50)^(6-1)</f>
        <v/>
      </c>
      <c r="J89" s="48">
        <f>(C45*C37+C46+C47)*(1+C50)^(7-1)</f>
        <v/>
      </c>
      <c r="K89" s="48">
        <f>(C45*C37+C46+C47)*(1+C50)^(8-1)</f>
        <v/>
      </c>
      <c r="L89" s="48">
        <f>(C45*C37+C46+C47)*(1+C50)^(9-1)</f>
        <v/>
      </c>
      <c r="M89" s="48">
        <f>(C45*C37+C46+C47)*(1+C50)^(10-1)</f>
        <v/>
      </c>
    </row>
    <row r="90" ht="15" customHeight="1">
      <c r="B90" s="7" t="inlineStr">
        <is>
          <t>Expense reimbursements (NNN)</t>
        </is>
      </c>
      <c r="D90" s="48">
        <f>D89*D85</f>
        <v/>
      </c>
      <c r="E90" s="48">
        <f>E89*E85</f>
        <v/>
      </c>
      <c r="F90" s="48">
        <f>F89*F85</f>
        <v/>
      </c>
      <c r="G90" s="48">
        <f>G89*G85</f>
        <v/>
      </c>
      <c r="H90" s="48">
        <f>H89*H85</f>
        <v/>
      </c>
      <c r="I90" s="48">
        <f>I89*I85</f>
        <v/>
      </c>
      <c r="J90" s="48">
        <f>J89*J85</f>
        <v/>
      </c>
      <c r="K90" s="48">
        <f>K89*K85</f>
        <v/>
      </c>
      <c r="L90" s="48">
        <f>L89*L85</f>
        <v/>
      </c>
      <c r="M90" s="48">
        <f>M89*M85</f>
        <v/>
      </c>
    </row>
    <row r="91" ht="15" customHeight="1">
      <c r="B91" s="7" t="inlineStr">
        <is>
          <t>Less: credit &amp; collection loss</t>
        </is>
      </c>
      <c r="D91" s="48">
        <f>-D88*C43</f>
        <v/>
      </c>
      <c r="E91" s="48">
        <f>-E88*C43</f>
        <v/>
      </c>
      <c r="F91" s="48">
        <f>-F88*C43</f>
        <v/>
      </c>
      <c r="G91" s="48">
        <f>-G88*C43</f>
        <v/>
      </c>
      <c r="H91" s="48">
        <f>-H88*C43</f>
        <v/>
      </c>
      <c r="I91" s="48">
        <f>-I88*C43</f>
        <v/>
      </c>
      <c r="J91" s="48">
        <f>-J88*C43</f>
        <v/>
      </c>
      <c r="K91" s="48">
        <f>-K88*C43</f>
        <v/>
      </c>
      <c r="L91" s="48">
        <f>-L88*C43</f>
        <v/>
      </c>
      <c r="M91" s="48">
        <f>-M88*C43</f>
        <v/>
      </c>
    </row>
    <row r="92" ht="15" customHeight="1">
      <c r="B92" s="41" t="inlineStr">
        <is>
          <t>Effective Gross Revenue</t>
        </is>
      </c>
      <c r="D92" s="49">
        <f>D88+D90+D91</f>
        <v/>
      </c>
      <c r="E92" s="48">
        <f>E88+E90+E91</f>
        <v/>
      </c>
      <c r="F92" s="48">
        <f>F88+F90+F91</f>
        <v/>
      </c>
      <c r="G92" s="48">
        <f>G88+G90+G91</f>
        <v/>
      </c>
      <c r="H92" s="48">
        <f>H88+H90+H91</f>
        <v/>
      </c>
      <c r="I92" s="48">
        <f>I88+I90+I91</f>
        <v/>
      </c>
      <c r="J92" s="48">
        <f>J88+J90+J91</f>
        <v/>
      </c>
      <c r="K92" s="48">
        <f>K88+K90+K91</f>
        <v/>
      </c>
      <c r="L92" s="48">
        <f>L88+L90+L91</f>
        <v/>
      </c>
      <c r="M92" s="48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48">
        <f>C45*C37*(1+C50)^(1-1)</f>
        <v/>
      </c>
      <c r="E94" s="48">
        <f>C45*C37*(1+C50)^(2-1)</f>
        <v/>
      </c>
      <c r="F94" s="48">
        <f>C45*C37*(1+C50)^(3-1)</f>
        <v/>
      </c>
      <c r="G94" s="48">
        <f>C45*C37*(1+C50)^(4-1)</f>
        <v/>
      </c>
      <c r="H94" s="48">
        <f>C45*C37*(1+C50)^(5-1)</f>
        <v/>
      </c>
      <c r="I94" s="48">
        <f>C45*C37*(1+C50)^(6-1)</f>
        <v/>
      </c>
      <c r="J94" s="48">
        <f>C45*C37*(1+C50)^(7-1)</f>
        <v/>
      </c>
      <c r="K94" s="48">
        <f>C45*C37*(1+C50)^(8-1)</f>
        <v/>
      </c>
      <c r="L94" s="48">
        <f>C45*C37*(1+C50)^(9-1)</f>
        <v/>
      </c>
      <c r="M94" s="48">
        <f>C45*C37*(1+C50)^(10-1)</f>
        <v/>
      </c>
    </row>
    <row r="95" ht="15" customHeight="1">
      <c r="B95" s="7" t="inlineStr">
        <is>
          <t>Insurance</t>
        </is>
      </c>
      <c r="D95" s="48">
        <f>C46*(1+C50)^(1-1)</f>
        <v/>
      </c>
      <c r="E95" s="48">
        <f>C46*(1+C50)^(2-1)</f>
        <v/>
      </c>
      <c r="F95" s="48">
        <f>C46*(1+C50)^(3-1)</f>
        <v/>
      </c>
      <c r="G95" s="48">
        <f>C46*(1+C50)^(4-1)</f>
        <v/>
      </c>
      <c r="H95" s="48">
        <f>C46*(1+C50)^(5-1)</f>
        <v/>
      </c>
      <c r="I95" s="48">
        <f>C46*(1+C50)^(6-1)</f>
        <v/>
      </c>
      <c r="J95" s="48">
        <f>C46*(1+C50)^(7-1)</f>
        <v/>
      </c>
      <c r="K95" s="48">
        <f>C46*(1+C50)^(8-1)</f>
        <v/>
      </c>
      <c r="L95" s="48">
        <f>C46*(1+C50)^(9-1)</f>
        <v/>
      </c>
      <c r="M95" s="48">
        <f>C46*(1+C50)^(10-1)</f>
        <v/>
      </c>
    </row>
    <row r="96" ht="15" customHeight="1">
      <c r="B96" s="7" t="inlineStr">
        <is>
          <t>CAM</t>
        </is>
      </c>
      <c r="D96" s="48">
        <f>C47*(1+C50)^(1-1)</f>
        <v/>
      </c>
      <c r="E96" s="48">
        <f>C47*(1+C50)^(2-1)</f>
        <v/>
      </c>
      <c r="F96" s="48">
        <f>C47*(1+C50)^(3-1)</f>
        <v/>
      </c>
      <c r="G96" s="48">
        <f>C47*(1+C50)^(4-1)</f>
        <v/>
      </c>
      <c r="H96" s="48">
        <f>C47*(1+C50)^(5-1)</f>
        <v/>
      </c>
      <c r="I96" s="48">
        <f>C47*(1+C50)^(6-1)</f>
        <v/>
      </c>
      <c r="J96" s="48">
        <f>C47*(1+C50)^(7-1)</f>
        <v/>
      </c>
      <c r="K96" s="48">
        <f>C47*(1+C50)^(8-1)</f>
        <v/>
      </c>
      <c r="L96" s="48">
        <f>C47*(1+C50)^(9-1)</f>
        <v/>
      </c>
      <c r="M96" s="48">
        <f>C47*(1+C50)^(10-1)</f>
        <v/>
      </c>
    </row>
    <row r="97" ht="15" customHeight="1">
      <c r="B97" s="7" t="inlineStr">
        <is>
          <t>Repairs &amp; maintenance</t>
        </is>
      </c>
      <c r="D97" s="48">
        <f>C48*(1+C50)^(1-1)</f>
        <v/>
      </c>
      <c r="E97" s="48">
        <f>C48*(1+C50)^(2-1)</f>
        <v/>
      </c>
      <c r="F97" s="48">
        <f>C48*(1+C50)^(3-1)</f>
        <v/>
      </c>
      <c r="G97" s="48">
        <f>C48*(1+C50)^(4-1)</f>
        <v/>
      </c>
      <c r="H97" s="48">
        <f>C48*(1+C50)^(5-1)</f>
        <v/>
      </c>
      <c r="I97" s="48">
        <f>C48*(1+C50)^(6-1)</f>
        <v/>
      </c>
      <c r="J97" s="48">
        <f>C48*(1+C50)^(7-1)</f>
        <v/>
      </c>
      <c r="K97" s="48">
        <f>C48*(1+C50)^(8-1)</f>
        <v/>
      </c>
      <c r="L97" s="48">
        <f>C48*(1+C50)^(9-1)</f>
        <v/>
      </c>
      <c r="M97" s="48">
        <f>C48*(1+C50)^(10-1)</f>
        <v/>
      </c>
    </row>
    <row r="98" ht="15" customHeight="1">
      <c r="B98" s="7" t="inlineStr">
        <is>
          <t>Management fee</t>
        </is>
      </c>
      <c r="D98" s="48">
        <f>D92*C49</f>
        <v/>
      </c>
      <c r="E98" s="48">
        <f>E92*C49</f>
        <v/>
      </c>
      <c r="F98" s="48">
        <f>F92*C49</f>
        <v/>
      </c>
      <c r="G98" s="48">
        <f>G92*C49</f>
        <v/>
      </c>
      <c r="H98" s="48">
        <f>H92*C49</f>
        <v/>
      </c>
      <c r="I98" s="48">
        <f>I92*C49</f>
        <v/>
      </c>
      <c r="J98" s="48">
        <f>J92*C49</f>
        <v/>
      </c>
      <c r="K98" s="48">
        <f>K92*C49</f>
        <v/>
      </c>
      <c r="L98" s="48">
        <f>L92*C49</f>
        <v/>
      </c>
      <c r="M98" s="48">
        <f>M92*C49</f>
        <v/>
      </c>
    </row>
    <row r="99" ht="15" customHeight="1">
      <c r="B99" s="41" t="inlineStr">
        <is>
          <t>Total operating expenses</t>
        </is>
      </c>
      <c r="D99" s="49">
        <f>SUM(D94:D98)</f>
        <v/>
      </c>
      <c r="E99" s="48">
        <f>SUM(E94:E98)</f>
        <v/>
      </c>
      <c r="F99" s="48">
        <f>SUM(F94:F98)</f>
        <v/>
      </c>
      <c r="G99" s="48">
        <f>SUM(G94:G98)</f>
        <v/>
      </c>
      <c r="H99" s="48">
        <f>SUM(H94:H98)</f>
        <v/>
      </c>
      <c r="I99" s="48">
        <f>SUM(I94:I98)</f>
        <v/>
      </c>
      <c r="J99" s="48">
        <f>SUM(J94:J98)</f>
        <v/>
      </c>
      <c r="K99" s="48">
        <f>SUM(K94:K98)</f>
        <v/>
      </c>
      <c r="L99" s="48">
        <f>SUM(L94:L98)</f>
        <v/>
      </c>
      <c r="M99" s="48">
        <f>SUM(M94:M98)</f>
        <v/>
      </c>
    </row>
    <row r="100" ht="15" customHeight="1">
      <c r="B100" s="41" t="inlineStr">
        <is>
          <t>NET OPERATING INCOME</t>
        </is>
      </c>
      <c r="D100" s="50">
        <f>D92-D99</f>
        <v/>
      </c>
      <c r="E100" s="56">
        <f>E92-E99</f>
        <v/>
      </c>
      <c r="F100" s="56">
        <f>F92-F99</f>
        <v/>
      </c>
      <c r="G100" s="56">
        <f>G92-G99</f>
        <v/>
      </c>
      <c r="H100" s="56">
        <f>H92-H99</f>
        <v/>
      </c>
      <c r="I100" s="56">
        <f>I92-I99</f>
        <v/>
      </c>
      <c r="J100" s="56">
        <f>J92-J99</f>
        <v/>
      </c>
      <c r="K100" s="56">
        <f>K92-K99</f>
        <v/>
      </c>
      <c r="L100" s="56">
        <f>L92-L99</f>
        <v/>
      </c>
      <c r="M100" s="56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48">
        <f>C34*C54*(1+C50)^(1-1)</f>
        <v/>
      </c>
      <c r="E102" s="48">
        <f>C34*C54*(1+C50)^(2-1)</f>
        <v/>
      </c>
      <c r="F102" s="48">
        <f>C34*C54*(1+C50)^(3-1)</f>
        <v/>
      </c>
      <c r="G102" s="48">
        <f>C34*C54*(1+C50)^(4-1)</f>
        <v/>
      </c>
      <c r="H102" s="48">
        <f>C34*C54*(1+C50)^(5-1)</f>
        <v/>
      </c>
      <c r="I102" s="48">
        <f>C34*C54*(1+C50)^(6-1)</f>
        <v/>
      </c>
      <c r="J102" s="48">
        <f>C34*C54*(1+C50)^(7-1)</f>
        <v/>
      </c>
      <c r="K102" s="48">
        <f>C34*C54*(1+C50)^(8-1)</f>
        <v/>
      </c>
      <c r="L102" s="48">
        <f>C34*C54*(1+C50)^(9-1)</f>
        <v/>
      </c>
      <c r="M102" s="48">
        <f>C34*C54*(1+C50)^(10-1)</f>
        <v/>
      </c>
    </row>
    <row r="103" ht="15" customHeight="1">
      <c r="B103" s="7" t="inlineStr">
        <is>
          <t>Leasing costs (TI/LC + rollover)</t>
        </is>
      </c>
      <c r="D103" s="48">
        <f>C75*(C52+C53)+C34*C55</f>
        <v/>
      </c>
      <c r="E103" s="48">
        <f>C34*C55*(1+C50)^(2-1)</f>
        <v/>
      </c>
      <c r="F103" s="48">
        <f>C34*C55*(1+C50)^(3-1)</f>
        <v/>
      </c>
      <c r="G103" s="48">
        <f>C34*C55*(1+C50)^(4-1)</f>
        <v/>
      </c>
      <c r="H103" s="48">
        <f>C34*C55*(1+C50)^(5-1)</f>
        <v/>
      </c>
      <c r="I103" s="48">
        <f>C34*C55*(1+C50)^(6-1)</f>
        <v/>
      </c>
      <c r="J103" s="48">
        <f>C34*C55*(1+C50)^(7-1)</f>
        <v/>
      </c>
      <c r="K103" s="48">
        <f>C34*C55*(1+C50)^(8-1)</f>
        <v/>
      </c>
      <c r="L103" s="48">
        <f>C34*C55*(1+C50)^(9-1)</f>
        <v/>
      </c>
      <c r="M103" s="48">
        <f>C34*C55*(1+C50)^(10-1)</f>
        <v/>
      </c>
    </row>
    <row r="104" ht="15" customHeight="1">
      <c r="B104" s="41" t="inlineStr">
        <is>
          <t>Total capital</t>
        </is>
      </c>
      <c r="D104" s="49">
        <f>D102+D103</f>
        <v/>
      </c>
      <c r="E104" s="48">
        <f>E102+E103</f>
        <v/>
      </c>
      <c r="F104" s="48">
        <f>F102+F103</f>
        <v/>
      </c>
      <c r="G104" s="48">
        <f>G102+G103</f>
        <v/>
      </c>
      <c r="H104" s="48">
        <f>H102+H103</f>
        <v/>
      </c>
      <c r="I104" s="48">
        <f>I102+I103</f>
        <v/>
      </c>
      <c r="J104" s="48">
        <f>J102+J103</f>
        <v/>
      </c>
      <c r="K104" s="48">
        <f>K102+K103</f>
        <v/>
      </c>
      <c r="L104" s="48">
        <f>L102+L103</f>
        <v/>
      </c>
      <c r="M104" s="48">
        <f>M102+M103</f>
        <v/>
      </c>
    </row>
    <row r="105" ht="15" customHeight="1">
      <c r="B105" s="41" t="inlineStr">
        <is>
          <t>Unlevered cash flow (before reversion)</t>
        </is>
      </c>
      <c r="C105" s="50">
        <f>-C57*(1+C58)</f>
        <v/>
      </c>
      <c r="D105" s="50">
        <f>D100-D104</f>
        <v/>
      </c>
      <c r="E105" s="56">
        <f>E100-E104</f>
        <v/>
      </c>
      <c r="F105" s="56">
        <f>F100-F104</f>
        <v/>
      </c>
      <c r="G105" s="56">
        <f>G100-G104</f>
        <v/>
      </c>
      <c r="H105" s="56">
        <f>H100-H104</f>
        <v/>
      </c>
      <c r="I105" s="56">
        <f>I100-I104</f>
        <v/>
      </c>
      <c r="J105" s="56">
        <f>J100-J104</f>
        <v/>
      </c>
      <c r="K105" s="56">
        <f>K100-K104</f>
        <v/>
      </c>
      <c r="L105" s="56">
        <f>L100-L104</f>
        <v/>
      </c>
      <c r="M105" s="56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48">
        <f>IF(1=C66,(D100*(1+C41)/C64)*(1-C65),0)</f>
        <v/>
      </c>
      <c r="E108" s="48">
        <f>IF(2=C66,(E100*(1+C41)/C64)*(1-C65),0)</f>
        <v/>
      </c>
      <c r="F108" s="48">
        <f>IF(3=C66,(F100*(1+C41)/C64)*(1-C65),0)</f>
        <v/>
      </c>
      <c r="G108" s="48">
        <f>IF(4=C66,(G100*(1+C41)/C64)*(1-C65),0)</f>
        <v/>
      </c>
      <c r="H108" s="48">
        <f>IF(5=C66,(H100*(1+C41)/C64)*(1-C65),0)</f>
        <v/>
      </c>
      <c r="I108" s="48">
        <f>IF(6=C66,(I100*(1+C41)/C64)*(1-C65),0)</f>
        <v/>
      </c>
      <c r="J108" s="48">
        <f>IF(7=C66,(J100*(1+C41)/C64)*(1-C65),0)</f>
        <v/>
      </c>
      <c r="K108" s="48">
        <f>IF(8=C66,(K100*(1+C41)/C64)*(1-C65),0)</f>
        <v/>
      </c>
      <c r="L108" s="48">
        <f>IF(9=C66,(L100*(1+C41)/C64)*(1-C65),0)</f>
        <v/>
      </c>
      <c r="M108" s="48">
        <f>IF(10=C66,(M100*(1+C41)/C64)*(1-C65),0)</f>
        <v/>
      </c>
    </row>
    <row r="109" ht="15" customHeight="1">
      <c r="B109" s="41" t="inlineStr">
        <is>
          <t>UNLEVERED PROJECT CASH FLOW</t>
        </is>
      </c>
      <c r="C109" s="50">
        <f>C105</f>
        <v/>
      </c>
      <c r="D109" s="50">
        <f>IF(1&lt;=C66,D105,0)+D108</f>
        <v/>
      </c>
      <c r="E109" s="56">
        <f>IF(2&lt;=C66,E105,0)+E108</f>
        <v/>
      </c>
      <c r="F109" s="56">
        <f>IF(3&lt;=C66,F105,0)+F108</f>
        <v/>
      </c>
      <c r="G109" s="56">
        <f>IF(4&lt;=C66,G105,0)+G108</f>
        <v/>
      </c>
      <c r="H109" s="56">
        <f>IF(5&lt;=C66,H105,0)+H108</f>
        <v/>
      </c>
      <c r="I109" s="56">
        <f>IF(6&lt;=C66,I105,0)+I108</f>
        <v/>
      </c>
      <c r="J109" s="56">
        <f>IF(7&lt;=C66,J105,0)+J108</f>
        <v/>
      </c>
      <c r="K109" s="56">
        <f>IF(8&lt;=C66,K105,0)+K108</f>
        <v/>
      </c>
      <c r="L109" s="56">
        <f>IF(9&lt;=C66,L105,0)+L108</f>
        <v/>
      </c>
      <c r="M109" s="56">
        <f>IF(10&lt;=C66,M105,0)+M108</f>
        <v/>
      </c>
    </row>
    <row r="110" ht="15" customHeight="1">
      <c r="B110" s="7" t="inlineStr">
        <is>
          <t>Debt service</t>
        </is>
      </c>
      <c r="D110" s="48">
        <f>IF(1&lt;=C66,-C73,0)</f>
        <v/>
      </c>
      <c r="E110" s="48">
        <f>IF(2&lt;=C66,-C73,0)</f>
        <v/>
      </c>
      <c r="F110" s="48">
        <f>IF(3&lt;=C66,-C73,0)</f>
        <v/>
      </c>
      <c r="G110" s="48">
        <f>IF(4&lt;=C66,-C73,0)</f>
        <v/>
      </c>
      <c r="H110" s="48">
        <f>IF(5&lt;=C66,-C73,0)</f>
        <v/>
      </c>
      <c r="I110" s="48">
        <f>IF(6&lt;=C66,-C73,0)</f>
        <v/>
      </c>
      <c r="J110" s="48">
        <f>IF(7&lt;=C66,-C73,0)</f>
        <v/>
      </c>
      <c r="K110" s="48">
        <f>IF(8&lt;=C66,-C73,0)</f>
        <v/>
      </c>
      <c r="L110" s="48">
        <f>IF(9&lt;=C66,-C73,0)</f>
        <v/>
      </c>
      <c r="M110" s="48">
        <f>IF(10&lt;=C66,-C73,0)</f>
        <v/>
      </c>
    </row>
    <row r="111" ht="15" customHeight="1">
      <c r="B111" s="7" t="inlineStr">
        <is>
          <t>Loan balance (year-end)</t>
        </is>
      </c>
      <c r="D111" s="48">
        <f>C70*(1+C71)^(12*1)-(C73/12)*((1+C71)^(12*1)-1)/C71</f>
        <v/>
      </c>
      <c r="E111" s="48">
        <f>C70*(1+C71)^(12*2)-(C73/12)*((1+C71)^(12*2)-1)/C71</f>
        <v/>
      </c>
      <c r="F111" s="48">
        <f>C70*(1+C71)^(12*3)-(C73/12)*((1+C71)^(12*3)-1)/C71</f>
        <v/>
      </c>
      <c r="G111" s="48">
        <f>C70*(1+C71)^(12*4)-(C73/12)*((1+C71)^(12*4)-1)/C71</f>
        <v/>
      </c>
      <c r="H111" s="48">
        <f>C70*(1+C71)^(12*5)-(C73/12)*((1+C71)^(12*5)-1)/C71</f>
        <v/>
      </c>
      <c r="I111" s="48">
        <f>C70*(1+C71)^(12*6)-(C73/12)*((1+C71)^(12*6)-1)/C71</f>
        <v/>
      </c>
      <c r="J111" s="48">
        <f>C70*(1+C71)^(12*7)-(C73/12)*((1+C71)^(12*7)-1)/C71</f>
        <v/>
      </c>
      <c r="K111" s="48">
        <f>C70*(1+C71)^(12*8)-(C73/12)*((1+C71)^(12*8)-1)/C71</f>
        <v/>
      </c>
      <c r="L111" s="48">
        <f>C70*(1+C71)^(12*9)-(C73/12)*((1+C71)^(12*9)-1)/C71</f>
        <v/>
      </c>
      <c r="M111" s="48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57">
        <f>D100/C73</f>
        <v/>
      </c>
      <c r="E112" s="57">
        <f>E100/C73</f>
        <v/>
      </c>
      <c r="F112" s="57">
        <f>F100/C73</f>
        <v/>
      </c>
      <c r="G112" s="57">
        <f>G100/C73</f>
        <v/>
      </c>
      <c r="H112" s="57">
        <f>H100/C73</f>
        <v/>
      </c>
      <c r="I112" s="57">
        <f>I100/C73</f>
        <v/>
      </c>
      <c r="J112" s="57">
        <f>J100/C73</f>
        <v/>
      </c>
      <c r="K112" s="57">
        <f>K100/C73</f>
        <v/>
      </c>
      <c r="L112" s="57">
        <f>L100/C73</f>
        <v/>
      </c>
      <c r="M112" s="57">
        <f>M100/C73</f>
        <v/>
      </c>
    </row>
    <row r="113" ht="15" customHeight="1">
      <c r="B113" s="7" t="inlineStr">
        <is>
          <t>Debt yield (NOI ÷ loan)</t>
        </is>
      </c>
      <c r="D113" s="51">
        <f>D100/C70</f>
        <v/>
      </c>
      <c r="E113" s="51">
        <f>E100/C70</f>
        <v/>
      </c>
      <c r="F113" s="51">
        <f>F100/C70</f>
        <v/>
      </c>
      <c r="G113" s="51">
        <f>G100/C70</f>
        <v/>
      </c>
      <c r="H113" s="51">
        <f>H100/C70</f>
        <v/>
      </c>
      <c r="I113" s="51">
        <f>I100/C70</f>
        <v/>
      </c>
      <c r="J113" s="51">
        <f>J100/C70</f>
        <v/>
      </c>
      <c r="K113" s="51">
        <f>K100/C70</f>
        <v/>
      </c>
      <c r="L113" s="51">
        <f>L100/C70</f>
        <v/>
      </c>
      <c r="M113" s="51">
        <f>M100/C70</f>
        <v/>
      </c>
    </row>
    <row r="114" ht="15" customHeight="1">
      <c r="B114" s="41" t="inlineStr">
        <is>
          <t>LEVERED CASH FLOW (equity)</t>
        </is>
      </c>
      <c r="C114" s="50">
        <f>-C74</f>
        <v/>
      </c>
      <c r="D114" s="50">
        <f>IF(1&lt;=C66,D105-C73,0)+IF(1=C66,D108-D111,0)</f>
        <v/>
      </c>
      <c r="E114" s="56">
        <f>IF(2&lt;=C66,E105-C73,0)+IF(2=C66,E108-E111,0)</f>
        <v/>
      </c>
      <c r="F114" s="56">
        <f>IF(3&lt;=C66,F105-C73,0)+IF(3=C66,F108-F111,0)</f>
        <v/>
      </c>
      <c r="G114" s="56">
        <f>IF(4&lt;=C66,G105-C73,0)+IF(4=C66,G108-G111,0)</f>
        <v/>
      </c>
      <c r="H114" s="56">
        <f>IF(5&lt;=C66,H105-C73,0)+IF(5=C66,H108-H111,0)</f>
        <v/>
      </c>
      <c r="I114" s="56">
        <f>IF(6&lt;=C66,I105-C73,0)+IF(6=C66,I108-I111,0)</f>
        <v/>
      </c>
      <c r="J114" s="56">
        <f>IF(7&lt;=C66,J105-C73,0)+IF(7=C66,J108-J111,0)</f>
        <v/>
      </c>
      <c r="K114" s="56">
        <f>IF(8&lt;=C66,K105-C73,0)+IF(8=C66,K108-K111,0)</f>
        <v/>
      </c>
      <c r="L114" s="56">
        <f>IF(9&lt;=C66,L105-C73,0)+IF(9=C66,L108-L111,0)</f>
        <v/>
      </c>
      <c r="M114" s="56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51">
        <f>IRR(C109:M109)</f>
        <v/>
      </c>
    </row>
    <row r="118" ht="15" customHeight="1">
      <c r="B118" s="7" t="inlineStr">
        <is>
          <t>Unlevered equity multiple</t>
        </is>
      </c>
      <c r="C118" s="57">
        <f>SUM(D109:M109)/-C109</f>
        <v/>
      </c>
    </row>
    <row r="119" ht="15" customHeight="1">
      <c r="B119" s="7" t="inlineStr">
        <is>
          <t>Unlevered NPV @ discount rate</t>
        </is>
      </c>
      <c r="C119" s="49">
        <f>C109+NPV(C67,D109:M109)</f>
        <v/>
      </c>
    </row>
    <row r="120" ht="15" customHeight="1">
      <c r="B120" s="7" t="inlineStr">
        <is>
          <t>Levered IRR</t>
        </is>
      </c>
      <c r="C120" s="51">
        <f>IRR(C114:M114)</f>
        <v/>
      </c>
    </row>
    <row r="121" ht="15" customHeight="1">
      <c r="B121" s="7" t="inlineStr">
        <is>
          <t>Levered equity multiple</t>
        </is>
      </c>
      <c r="C121" s="57">
        <f>SUM(D114:M114)/C74</f>
        <v/>
      </c>
    </row>
    <row r="122" ht="15" customHeight="1">
      <c r="B122" s="7" t="inlineStr">
        <is>
          <t>In-place NOI (Yr-1 $, 83.17% occ)</t>
        </is>
      </c>
      <c r="C122" s="49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70">
        <f>C122/C57</f>
        <v/>
      </c>
    </row>
    <row r="124" ht="15" customHeight="1">
      <c r="B124" s="7" t="inlineStr">
        <is>
          <t>Stabilized NOI (Yr 2)</t>
        </is>
      </c>
      <c r="C124" s="49">
        <f>E100</f>
        <v/>
      </c>
    </row>
    <row r="125" ht="15" customHeight="1">
      <c r="B125" s="7" t="inlineStr">
        <is>
          <t>Stabilized value (÷ exit cap)</t>
        </is>
      </c>
      <c r="C125" s="49">
        <f>C124/C64</f>
        <v/>
      </c>
    </row>
    <row r="126" ht="15" customHeight="1">
      <c r="B126" s="7" t="inlineStr">
        <is>
          <t>Stabilized yield on cost</t>
        </is>
      </c>
      <c r="C126" s="51">
        <f>C124/C77</f>
        <v/>
      </c>
    </row>
    <row r="127" ht="15" customHeight="1">
      <c r="B127" s="7" t="inlineStr">
        <is>
          <t>Value created (lease-up)</t>
        </is>
      </c>
      <c r="C127" s="49">
        <f>C125-C77</f>
        <v/>
      </c>
    </row>
    <row r="128" ht="15" customHeight="1">
      <c r="B128" s="7" t="inlineStr">
        <is>
          <t>Year-1 DSCR</t>
        </is>
      </c>
      <c r="C128" s="57">
        <f>D100/C73</f>
        <v/>
      </c>
    </row>
    <row r="129" ht="15" customHeight="1">
      <c r="B129" s="7" t="inlineStr">
        <is>
          <t>Year-1 debt yield</t>
        </is>
      </c>
      <c r="C129" s="51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100" t="inlineStr">
        <is>
          <t>In-place (Yr 1)</t>
        </is>
      </c>
      <c r="G132" s="9" t="n"/>
      <c r="H132" s="100" t="inlineStr">
        <is>
          <t>Stabilized (Yr 2)</t>
        </is>
      </c>
      <c r="I132" s="9" t="n"/>
      <c r="J132" s="100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56">
        <f>D88</f>
        <v/>
      </c>
      <c r="G133" s="9" t="n"/>
      <c r="H133" s="50">
        <f>E88</f>
        <v/>
      </c>
      <c r="I133" s="9" t="n"/>
      <c r="J133" s="101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48">
        <f>D90</f>
        <v/>
      </c>
      <c r="G134" s="9" t="n"/>
      <c r="H134" s="48">
        <f>E90</f>
        <v/>
      </c>
      <c r="I134" s="9" t="n"/>
      <c r="J134" s="86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48">
        <f>D91</f>
        <v/>
      </c>
      <c r="G135" s="9" t="n"/>
      <c r="H135" s="48">
        <f>E91</f>
        <v/>
      </c>
      <c r="I135" s="9" t="n"/>
      <c r="J135" s="86">
        <f>H135/C34</f>
        <v/>
      </c>
      <c r="K135" s="8" t="n"/>
      <c r="L135" s="8" t="n"/>
      <c r="M135" s="9" t="n"/>
    </row>
    <row r="136" ht="15" customHeight="1">
      <c r="B136" s="41" t="inlineStr">
        <is>
          <t>Effective Gross Income</t>
        </is>
      </c>
      <c r="F136" s="56">
        <f>D92</f>
        <v/>
      </c>
      <c r="G136" s="9" t="n"/>
      <c r="H136" s="50">
        <f>E92</f>
        <v/>
      </c>
      <c r="I136" s="9" t="n"/>
      <c r="J136" s="101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48">
        <f>-D94</f>
        <v/>
      </c>
      <c r="G137" s="9" t="n"/>
      <c r="H137" s="48">
        <f>-E94</f>
        <v/>
      </c>
      <c r="I137" s="9" t="n"/>
      <c r="J137" s="86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48">
        <f>-D95</f>
        <v/>
      </c>
      <c r="G138" s="9" t="n"/>
      <c r="H138" s="48">
        <f>-E95</f>
        <v/>
      </c>
      <c r="I138" s="9" t="n"/>
      <c r="J138" s="86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48">
        <f>-D96</f>
        <v/>
      </c>
      <c r="G139" s="9" t="n"/>
      <c r="H139" s="48">
        <f>-E96</f>
        <v/>
      </c>
      <c r="I139" s="9" t="n"/>
      <c r="J139" s="86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48">
        <f>-D97</f>
        <v/>
      </c>
      <c r="G140" s="9" t="n"/>
      <c r="H140" s="48">
        <f>-E97</f>
        <v/>
      </c>
      <c r="I140" s="9" t="n"/>
      <c r="J140" s="86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48">
        <f>-D98</f>
        <v/>
      </c>
      <c r="G141" s="9" t="n"/>
      <c r="H141" s="48">
        <f>-E98</f>
        <v/>
      </c>
      <c r="I141" s="9" t="n"/>
      <c r="J141" s="86">
        <f>H141/C34</f>
        <v/>
      </c>
      <c r="K141" s="8" t="n"/>
      <c r="L141" s="8" t="n"/>
      <c r="M141" s="9" t="n"/>
    </row>
    <row r="142" ht="15" customHeight="1">
      <c r="B142" s="41" t="inlineStr">
        <is>
          <t>Net Operating Income</t>
        </is>
      </c>
      <c r="F142" s="56">
        <f>D100</f>
        <v/>
      </c>
      <c r="G142" s="9" t="n"/>
      <c r="H142" s="50">
        <f>E100</f>
        <v/>
      </c>
      <c r="I142" s="9" t="n"/>
      <c r="J142" s="101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48">
        <f>-D102</f>
        <v/>
      </c>
      <c r="G143" s="9" t="n"/>
      <c r="H143" s="48">
        <f>-E102</f>
        <v/>
      </c>
      <c r="I143" s="9" t="n"/>
      <c r="J143" s="86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48">
        <f>-D103</f>
        <v/>
      </c>
      <c r="G144" s="9" t="n"/>
      <c r="H144" s="48">
        <f>-E103</f>
        <v/>
      </c>
      <c r="I144" s="9" t="n"/>
      <c r="J144" s="86">
        <f>H144/C34</f>
        <v/>
      </c>
      <c r="K144" s="8" t="n"/>
      <c r="L144" s="8" t="n"/>
      <c r="M144" s="9" t="n"/>
    </row>
    <row r="145" ht="15" customHeight="1">
      <c r="B145" s="41" t="inlineStr">
        <is>
          <t>Cash Flow Before Debt</t>
        </is>
      </c>
      <c r="F145" s="56">
        <f>D105</f>
        <v/>
      </c>
      <c r="G145" s="9" t="n"/>
      <c r="H145" s="50">
        <f>E105</f>
        <v/>
      </c>
      <c r="I145" s="9" t="n"/>
      <c r="J145" s="101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48">
        <f>-C73</f>
        <v/>
      </c>
      <c r="G146" s="9" t="n"/>
      <c r="H146" s="48">
        <f>-C73</f>
        <v/>
      </c>
      <c r="I146" s="9" t="n"/>
      <c r="J146" s="86">
        <f>H146/C34</f>
        <v/>
      </c>
      <c r="K146" s="8" t="n"/>
      <c r="L146" s="8" t="n"/>
      <c r="M146" s="9" t="n"/>
    </row>
    <row r="147" ht="15" customHeight="1">
      <c r="B147" s="41" t="inlineStr">
        <is>
          <t>Cash Flow After Debt (levered)</t>
        </is>
      </c>
      <c r="F147" s="50">
        <f>F145-C73</f>
        <v/>
      </c>
      <c r="G147" s="9" t="n"/>
      <c r="H147" s="50">
        <f>H145-C73</f>
        <v/>
      </c>
      <c r="I147" s="9" t="n"/>
      <c r="J147" s="101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 (today)</t>
        </is>
      </c>
      <c r="D5" s="39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Building</t>
        </is>
      </c>
      <c r="D7" s="39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Last sale</t>
        </is>
      </c>
      <c r="D10" s="39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2025 real-estate taxes</t>
        </is>
      </c>
      <c r="D11" s="39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3" t="inlineStr">
        <is>
          <t>SF</t>
        </is>
      </c>
      <c r="H17" s="23" t="inlineStr">
        <is>
          <t>$/SF NNN</t>
        </is>
      </c>
      <c r="I17" s="23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83" t="n">
        <v>34622</v>
      </c>
      <c r="H18" s="93" t="n">
        <v>22</v>
      </c>
      <c r="I18" s="48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83" t="n">
        <v>2200</v>
      </c>
      <c r="H19" s="93" t="n">
        <v>60</v>
      </c>
      <c r="I19" s="48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8" t="inlineStr">
        <is>
          <t>TOTAL / WTD AVG</t>
        </is>
      </c>
      <c r="C20" s="8" t="n"/>
      <c r="D20" s="9" t="n"/>
      <c r="E20" s="30" t="inlineStr"/>
      <c r="F20" s="9" t="n"/>
      <c r="G20" s="85">
        <f>SUM(G18:G19)</f>
        <v/>
      </c>
      <c r="H20" s="96">
        <f>IFERROR(SUM(I18:I19)/SUM(G18:G19),0)</f>
        <v/>
      </c>
      <c r="I20" s="31">
        <f>SUM(I18:I19)</f>
        <v/>
      </c>
      <c r="J20" s="8" t="n"/>
      <c r="K20" s="9" t="n"/>
      <c r="L20" s="28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92" t="n">
        <v>36822</v>
      </c>
      <c r="D24" s="16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2">
        <f>'Assumptions'!C76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4">
        <f>'Assumptions'!C83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4">
        <f>'Assumptions'!C84</f>
        <v/>
      </c>
      <c r="D27" s="16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6">
        <f>('Assumptions'!C79*'Assumptions'!C78+'Assumptions'!C81*'Assumptions'!C80)/C24</f>
        <v/>
      </c>
      <c r="D28" s="16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98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98" t="n">
        <v>0.01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97" t="n">
        <v>0.0191</v>
      </c>
      <c r="D31" s="16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20">
        <f>'Assumptions'!C85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20">
        <f>'Assumptions'!C86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20">
        <f>'Assumptions'!C87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4">
        <f>'Assumptions'!C88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98" t="n">
        <v>0.03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93" t="n">
        <v>0</v>
      </c>
      <c r="D39" s="16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93" t="n">
        <v>0</v>
      </c>
      <c r="D40" s="16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93" t="n">
        <v>0.15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93" t="n">
        <v>0.15</v>
      </c>
      <c r="D42" s="16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20">
        <f>'Assumptions'!C75</f>
        <v/>
      </c>
      <c r="D44" s="16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98" t="n">
        <v>0.02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4">
        <f>'Assumptions'!C91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7">
        <f>'Assumptions'!C92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99" t="n">
        <v>30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7">
        <f>'Assumptions'!C89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7">
        <f>'Assumptions'!C90</f>
        <v/>
      </c>
      <c r="D51" s="16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98" t="n">
        <v>0.02</v>
      </c>
      <c r="D52" s="16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99" t="n">
        <v>5</v>
      </c>
      <c r="D53" s="16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98" t="n">
        <v>0.07000000000000001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6">
        <f>'Assumptions'!C77</f>
        <v/>
      </c>
      <c r="D55" s="16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49">
        <f>C44*C46</f>
        <v/>
      </c>
      <c r="D58" s="16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70">
        <f>C47/12</f>
        <v/>
      </c>
    </row>
    <row r="60" ht="15" customHeight="1">
      <c r="B60" s="7" t="inlineStr">
        <is>
          <t>Annual debt service</t>
        </is>
      </c>
      <c r="C60" s="49">
        <f>C58*(C59/(1-(1+C59)^(-C48*12)))*12</f>
        <v/>
      </c>
    </row>
    <row r="61" ht="15" customHeight="1">
      <c r="B61" s="7" t="inlineStr">
        <is>
          <t>Equity at acquisition</t>
        </is>
      </c>
      <c r="C61" s="49">
        <f>C44*(1+C45)-C58</f>
        <v/>
      </c>
    </row>
    <row r="62" ht="15" customHeight="1">
      <c r="B62" s="7" t="inlineStr">
        <is>
          <t>Absorption SF (lease-up)</t>
        </is>
      </c>
      <c r="C62" s="83">
        <f>C24*(C27-C26)</f>
        <v/>
      </c>
    </row>
    <row r="63" ht="15" customHeight="1">
      <c r="B63" s="7" t="inlineStr">
        <is>
          <t>Initial leasing capital</t>
        </is>
      </c>
      <c r="C63" s="49">
        <f>C62*(C39+C40)</f>
        <v/>
      </c>
    </row>
    <row r="64" ht="15" customHeight="1">
      <c r="B64" s="7" t="inlineStr">
        <is>
          <t>Total cost basis</t>
        </is>
      </c>
      <c r="C64" s="49">
        <f>C44*(1+C45)+C63</f>
        <v/>
      </c>
    </row>
    <row r="65" ht="15" customHeight="1">
      <c r="B65" s="7" t="inlineStr">
        <is>
          <t>Total equity required</t>
        </is>
      </c>
      <c r="C65" s="49">
        <f>C64-C58</f>
        <v/>
      </c>
    </row>
    <row r="66" ht="15" customHeight="1">
      <c r="B66" s="7" t="inlineStr">
        <is>
          <t>Income value (Yr-1 NOI ÷ going-in cap)</t>
        </is>
      </c>
      <c r="C66" s="49">
        <f>D87/C50</f>
        <v/>
      </c>
      <c r="D66" s="16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49">
        <f>C25*C55</f>
        <v/>
      </c>
      <c r="D67" s="16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3" t="inlineStr">
        <is>
          <t>0 / Acq</t>
        </is>
      </c>
      <c r="D70" s="55" t="n">
        <v>1</v>
      </c>
      <c r="E70" s="55" t="n">
        <v>2</v>
      </c>
      <c r="F70" s="55" t="n">
        <v>3</v>
      </c>
      <c r="G70" s="55" t="n">
        <v>4</v>
      </c>
      <c r="H70" s="55" t="n">
        <v>5</v>
      </c>
      <c r="I70" s="55" t="n">
        <v>6</v>
      </c>
      <c r="J70" s="55" t="n">
        <v>7</v>
      </c>
      <c r="K70" s="55" t="n">
        <v>8</v>
      </c>
      <c r="L70" s="55" t="n">
        <v>9</v>
      </c>
      <c r="M70" s="55" t="n">
        <v>10</v>
      </c>
    </row>
    <row r="71" ht="15" customHeight="1">
      <c r="B71" s="16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51">
        <f>(C26+C27)/2</f>
        <v/>
      </c>
      <c r="E72" s="51">
        <f>C27</f>
        <v/>
      </c>
      <c r="F72" s="51">
        <f>C27</f>
        <v/>
      </c>
      <c r="G72" s="51">
        <f>C27</f>
        <v/>
      </c>
      <c r="H72" s="51">
        <f>C27</f>
        <v/>
      </c>
      <c r="I72" s="51">
        <f>C27</f>
        <v/>
      </c>
      <c r="J72" s="51">
        <f>C27</f>
        <v/>
      </c>
      <c r="K72" s="51">
        <f>C27</f>
        <v/>
      </c>
      <c r="L72" s="51">
        <f>C27</f>
        <v/>
      </c>
      <c r="M72" s="51">
        <f>C27</f>
        <v/>
      </c>
    </row>
    <row r="73" ht="15" customHeight="1">
      <c r="B73" s="7" t="inlineStr">
        <is>
          <t>Leased SF</t>
        </is>
      </c>
      <c r="D73" s="83">
        <f>C24*D72</f>
        <v/>
      </c>
      <c r="E73" s="83">
        <f>C24*E72</f>
        <v/>
      </c>
      <c r="F73" s="83">
        <f>C24*F72</f>
        <v/>
      </c>
      <c r="G73" s="83">
        <f>C24*G72</f>
        <v/>
      </c>
      <c r="H73" s="83">
        <f>C24*H72</f>
        <v/>
      </c>
      <c r="I73" s="83">
        <f>C24*I72</f>
        <v/>
      </c>
      <c r="J73" s="83">
        <f>C24*J72</f>
        <v/>
      </c>
      <c r="K73" s="83">
        <f>C24*K72</f>
        <v/>
      </c>
      <c r="L73" s="83">
        <f>C24*L72</f>
        <v/>
      </c>
      <c r="M73" s="83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49">
        <f>IF(1&lt;='Assumptions'!C82,D73*C28*(1+C29)^(1-1),0)</f>
        <v/>
      </c>
      <c r="E75" s="48">
        <f>IF(2&lt;='Assumptions'!C82,E73*C28*(1+C29)^(2-1),0)</f>
        <v/>
      </c>
      <c r="F75" s="48">
        <f>IF(3&lt;='Assumptions'!C82,F73*C28*(1+C29)^(3-1),0)</f>
        <v/>
      </c>
      <c r="G75" s="48">
        <f>IF(4&lt;='Assumptions'!C82,G73*C28*(1+C29)^(4-1),0)</f>
        <v/>
      </c>
      <c r="H75" s="48">
        <f>IF(5&lt;='Assumptions'!C82,H73*C28*(1+C29)^(5-1),0)</f>
        <v/>
      </c>
      <c r="I75" s="48">
        <f>IF(6&lt;='Assumptions'!C82,I73*C28*(1+C29)^(6-1),0)</f>
        <v/>
      </c>
      <c r="J75" s="48">
        <f>IF(7&lt;='Assumptions'!C82,J73*C28*(1+C29)^(7-1),0)</f>
        <v/>
      </c>
      <c r="K75" s="48">
        <f>IF(8&lt;='Assumptions'!C82,K73*C28*(1+C29)^(8-1),0)</f>
        <v/>
      </c>
      <c r="L75" s="48">
        <f>IF(9&lt;='Assumptions'!C82,L73*C28*(1+C29)^(9-1),0)</f>
        <v/>
      </c>
      <c r="M75" s="48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48">
        <f>(C44*C31+C33+C34)*(1+C37)^(1-1)</f>
        <v/>
      </c>
      <c r="E76" s="48">
        <f>(C44*C31+C33+C34)*(1+C37)^(2-1)</f>
        <v/>
      </c>
      <c r="F76" s="48">
        <f>(C44*C31+C33+C34)*(1+C37)^(3-1)</f>
        <v/>
      </c>
      <c r="G76" s="48">
        <f>(C44*C31+C33+C34)*(1+C37)^(4-1)</f>
        <v/>
      </c>
      <c r="H76" s="48">
        <f>(C44*C31+C33+C34)*(1+C37)^(5-1)</f>
        <v/>
      </c>
      <c r="I76" s="48">
        <f>(C44*C31+C33+C34)*(1+C37)^(6-1)</f>
        <v/>
      </c>
      <c r="J76" s="48">
        <f>(C44*C31+C33+C34)*(1+C37)^(7-1)</f>
        <v/>
      </c>
      <c r="K76" s="48">
        <f>(C44*C31+C33+C34)*(1+C37)^(8-1)</f>
        <v/>
      </c>
      <c r="L76" s="48">
        <f>(C44*C31+C33+C34)*(1+C37)^(9-1)</f>
        <v/>
      </c>
      <c r="M76" s="48">
        <f>(C44*C31+C33+C34)*(1+C37)^(10-1)</f>
        <v/>
      </c>
    </row>
    <row r="77" ht="15" customHeight="1">
      <c r="B77" s="7" t="inlineStr">
        <is>
          <t>Expense reimbursements (NNN)</t>
        </is>
      </c>
      <c r="D77" s="48">
        <f>D76*D72</f>
        <v/>
      </c>
      <c r="E77" s="48">
        <f>E76*E72</f>
        <v/>
      </c>
      <c r="F77" s="48">
        <f>F76*F72</f>
        <v/>
      </c>
      <c r="G77" s="48">
        <f>G76*G72</f>
        <v/>
      </c>
      <c r="H77" s="48">
        <f>H76*H72</f>
        <v/>
      </c>
      <c r="I77" s="48">
        <f>I76*I72</f>
        <v/>
      </c>
      <c r="J77" s="48">
        <f>J76*J72</f>
        <v/>
      </c>
      <c r="K77" s="48">
        <f>K76*K72</f>
        <v/>
      </c>
      <c r="L77" s="48">
        <f>L76*L72</f>
        <v/>
      </c>
      <c r="M77" s="48">
        <f>M76*M72</f>
        <v/>
      </c>
    </row>
    <row r="78" ht="15" customHeight="1">
      <c r="B78" s="7" t="inlineStr">
        <is>
          <t>Less: credit &amp; collection loss</t>
        </is>
      </c>
      <c r="D78" s="48">
        <f>-D75*C30</f>
        <v/>
      </c>
      <c r="E78" s="48">
        <f>-E75*C30</f>
        <v/>
      </c>
      <c r="F78" s="48">
        <f>-F75*C30</f>
        <v/>
      </c>
      <c r="G78" s="48">
        <f>-G75*C30</f>
        <v/>
      </c>
      <c r="H78" s="48">
        <f>-H75*C30</f>
        <v/>
      </c>
      <c r="I78" s="48">
        <f>-I75*C30</f>
        <v/>
      </c>
      <c r="J78" s="48">
        <f>-J75*C30</f>
        <v/>
      </c>
      <c r="K78" s="48">
        <f>-K75*C30</f>
        <v/>
      </c>
      <c r="L78" s="48">
        <f>-L75*C30</f>
        <v/>
      </c>
      <c r="M78" s="48">
        <f>-M75*C30</f>
        <v/>
      </c>
    </row>
    <row r="79" ht="15" customHeight="1">
      <c r="B79" s="41" t="inlineStr">
        <is>
          <t>Effective Gross Revenue</t>
        </is>
      </c>
      <c r="D79" s="49">
        <f>D75+D77+D78</f>
        <v/>
      </c>
      <c r="E79" s="48">
        <f>E75+E77+E78</f>
        <v/>
      </c>
      <c r="F79" s="48">
        <f>F75+F77+F78</f>
        <v/>
      </c>
      <c r="G79" s="48">
        <f>G75+G77+G78</f>
        <v/>
      </c>
      <c r="H79" s="48">
        <f>H75+H77+H78</f>
        <v/>
      </c>
      <c r="I79" s="48">
        <f>I75+I77+I78</f>
        <v/>
      </c>
      <c r="J79" s="48">
        <f>J75+J77+J78</f>
        <v/>
      </c>
      <c r="K79" s="48">
        <f>K75+K77+K78</f>
        <v/>
      </c>
      <c r="L79" s="48">
        <f>L75+L77+L78</f>
        <v/>
      </c>
      <c r="M79" s="48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48">
        <f>C44*C31*(1+C37)^(1-1)</f>
        <v/>
      </c>
      <c r="E81" s="48">
        <f>C44*C31*(1+C37)^(2-1)</f>
        <v/>
      </c>
      <c r="F81" s="48">
        <f>C44*C31*(1+C37)^(3-1)</f>
        <v/>
      </c>
      <c r="G81" s="48">
        <f>C44*C31*(1+C37)^(4-1)</f>
        <v/>
      </c>
      <c r="H81" s="48">
        <f>C44*C31*(1+C37)^(5-1)</f>
        <v/>
      </c>
      <c r="I81" s="48">
        <f>C44*C31*(1+C37)^(6-1)</f>
        <v/>
      </c>
      <c r="J81" s="48">
        <f>C44*C31*(1+C37)^(7-1)</f>
        <v/>
      </c>
      <c r="K81" s="48">
        <f>C44*C31*(1+C37)^(8-1)</f>
        <v/>
      </c>
      <c r="L81" s="48">
        <f>C44*C31*(1+C37)^(9-1)</f>
        <v/>
      </c>
      <c r="M81" s="48">
        <f>C44*C31*(1+C37)^(10-1)</f>
        <v/>
      </c>
    </row>
    <row r="82" ht="15" customHeight="1">
      <c r="B82" s="7" t="inlineStr">
        <is>
          <t>Insurance</t>
        </is>
      </c>
      <c r="D82" s="48">
        <f>C33*(1+C37)^(1-1)</f>
        <v/>
      </c>
      <c r="E82" s="48">
        <f>C33*(1+C37)^(2-1)</f>
        <v/>
      </c>
      <c r="F82" s="48">
        <f>C33*(1+C37)^(3-1)</f>
        <v/>
      </c>
      <c r="G82" s="48">
        <f>C33*(1+C37)^(4-1)</f>
        <v/>
      </c>
      <c r="H82" s="48">
        <f>C33*(1+C37)^(5-1)</f>
        <v/>
      </c>
      <c r="I82" s="48">
        <f>C33*(1+C37)^(6-1)</f>
        <v/>
      </c>
      <c r="J82" s="48">
        <f>C33*(1+C37)^(7-1)</f>
        <v/>
      </c>
      <c r="K82" s="48">
        <f>C33*(1+C37)^(8-1)</f>
        <v/>
      </c>
      <c r="L82" s="48">
        <f>C33*(1+C37)^(9-1)</f>
        <v/>
      </c>
      <c r="M82" s="48">
        <f>C33*(1+C37)^(10-1)</f>
        <v/>
      </c>
    </row>
    <row r="83" ht="15" customHeight="1">
      <c r="B83" s="7" t="inlineStr">
        <is>
          <t>CAM</t>
        </is>
      </c>
      <c r="D83" s="48">
        <f>C34*(1+C37)^(1-1)</f>
        <v/>
      </c>
      <c r="E83" s="48">
        <f>C34*(1+C37)^(2-1)</f>
        <v/>
      </c>
      <c r="F83" s="48">
        <f>C34*(1+C37)^(3-1)</f>
        <v/>
      </c>
      <c r="G83" s="48">
        <f>C34*(1+C37)^(4-1)</f>
        <v/>
      </c>
      <c r="H83" s="48">
        <f>C34*(1+C37)^(5-1)</f>
        <v/>
      </c>
      <c r="I83" s="48">
        <f>C34*(1+C37)^(6-1)</f>
        <v/>
      </c>
      <c r="J83" s="48">
        <f>C34*(1+C37)^(7-1)</f>
        <v/>
      </c>
      <c r="K83" s="48">
        <f>C34*(1+C37)^(8-1)</f>
        <v/>
      </c>
      <c r="L83" s="48">
        <f>C34*(1+C37)^(9-1)</f>
        <v/>
      </c>
      <c r="M83" s="48">
        <f>C34*(1+C37)^(10-1)</f>
        <v/>
      </c>
    </row>
    <row r="84" ht="15" customHeight="1">
      <c r="B84" s="7" t="inlineStr">
        <is>
          <t>Repairs &amp; maintenance</t>
        </is>
      </c>
      <c r="D84" s="48">
        <f>C35*(1+C37)^(1-1)</f>
        <v/>
      </c>
      <c r="E84" s="48">
        <f>C35*(1+C37)^(2-1)</f>
        <v/>
      </c>
      <c r="F84" s="48">
        <f>C35*(1+C37)^(3-1)</f>
        <v/>
      </c>
      <c r="G84" s="48">
        <f>C35*(1+C37)^(4-1)</f>
        <v/>
      </c>
      <c r="H84" s="48">
        <f>C35*(1+C37)^(5-1)</f>
        <v/>
      </c>
      <c r="I84" s="48">
        <f>C35*(1+C37)^(6-1)</f>
        <v/>
      </c>
      <c r="J84" s="48">
        <f>C35*(1+C37)^(7-1)</f>
        <v/>
      </c>
      <c r="K84" s="48">
        <f>C35*(1+C37)^(8-1)</f>
        <v/>
      </c>
      <c r="L84" s="48">
        <f>C35*(1+C37)^(9-1)</f>
        <v/>
      </c>
      <c r="M84" s="48">
        <f>C35*(1+C37)^(10-1)</f>
        <v/>
      </c>
    </row>
    <row r="85" ht="15" customHeight="1">
      <c r="B85" s="7" t="inlineStr">
        <is>
          <t>Management fee</t>
        </is>
      </c>
      <c r="D85" s="48">
        <f>D79*C36</f>
        <v/>
      </c>
      <c r="E85" s="48">
        <f>E79*C36</f>
        <v/>
      </c>
      <c r="F85" s="48">
        <f>F79*C36</f>
        <v/>
      </c>
      <c r="G85" s="48">
        <f>G79*C36</f>
        <v/>
      </c>
      <c r="H85" s="48">
        <f>H79*C36</f>
        <v/>
      </c>
      <c r="I85" s="48">
        <f>I79*C36</f>
        <v/>
      </c>
      <c r="J85" s="48">
        <f>J79*C36</f>
        <v/>
      </c>
      <c r="K85" s="48">
        <f>K79*C36</f>
        <v/>
      </c>
      <c r="L85" s="48">
        <f>L79*C36</f>
        <v/>
      </c>
      <c r="M85" s="48">
        <f>M79*C36</f>
        <v/>
      </c>
    </row>
    <row r="86" ht="15" customHeight="1">
      <c r="B86" s="41" t="inlineStr">
        <is>
          <t>Total operating expenses</t>
        </is>
      </c>
      <c r="D86" s="49">
        <f>SUM(D81:D85)</f>
        <v/>
      </c>
      <c r="E86" s="48">
        <f>SUM(E81:E85)</f>
        <v/>
      </c>
      <c r="F86" s="48">
        <f>SUM(F81:F85)</f>
        <v/>
      </c>
      <c r="G86" s="48">
        <f>SUM(G81:G85)</f>
        <v/>
      </c>
      <c r="H86" s="48">
        <f>SUM(H81:H85)</f>
        <v/>
      </c>
      <c r="I86" s="48">
        <f>SUM(I81:I85)</f>
        <v/>
      </c>
      <c r="J86" s="48">
        <f>SUM(J81:J85)</f>
        <v/>
      </c>
      <c r="K86" s="48">
        <f>SUM(K81:K85)</f>
        <v/>
      </c>
      <c r="L86" s="48">
        <f>SUM(L81:L85)</f>
        <v/>
      </c>
      <c r="M86" s="48">
        <f>SUM(M81:M85)</f>
        <v/>
      </c>
    </row>
    <row r="87" ht="15" customHeight="1">
      <c r="B87" s="41" t="inlineStr">
        <is>
          <t>NET OPERATING INCOME</t>
        </is>
      </c>
      <c r="D87" s="50">
        <f>D79-D86</f>
        <v/>
      </c>
      <c r="E87" s="56">
        <f>E79-E86</f>
        <v/>
      </c>
      <c r="F87" s="56">
        <f>F79-F86</f>
        <v/>
      </c>
      <c r="G87" s="56">
        <f>G79-G86</f>
        <v/>
      </c>
      <c r="H87" s="56">
        <f>H79-H86</f>
        <v/>
      </c>
      <c r="I87" s="56">
        <f>I79-I86</f>
        <v/>
      </c>
      <c r="J87" s="56">
        <f>J79-J86</f>
        <v/>
      </c>
      <c r="K87" s="56">
        <f>K79-K86</f>
        <v/>
      </c>
      <c r="L87" s="56">
        <f>L79-L86</f>
        <v/>
      </c>
      <c r="M87" s="56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48">
        <f>C24*C41*(1+C37)^(1-1)</f>
        <v/>
      </c>
      <c r="E89" s="48">
        <f>C24*C41*(1+C37)^(2-1)</f>
        <v/>
      </c>
      <c r="F89" s="48">
        <f>C24*C41*(1+C37)^(3-1)</f>
        <v/>
      </c>
      <c r="G89" s="48">
        <f>C24*C41*(1+C37)^(4-1)</f>
        <v/>
      </c>
      <c r="H89" s="48">
        <f>C24*C41*(1+C37)^(5-1)</f>
        <v/>
      </c>
      <c r="I89" s="48">
        <f>C24*C41*(1+C37)^(6-1)</f>
        <v/>
      </c>
      <c r="J89" s="48">
        <f>C24*C41*(1+C37)^(7-1)</f>
        <v/>
      </c>
      <c r="K89" s="48">
        <f>C24*C41*(1+C37)^(8-1)</f>
        <v/>
      </c>
      <c r="L89" s="48">
        <f>C24*C41*(1+C37)^(9-1)</f>
        <v/>
      </c>
      <c r="M89" s="48">
        <f>C24*C41*(1+C37)^(10-1)</f>
        <v/>
      </c>
    </row>
    <row r="90" ht="15" customHeight="1">
      <c r="B90" s="7" t="inlineStr">
        <is>
          <t>Leasing costs</t>
        </is>
      </c>
      <c r="D90" s="48">
        <f>C62*(C39+C40)+C24*C42</f>
        <v/>
      </c>
      <c r="E90" s="48">
        <f>C24*C42*(1+C37)^(2-1)</f>
        <v/>
      </c>
      <c r="F90" s="48">
        <f>C24*C42*(1+C37)^(3-1)</f>
        <v/>
      </c>
      <c r="G90" s="48">
        <f>C24*C42*(1+C37)^(4-1)</f>
        <v/>
      </c>
      <c r="H90" s="48">
        <f>C24*C42*(1+C37)^(5-1)</f>
        <v/>
      </c>
      <c r="I90" s="48">
        <f>C24*C42*(1+C37)^(6-1)</f>
        <v/>
      </c>
      <c r="J90" s="48">
        <f>C24*C42*(1+C37)^(7-1)</f>
        <v/>
      </c>
      <c r="K90" s="48">
        <f>C24*C42*(1+C37)^(8-1)</f>
        <v/>
      </c>
      <c r="L90" s="48">
        <f>C24*C42*(1+C37)^(9-1)</f>
        <v/>
      </c>
      <c r="M90" s="48">
        <f>C24*C42*(1+C37)^(10-1)</f>
        <v/>
      </c>
    </row>
    <row r="91" ht="15" customHeight="1">
      <c r="B91" s="41" t="inlineStr">
        <is>
          <t>Total capital</t>
        </is>
      </c>
      <c r="D91" s="49">
        <f>D89+D90</f>
        <v/>
      </c>
      <c r="E91" s="48">
        <f>E89+E90</f>
        <v/>
      </c>
      <c r="F91" s="48">
        <f>F89+F90</f>
        <v/>
      </c>
      <c r="G91" s="48">
        <f>G89+G90</f>
        <v/>
      </c>
      <c r="H91" s="48">
        <f>H89+H90</f>
        <v/>
      </c>
      <c r="I91" s="48">
        <f>I89+I90</f>
        <v/>
      </c>
      <c r="J91" s="48">
        <f>J89+J90</f>
        <v/>
      </c>
      <c r="K91" s="48">
        <f>K89+K90</f>
        <v/>
      </c>
      <c r="L91" s="48">
        <f>L89+L90</f>
        <v/>
      </c>
      <c r="M91" s="48">
        <f>M89+M90</f>
        <v/>
      </c>
    </row>
    <row r="92" ht="15" customHeight="1">
      <c r="B92" s="41" t="inlineStr">
        <is>
          <t>Unlevered cash flow (before reversion)</t>
        </is>
      </c>
      <c r="C92" s="50">
        <f>-C44*(1+C45)</f>
        <v/>
      </c>
      <c r="D92" s="50">
        <f>D87-D91</f>
        <v/>
      </c>
      <c r="E92" s="56">
        <f>E87-E91</f>
        <v/>
      </c>
      <c r="F92" s="56">
        <f>F87-F91</f>
        <v/>
      </c>
      <c r="G92" s="56">
        <f>G87-G91</f>
        <v/>
      </c>
      <c r="H92" s="56">
        <f>H87-H91</f>
        <v/>
      </c>
      <c r="I92" s="56">
        <f>I87-I91</f>
        <v/>
      </c>
      <c r="J92" s="56">
        <f>J87-J91</f>
        <v/>
      </c>
      <c r="K92" s="56">
        <f>K87-K91</f>
        <v/>
      </c>
      <c r="L92" s="56">
        <f>L87-L91</f>
        <v/>
      </c>
      <c r="M92" s="56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48">
        <f>IF(1=C53,C67*(1-C52),0)</f>
        <v/>
      </c>
      <c r="E95" s="48">
        <f>IF(2=C53,C67*(1-C52),0)</f>
        <v/>
      </c>
      <c r="F95" s="48">
        <f>IF(3=C53,C67*(1-C52),0)</f>
        <v/>
      </c>
      <c r="G95" s="48">
        <f>IF(4=C53,C67*(1-C52),0)</f>
        <v/>
      </c>
      <c r="H95" s="48">
        <f>IF(5=C53,C67*(1-C52),0)</f>
        <v/>
      </c>
      <c r="I95" s="48">
        <f>IF(6=C53,C67*(1-C52),0)</f>
        <v/>
      </c>
      <c r="J95" s="48">
        <f>IF(7=C53,C67*(1-C52),0)</f>
        <v/>
      </c>
      <c r="K95" s="48">
        <f>IF(8=C53,C67*(1-C52),0)</f>
        <v/>
      </c>
      <c r="L95" s="48">
        <f>IF(9=C53,C67*(1-C52),0)</f>
        <v/>
      </c>
      <c r="M95" s="48">
        <f>IF(10=C53,C67*(1-C52),0)</f>
        <v/>
      </c>
    </row>
    <row r="96" ht="15" customHeight="1">
      <c r="B96" s="41" t="inlineStr">
        <is>
          <t>UNLEVERED PROJECT CASH FLOW</t>
        </is>
      </c>
      <c r="C96" s="50">
        <f>C92</f>
        <v/>
      </c>
      <c r="D96" s="50">
        <f>IF(1&lt;=C53,D92,0)+D95</f>
        <v/>
      </c>
      <c r="E96" s="56">
        <f>IF(2&lt;=C53,E92,0)+E95</f>
        <v/>
      </c>
      <c r="F96" s="56">
        <f>IF(3&lt;=C53,F92,0)+F95</f>
        <v/>
      </c>
      <c r="G96" s="56">
        <f>IF(4&lt;=C53,G92,0)+G95</f>
        <v/>
      </c>
      <c r="H96" s="56">
        <f>IF(5&lt;=C53,H92,0)+H95</f>
        <v/>
      </c>
      <c r="I96" s="56">
        <f>IF(6&lt;=C53,I92,0)+I95</f>
        <v/>
      </c>
      <c r="J96" s="56">
        <f>IF(7&lt;=C53,J92,0)+J95</f>
        <v/>
      </c>
      <c r="K96" s="56">
        <f>IF(8&lt;=C53,K92,0)+K95</f>
        <v/>
      </c>
      <c r="L96" s="56">
        <f>IF(9&lt;=C53,L92,0)+L95</f>
        <v/>
      </c>
      <c r="M96" s="56">
        <f>IF(10&lt;=C53,M92,0)+M95</f>
        <v/>
      </c>
    </row>
    <row r="97" ht="15" customHeight="1">
      <c r="B97" s="7" t="inlineStr">
        <is>
          <t>Debt service</t>
        </is>
      </c>
      <c r="D97" s="48">
        <f>IF(1&lt;=C53,-C60,0)</f>
        <v/>
      </c>
      <c r="E97" s="48">
        <f>IF(2&lt;=C53,-C60,0)</f>
        <v/>
      </c>
      <c r="F97" s="48">
        <f>IF(3&lt;=C53,-C60,0)</f>
        <v/>
      </c>
      <c r="G97" s="48">
        <f>IF(4&lt;=C53,-C60,0)</f>
        <v/>
      </c>
      <c r="H97" s="48">
        <f>IF(5&lt;=C53,-C60,0)</f>
        <v/>
      </c>
      <c r="I97" s="48">
        <f>IF(6&lt;=C53,-C60,0)</f>
        <v/>
      </c>
      <c r="J97" s="48">
        <f>IF(7&lt;=C53,-C60,0)</f>
        <v/>
      </c>
      <c r="K97" s="48">
        <f>IF(8&lt;=C53,-C60,0)</f>
        <v/>
      </c>
      <c r="L97" s="48">
        <f>IF(9&lt;=C53,-C60,0)</f>
        <v/>
      </c>
      <c r="M97" s="48">
        <f>IF(10&lt;=C53,-C60,0)</f>
        <v/>
      </c>
    </row>
    <row r="98" ht="15" customHeight="1">
      <c r="B98" s="7" t="inlineStr">
        <is>
          <t>Loan balance (year-end)</t>
        </is>
      </c>
      <c r="D98" s="48">
        <f>C58*(1+C59)^(12*1)-(C60/12)*((1+C59)^(12*1)-1)/C59</f>
        <v/>
      </c>
      <c r="E98" s="48">
        <f>C58*(1+C59)^(12*2)-(C60/12)*((1+C59)^(12*2)-1)/C59</f>
        <v/>
      </c>
      <c r="F98" s="48">
        <f>C58*(1+C59)^(12*3)-(C60/12)*((1+C59)^(12*3)-1)/C59</f>
        <v/>
      </c>
      <c r="G98" s="48">
        <f>C58*(1+C59)^(12*4)-(C60/12)*((1+C59)^(12*4)-1)/C59</f>
        <v/>
      </c>
      <c r="H98" s="48">
        <f>C58*(1+C59)^(12*5)-(C60/12)*((1+C59)^(12*5)-1)/C59</f>
        <v/>
      </c>
      <c r="I98" s="48">
        <f>C58*(1+C59)^(12*6)-(C60/12)*((1+C59)^(12*6)-1)/C59</f>
        <v/>
      </c>
      <c r="J98" s="48">
        <f>C58*(1+C59)^(12*7)-(C60/12)*((1+C59)^(12*7)-1)/C59</f>
        <v/>
      </c>
      <c r="K98" s="48">
        <f>C58*(1+C59)^(12*8)-(C60/12)*((1+C59)^(12*8)-1)/C59</f>
        <v/>
      </c>
      <c r="L98" s="48">
        <f>C58*(1+C59)^(12*9)-(C60/12)*((1+C59)^(12*9)-1)/C59</f>
        <v/>
      </c>
      <c r="M98" s="48">
        <f>C58*(1+C59)^(12*10)-(C60/12)*((1+C59)^(12*10)-1)/C59</f>
        <v/>
      </c>
    </row>
    <row r="99" ht="15" customHeight="1">
      <c r="B99" s="7" t="inlineStr">
        <is>
          <t>DSCR (NOI ÷ DS)</t>
        </is>
      </c>
      <c r="D99" s="57">
        <f>D87/C60</f>
        <v/>
      </c>
      <c r="E99" s="57">
        <f>E87/C60</f>
        <v/>
      </c>
      <c r="F99" s="57">
        <f>F87/C60</f>
        <v/>
      </c>
      <c r="G99" s="57">
        <f>G87/C60</f>
        <v/>
      </c>
      <c r="H99" s="57">
        <f>H87/C60</f>
        <v/>
      </c>
      <c r="I99" s="57">
        <f>I87/C60</f>
        <v/>
      </c>
      <c r="J99" s="57">
        <f>J87/C60</f>
        <v/>
      </c>
      <c r="K99" s="57">
        <f>K87/C60</f>
        <v/>
      </c>
      <c r="L99" s="57">
        <f>L87/C60</f>
        <v/>
      </c>
      <c r="M99" s="57">
        <f>M87/C60</f>
        <v/>
      </c>
    </row>
    <row r="100" ht="15" customHeight="1">
      <c r="B100" s="7" t="inlineStr">
        <is>
          <t>Debt yield (NOI ÷ loan)</t>
        </is>
      </c>
      <c r="D100" s="51">
        <f>D87/C58</f>
        <v/>
      </c>
      <c r="E100" s="51">
        <f>E87/C58</f>
        <v/>
      </c>
      <c r="F100" s="51">
        <f>F87/C58</f>
        <v/>
      </c>
      <c r="G100" s="51">
        <f>G87/C58</f>
        <v/>
      </c>
      <c r="H100" s="51">
        <f>H87/C58</f>
        <v/>
      </c>
      <c r="I100" s="51">
        <f>I87/C58</f>
        <v/>
      </c>
      <c r="J100" s="51">
        <f>J87/C58</f>
        <v/>
      </c>
      <c r="K100" s="51">
        <f>K87/C58</f>
        <v/>
      </c>
      <c r="L100" s="51">
        <f>L87/C58</f>
        <v/>
      </c>
      <c r="M100" s="51">
        <f>M87/C58</f>
        <v/>
      </c>
    </row>
    <row r="101" ht="15" customHeight="1">
      <c r="B101" s="41" t="inlineStr">
        <is>
          <t>LEVERED CASH FLOW (equity)</t>
        </is>
      </c>
      <c r="C101" s="50">
        <f>-C61</f>
        <v/>
      </c>
      <c r="D101" s="50">
        <f>IF(1&lt;=C53,D92-C60,0)+IF(1=C53,D95-D98,0)</f>
        <v/>
      </c>
      <c r="E101" s="56">
        <f>IF(2&lt;=C53,E92-C60,0)+IF(2=C53,E95-E98,0)</f>
        <v/>
      </c>
      <c r="F101" s="56">
        <f>IF(3&lt;=C53,F92-C60,0)+IF(3=C53,F95-F98,0)</f>
        <v/>
      </c>
      <c r="G101" s="56">
        <f>IF(4&lt;=C53,G92-C60,0)+IF(4=C53,G95-G98,0)</f>
        <v/>
      </c>
      <c r="H101" s="56">
        <f>IF(5&lt;=C53,H92-C60,0)+IF(5=C53,H95-H98,0)</f>
        <v/>
      </c>
      <c r="I101" s="56">
        <f>IF(6&lt;=C53,I92-C60,0)+IF(6=C53,I95-I98,0)</f>
        <v/>
      </c>
      <c r="J101" s="56">
        <f>IF(7&lt;=C53,J92-C60,0)+IF(7=C53,J95-J98,0)</f>
        <v/>
      </c>
      <c r="K101" s="56">
        <f>IF(8&lt;=C53,K92-C60,0)+IF(8=C53,K95-K98,0)</f>
        <v/>
      </c>
      <c r="L101" s="56">
        <f>IF(9&lt;=C53,L92-C60,0)+IF(9=C53,L95-L98,0)</f>
        <v/>
      </c>
      <c r="M101" s="56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51">
        <f>IFERROR(IRR(C96:M96),"n/m")</f>
        <v/>
      </c>
    </row>
    <row r="105" ht="15" customHeight="1">
      <c r="B105" s="7" t="inlineStr">
        <is>
          <t>Unlevered equity multiple</t>
        </is>
      </c>
      <c r="C105" s="57">
        <f>SUM(D96:M96)/-C96</f>
        <v/>
      </c>
    </row>
    <row r="106" ht="15" customHeight="1">
      <c r="B106" s="7" t="inlineStr">
        <is>
          <t>Unlevered NPV @ discount rate</t>
        </is>
      </c>
      <c r="C106" s="49">
        <f>C96+NPV(C54,D96:M96)</f>
        <v/>
      </c>
    </row>
    <row r="107" ht="15" customHeight="1">
      <c r="B107" s="7" t="inlineStr">
        <is>
          <t>Levered IRR</t>
        </is>
      </c>
      <c r="C107" s="51">
        <f>IFERROR(IRR(C101:M101),"n/m")</f>
        <v/>
      </c>
    </row>
    <row r="108" ht="15" customHeight="1">
      <c r="B108" s="7" t="inlineStr">
        <is>
          <t>Levered equity multiple</t>
        </is>
      </c>
      <c r="C108" s="57">
        <f>SUM(D101:M101)/C61</f>
        <v/>
      </c>
    </row>
    <row r="109" ht="15" customHeight="1">
      <c r="B109" s="7" t="inlineStr">
        <is>
          <t>Year-1 NOI (pro-forma)</t>
        </is>
      </c>
      <c r="C109" s="49">
        <f>D87</f>
        <v/>
      </c>
    </row>
    <row r="110" ht="15" customHeight="1">
      <c r="B110" s="7" t="inlineStr">
        <is>
          <t>As-is in-place NOI (at occ0, no lease-up)</t>
        </is>
      </c>
      <c r="C110" s="49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70">
        <f>C110/C44</f>
        <v/>
      </c>
    </row>
    <row r="112" ht="15" customHeight="1">
      <c r="B112" s="7" t="inlineStr">
        <is>
          <t>Stabilized NOI (Yr 2)</t>
        </is>
      </c>
      <c r="C112" s="49">
        <f>E87</f>
        <v/>
      </c>
    </row>
    <row r="113" ht="15" customHeight="1">
      <c r="B113" s="7" t="inlineStr">
        <is>
          <t>Stabilized value (÷ exit cap)</t>
        </is>
      </c>
      <c r="C113" s="49">
        <f>C112/C51</f>
        <v/>
      </c>
    </row>
    <row r="114" ht="15" customHeight="1">
      <c r="B114" s="7" t="inlineStr">
        <is>
          <t>Stabilized yield on cost</t>
        </is>
      </c>
      <c r="C114" s="51">
        <f>C112/C64</f>
        <v/>
      </c>
    </row>
    <row r="115" ht="15" customHeight="1">
      <c r="B115" s="7" t="inlineStr">
        <is>
          <t>Year-1 DSCR</t>
        </is>
      </c>
      <c r="C115" s="57">
        <f>D87/C60</f>
        <v/>
      </c>
    </row>
    <row r="116" ht="15" customHeight="1">
      <c r="B116" s="7" t="inlineStr">
        <is>
          <t>Year-1 debt yield</t>
        </is>
      </c>
      <c r="C116" s="51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2" t="n">
        <v>1.2</v>
      </c>
      <c r="D119" s="16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97" t="n">
        <v>0.05</v>
      </c>
      <c r="D120" s="16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86">
        <f>(1-C30)*(1-C36)</f>
        <v/>
      </c>
    </row>
    <row r="122" ht="15" customHeight="1">
      <c r="B122" s="7" t="inlineStr">
        <is>
          <t>Recoverable opex (taxes+ins+CAM)</t>
        </is>
      </c>
      <c r="C122" s="48">
        <f>C44*C31+C33+C34</f>
        <v/>
      </c>
    </row>
    <row r="123" ht="15" customHeight="1">
      <c r="B123" s="41" t="inlineStr">
        <is>
          <t>→ Required leaseback rent for target DSCR</t>
        </is>
      </c>
      <c r="C123" s="101">
        <f>(((C119*C60+C122*C36+C35)/C121)-'Assumptions'!C81*'Assumptions'!C80)/'Assumptions'!C79</f>
        <v/>
      </c>
      <c r="D123" s="16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1" t="inlineStr">
        <is>
          <t>→ Required leaseback rent for target cap</t>
        </is>
      </c>
      <c r="C124" s="101">
        <f>(((C120*C44+C122*C36+C35)/C121)-'Assumptions'!C81*'Assumptions'!C80)/'Assumptions'!C79</f>
        <v/>
      </c>
      <c r="D124" s="16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3" t="inlineStr">
        <is>
          <t>Leaseback</t>
        </is>
      </c>
      <c r="F127" s="9" t="n"/>
      <c r="G127" s="23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20">
        <f>C109</f>
        <v/>
      </c>
      <c r="F128" s="9" t="n"/>
      <c r="G128" s="49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6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48">
        <f>C109-G128</f>
        <v/>
      </c>
      <c r="F129" s="9" t="n"/>
      <c r="G129" s="16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5">
        <f>'Assumptions'!C82</f>
        <v/>
      </c>
      <c r="F130" s="9" t="n"/>
    </row>
    <row r="131" ht="15" customHeight="1">
      <c r="B131" s="41" t="inlineStr">
        <is>
          <t>→ Extra equity to carry the dark center</t>
        </is>
      </c>
      <c r="E131" s="50">
        <f>E129*'Assumptions'!C82</f>
        <v/>
      </c>
      <c r="F131" s="9" t="n"/>
      <c r="G131" s="15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15" t="inlineStr">
        <is>
          <t>Deal note</t>
        </is>
      </c>
      <c r="D132" s="15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100" t="inlineStr">
        <is>
          <t>Year 1</t>
        </is>
      </c>
      <c r="G135" s="9" t="n"/>
      <c r="H135" s="100" t="inlineStr">
        <is>
          <t>Stabilized</t>
        </is>
      </c>
      <c r="I135" s="9" t="n"/>
      <c r="J135" s="100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56">
        <f>D75</f>
        <v/>
      </c>
      <c r="G136" s="9" t="n"/>
      <c r="H136" s="50">
        <f>E75</f>
        <v/>
      </c>
      <c r="I136" s="9" t="n"/>
      <c r="J136" s="101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48">
        <f>D77</f>
        <v/>
      </c>
      <c r="G137" s="9" t="n"/>
      <c r="H137" s="48">
        <f>E77</f>
        <v/>
      </c>
      <c r="I137" s="9" t="n"/>
      <c r="J137" s="86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48">
        <f>D78</f>
        <v/>
      </c>
      <c r="G138" s="9" t="n"/>
      <c r="H138" s="48">
        <f>E78</f>
        <v/>
      </c>
      <c r="I138" s="9" t="n"/>
      <c r="J138" s="86">
        <f>H138/C24</f>
        <v/>
      </c>
      <c r="K138" s="8" t="n"/>
      <c r="L138" s="8" t="n"/>
      <c r="M138" s="9" t="n"/>
    </row>
    <row r="139" ht="15" customHeight="1">
      <c r="B139" s="41" t="inlineStr">
        <is>
          <t>Effective Gross Income</t>
        </is>
      </c>
      <c r="F139" s="56">
        <f>D79</f>
        <v/>
      </c>
      <c r="G139" s="9" t="n"/>
      <c r="H139" s="50">
        <f>E79</f>
        <v/>
      </c>
      <c r="I139" s="9" t="n"/>
      <c r="J139" s="101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48">
        <f>-D81</f>
        <v/>
      </c>
      <c r="G140" s="9" t="n"/>
      <c r="H140" s="48">
        <f>-E81</f>
        <v/>
      </c>
      <c r="I140" s="9" t="n"/>
      <c r="J140" s="86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48">
        <f>-D82</f>
        <v/>
      </c>
      <c r="G141" s="9" t="n"/>
      <c r="H141" s="48">
        <f>-E82</f>
        <v/>
      </c>
      <c r="I141" s="9" t="n"/>
      <c r="J141" s="86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48">
        <f>-D83</f>
        <v/>
      </c>
      <c r="G142" s="9" t="n"/>
      <c r="H142" s="48">
        <f>-E83</f>
        <v/>
      </c>
      <c r="I142" s="9" t="n"/>
      <c r="J142" s="86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48">
        <f>-D84</f>
        <v/>
      </c>
      <c r="G143" s="9" t="n"/>
      <c r="H143" s="48">
        <f>-E84</f>
        <v/>
      </c>
      <c r="I143" s="9" t="n"/>
      <c r="J143" s="86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48">
        <f>-D85</f>
        <v/>
      </c>
      <c r="G144" s="9" t="n"/>
      <c r="H144" s="48">
        <f>-E85</f>
        <v/>
      </c>
      <c r="I144" s="9" t="n"/>
      <c r="J144" s="86">
        <f>H144/C24</f>
        <v/>
      </c>
      <c r="K144" s="8" t="n"/>
      <c r="L144" s="8" t="n"/>
      <c r="M144" s="9" t="n"/>
    </row>
    <row r="145" ht="15" customHeight="1">
      <c r="B145" s="41" t="inlineStr">
        <is>
          <t>Net Operating Income</t>
        </is>
      </c>
      <c r="F145" s="56">
        <f>D87</f>
        <v/>
      </c>
      <c r="G145" s="9" t="n"/>
      <c r="H145" s="50">
        <f>E87</f>
        <v/>
      </c>
      <c r="I145" s="9" t="n"/>
      <c r="J145" s="101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48">
        <f>-D89</f>
        <v/>
      </c>
      <c r="G146" s="9" t="n"/>
      <c r="H146" s="48">
        <f>-E89</f>
        <v/>
      </c>
      <c r="I146" s="9" t="n"/>
      <c r="J146" s="86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48">
        <f>-D90</f>
        <v/>
      </c>
      <c r="G147" s="9" t="n"/>
      <c r="H147" s="48">
        <f>-E90</f>
        <v/>
      </c>
      <c r="I147" s="9" t="n"/>
      <c r="J147" s="86">
        <f>H147/C24</f>
        <v/>
      </c>
      <c r="K147" s="8" t="n"/>
      <c r="L147" s="8" t="n"/>
      <c r="M147" s="9" t="n"/>
    </row>
    <row r="148" ht="15" customHeight="1">
      <c r="B148" s="41" t="inlineStr">
        <is>
          <t>Cash Flow Before Debt</t>
        </is>
      </c>
      <c r="F148" s="56">
        <f>D92</f>
        <v/>
      </c>
      <c r="G148" s="9" t="n"/>
      <c r="H148" s="50">
        <f>E92</f>
        <v/>
      </c>
      <c r="I148" s="9" t="n"/>
      <c r="J148" s="101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48">
        <f>-C60</f>
        <v/>
      </c>
      <c r="G149" s="9" t="n"/>
      <c r="H149" s="48">
        <f>-C60</f>
        <v/>
      </c>
      <c r="I149" s="9" t="n"/>
      <c r="J149" s="86">
        <f>H149/C24</f>
        <v/>
      </c>
      <c r="K149" s="8" t="n"/>
      <c r="L149" s="8" t="n"/>
      <c r="M149" s="9" t="n"/>
    </row>
    <row r="150" ht="15" customHeight="1">
      <c r="B150" s="41" t="inlineStr">
        <is>
          <t>Cash Flow After Debt (levered)</t>
        </is>
      </c>
      <c r="F150" s="50">
        <f>F148-C60</f>
        <v/>
      </c>
      <c r="G150" s="9" t="n"/>
      <c r="H150" s="50">
        <f>H148-C60</f>
        <v/>
      </c>
      <c r="I150" s="9" t="n"/>
      <c r="J150" s="101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3" t="inlineStr">
        <is>
          <t>SF</t>
        </is>
      </c>
      <c r="H16" s="23" t="inlineStr">
        <is>
          <t>$/SF NNN</t>
        </is>
      </c>
      <c r="I16" s="23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83" t="n">
        <v>6000</v>
      </c>
      <c r="H17" s="93" t="n">
        <v>34</v>
      </c>
      <c r="I17" s="48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83" t="n">
        <v>4000</v>
      </c>
      <c r="H18" s="93" t="n">
        <v>36</v>
      </c>
      <c r="I18" s="48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83" t="n">
        <v>3000</v>
      </c>
      <c r="H19" s="93" t="n">
        <v>40</v>
      </c>
      <c r="I19" s="48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83" t="n">
        <v>6005</v>
      </c>
      <c r="H20" s="93" t="n">
        <v>30</v>
      </c>
      <c r="I20" s="48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83" t="n">
        <v>1100</v>
      </c>
      <c r="H21" s="93" t="n">
        <v>32</v>
      </c>
      <c r="I21" s="48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15" t="inlineStr">
        <is>
          <t>VACANT / available</t>
        </is>
      </c>
      <c r="C22" s="8" t="n"/>
      <c r="D22" s="9" t="n"/>
      <c r="E22" s="15" t="inlineStr">
        <is>
          <t>Lease-up upside</t>
        </is>
      </c>
      <c r="F22" s="9" t="n"/>
      <c r="G22" s="94" t="n">
        <v>5000</v>
      </c>
      <c r="H22" s="95" t="inlineStr">
        <is>
          <t>—</t>
        </is>
      </c>
      <c r="I22" s="95" t="inlineStr">
        <is>
          <t>—</t>
        </is>
      </c>
      <c r="J22" s="8" t="n"/>
      <c r="K22" s="9" t="n"/>
      <c r="L22" s="15" t="inlineStr">
        <is>
          <t>value-add</t>
        </is>
      </c>
      <c r="M22" s="9" t="n"/>
    </row>
    <row r="23" ht="15" customHeight="1">
      <c r="B23" s="28" t="inlineStr">
        <is>
          <t>TOTAL / WTD AVG</t>
        </is>
      </c>
      <c r="C23" s="8" t="n"/>
      <c r="D23" s="9" t="n"/>
      <c r="E23" s="30" t="inlineStr"/>
      <c r="F23" s="9" t="n"/>
      <c r="G23" s="85">
        <f>SUM(G17:G22)</f>
        <v/>
      </c>
      <c r="H23" s="96">
        <f>IFERROR(SUM(I17:I21)/SUM(G17:G21),0)</f>
        <v/>
      </c>
      <c r="I23" s="31">
        <f>SUM(I17:I21)</f>
        <v/>
      </c>
      <c r="J23" s="8" t="n"/>
      <c r="K23" s="9" t="n"/>
      <c r="L23" s="28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92" t="n">
        <v>25105</v>
      </c>
      <c r="D27" s="16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2">
        <f>'Assumptions'!C96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4">
        <f>'Assumptions'!C99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4">
        <f>'Assumptions'!C100</f>
        <v/>
      </c>
      <c r="D30" s="16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6">
        <f>'Assumptions'!C98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98" t="n">
        <v>0.03</v>
      </c>
      <c r="D32" s="16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98" t="n">
        <v>0.03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97" t="n">
        <v>0.0191</v>
      </c>
      <c r="D34" s="16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20">
        <f>'Assumptions'!C101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20">
        <f>'Assumptions'!C102</f>
        <v/>
      </c>
      <c r="D37" s="16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20">
        <f>'Assumptions'!C103</f>
        <v/>
      </c>
      <c r="D38" s="16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4">
        <f>'Assumptions'!C104</f>
        <v/>
      </c>
      <c r="D39" s="16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98" t="n">
        <v>0.03</v>
      </c>
      <c r="D40" s="16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93" t="n">
        <v>30</v>
      </c>
      <c r="D42" s="16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93" t="n">
        <v>20</v>
      </c>
      <c r="D43" s="16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93" t="n">
        <v>0.15</v>
      </c>
      <c r="D44" s="16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93" t="n">
        <v>0.75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20">
        <f>'Assumptions'!C95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98" t="n">
        <v>0.025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4">
        <f>'Assumptions'!C107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7">
        <f>'Assumptions'!C108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99" t="n">
        <v>30</v>
      </c>
      <c r="D51" s="16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7">
        <f>'Assumptions'!C105</f>
        <v/>
      </c>
      <c r="D53" s="16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7">
        <f>'Assumptions'!C106</f>
        <v/>
      </c>
      <c r="D54" s="16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98" t="n">
        <v>0.02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99" t="n">
        <v>5</v>
      </c>
      <c r="D56" s="16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98" t="n">
        <v>0.09</v>
      </c>
      <c r="D57" s="16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6">
        <f>'Assumptions'!C97</f>
        <v/>
      </c>
      <c r="D58" s="16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49">
        <f>C47*C49</f>
        <v/>
      </c>
      <c r="D61" s="16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70">
        <f>C50/12</f>
        <v/>
      </c>
    </row>
    <row r="63" ht="15" customHeight="1">
      <c r="B63" s="7" t="inlineStr">
        <is>
          <t>Annual debt service</t>
        </is>
      </c>
      <c r="C63" s="49">
        <f>C61*(C62/(1-(1+C62)^(-C51*12)))*12</f>
        <v/>
      </c>
    </row>
    <row r="64" ht="15" customHeight="1">
      <c r="B64" s="7" t="inlineStr">
        <is>
          <t>Equity at acquisition</t>
        </is>
      </c>
      <c r="C64" s="49">
        <f>C47*(1+C48)-C61</f>
        <v/>
      </c>
    </row>
    <row r="65" ht="15" customHeight="1">
      <c r="B65" s="7" t="inlineStr">
        <is>
          <t>Absorption SF (lease-up)</t>
        </is>
      </c>
      <c r="C65" s="83">
        <f>C27*(C30-C29)</f>
        <v/>
      </c>
    </row>
    <row r="66" ht="15" customHeight="1">
      <c r="B66" s="7" t="inlineStr">
        <is>
          <t>Initial leasing capital</t>
        </is>
      </c>
      <c r="C66" s="49">
        <f>C65*(C42+C43)</f>
        <v/>
      </c>
    </row>
    <row r="67" ht="15" customHeight="1">
      <c r="B67" s="7" t="inlineStr">
        <is>
          <t>Total cost basis</t>
        </is>
      </c>
      <c r="C67" s="49">
        <f>C47*(1+C48)+C66</f>
        <v/>
      </c>
    </row>
    <row r="68" ht="15" customHeight="1">
      <c r="B68" s="7" t="inlineStr">
        <is>
          <t>Total equity required</t>
        </is>
      </c>
      <c r="C68" s="49">
        <f>C67-C61</f>
        <v/>
      </c>
    </row>
    <row r="69" ht="15" customHeight="1">
      <c r="B69" s="7" t="inlineStr">
        <is>
          <t>Income value (Yr-1 NOI ÷ going-in cap)</t>
        </is>
      </c>
      <c r="C69" s="49">
        <f>D90/C53</f>
        <v/>
      </c>
      <c r="D69" s="16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49">
        <f>C28*C58</f>
        <v/>
      </c>
      <c r="D70" s="16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3" t="inlineStr">
        <is>
          <t>0 / Acq</t>
        </is>
      </c>
      <c r="D73" s="55" t="n">
        <v>1</v>
      </c>
      <c r="E73" s="55" t="n">
        <v>2</v>
      </c>
      <c r="F73" s="55" t="n">
        <v>3</v>
      </c>
      <c r="G73" s="55" t="n">
        <v>4</v>
      </c>
      <c r="H73" s="55" t="n">
        <v>5</v>
      </c>
      <c r="I73" s="55" t="n">
        <v>6</v>
      </c>
      <c r="J73" s="55" t="n">
        <v>7</v>
      </c>
      <c r="K73" s="55" t="n">
        <v>8</v>
      </c>
      <c r="L73" s="55" t="n">
        <v>9</v>
      </c>
      <c r="M73" s="55" t="n">
        <v>10</v>
      </c>
    </row>
    <row r="74" ht="15" customHeight="1">
      <c r="B74" s="16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51">
        <f>(C29+C30)/2</f>
        <v/>
      </c>
      <c r="E75" s="51">
        <f>C30</f>
        <v/>
      </c>
      <c r="F75" s="51">
        <f>C30</f>
        <v/>
      </c>
      <c r="G75" s="51">
        <f>C30</f>
        <v/>
      </c>
      <c r="H75" s="51">
        <f>C30</f>
        <v/>
      </c>
      <c r="I75" s="51">
        <f>C30</f>
        <v/>
      </c>
      <c r="J75" s="51">
        <f>C30</f>
        <v/>
      </c>
      <c r="K75" s="51">
        <f>C30</f>
        <v/>
      </c>
      <c r="L75" s="51">
        <f>C30</f>
        <v/>
      </c>
      <c r="M75" s="51">
        <f>C30</f>
        <v/>
      </c>
    </row>
    <row r="76" ht="15" customHeight="1">
      <c r="B76" s="7" t="inlineStr">
        <is>
          <t>Leased SF</t>
        </is>
      </c>
      <c r="D76" s="83">
        <f>C27*D75</f>
        <v/>
      </c>
      <c r="E76" s="83">
        <f>C27*E75</f>
        <v/>
      </c>
      <c r="F76" s="83">
        <f>C27*F75</f>
        <v/>
      </c>
      <c r="G76" s="83">
        <f>C27*G75</f>
        <v/>
      </c>
      <c r="H76" s="83">
        <f>C27*H75</f>
        <v/>
      </c>
      <c r="I76" s="83">
        <f>C27*I75</f>
        <v/>
      </c>
      <c r="J76" s="83">
        <f>C27*J75</f>
        <v/>
      </c>
      <c r="K76" s="83">
        <f>C27*K75</f>
        <v/>
      </c>
      <c r="L76" s="83">
        <f>C27*L75</f>
        <v/>
      </c>
      <c r="M76" s="83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49">
        <f>D76*C31*(1+C32)^(1-1)</f>
        <v/>
      </c>
      <c r="E78" s="48">
        <f>E76*C31*(1+C32)^(2-1)</f>
        <v/>
      </c>
      <c r="F78" s="48">
        <f>F76*C31*(1+C32)^(3-1)</f>
        <v/>
      </c>
      <c r="G78" s="48">
        <f>G76*C31*(1+C32)^(4-1)</f>
        <v/>
      </c>
      <c r="H78" s="48">
        <f>H76*C31*(1+C32)^(5-1)</f>
        <v/>
      </c>
      <c r="I78" s="48">
        <f>I76*C31*(1+C32)^(6-1)</f>
        <v/>
      </c>
      <c r="J78" s="48">
        <f>J76*C31*(1+C32)^(7-1)</f>
        <v/>
      </c>
      <c r="K78" s="48">
        <f>K76*C31*(1+C32)^(8-1)</f>
        <v/>
      </c>
      <c r="L78" s="48">
        <f>L76*C31*(1+C32)^(9-1)</f>
        <v/>
      </c>
      <c r="M78" s="48">
        <f>M76*C31*(1+C32)^(10-1)</f>
        <v/>
      </c>
    </row>
    <row r="79" ht="15" customHeight="1">
      <c r="B79" s="7" t="inlineStr">
        <is>
          <t>Recoverable opex (gross)</t>
        </is>
      </c>
      <c r="D79" s="48">
        <f>(C47*C34+C36+C37)*(1+C40)^(1-1)</f>
        <v/>
      </c>
      <c r="E79" s="48">
        <f>(C47*C34+C36+C37)*(1+C40)^(2-1)</f>
        <v/>
      </c>
      <c r="F79" s="48">
        <f>(C47*C34+C36+C37)*(1+C40)^(3-1)</f>
        <v/>
      </c>
      <c r="G79" s="48">
        <f>(C47*C34+C36+C37)*(1+C40)^(4-1)</f>
        <v/>
      </c>
      <c r="H79" s="48">
        <f>(C47*C34+C36+C37)*(1+C40)^(5-1)</f>
        <v/>
      </c>
      <c r="I79" s="48">
        <f>(C47*C34+C36+C37)*(1+C40)^(6-1)</f>
        <v/>
      </c>
      <c r="J79" s="48">
        <f>(C47*C34+C36+C37)*(1+C40)^(7-1)</f>
        <v/>
      </c>
      <c r="K79" s="48">
        <f>(C47*C34+C36+C37)*(1+C40)^(8-1)</f>
        <v/>
      </c>
      <c r="L79" s="48">
        <f>(C47*C34+C36+C37)*(1+C40)^(9-1)</f>
        <v/>
      </c>
      <c r="M79" s="48">
        <f>(C47*C34+C36+C37)*(1+C40)^(10-1)</f>
        <v/>
      </c>
    </row>
    <row r="80" ht="15" customHeight="1">
      <c r="B80" s="7" t="inlineStr">
        <is>
          <t>Expense reimbursements (NNN)</t>
        </is>
      </c>
      <c r="D80" s="48">
        <f>D79*D75</f>
        <v/>
      </c>
      <c r="E80" s="48">
        <f>E79*E75</f>
        <v/>
      </c>
      <c r="F80" s="48">
        <f>F79*F75</f>
        <v/>
      </c>
      <c r="G80" s="48">
        <f>G79*G75</f>
        <v/>
      </c>
      <c r="H80" s="48">
        <f>H79*H75</f>
        <v/>
      </c>
      <c r="I80" s="48">
        <f>I79*I75</f>
        <v/>
      </c>
      <c r="J80" s="48">
        <f>J79*J75</f>
        <v/>
      </c>
      <c r="K80" s="48">
        <f>K79*K75</f>
        <v/>
      </c>
      <c r="L80" s="48">
        <f>L79*L75</f>
        <v/>
      </c>
      <c r="M80" s="48">
        <f>M79*M75</f>
        <v/>
      </c>
    </row>
    <row r="81" ht="15" customHeight="1">
      <c r="B81" s="7" t="inlineStr">
        <is>
          <t>Less: credit &amp; collection loss</t>
        </is>
      </c>
      <c r="D81" s="48">
        <f>-D78*C33</f>
        <v/>
      </c>
      <c r="E81" s="48">
        <f>-E78*C33</f>
        <v/>
      </c>
      <c r="F81" s="48">
        <f>-F78*C33</f>
        <v/>
      </c>
      <c r="G81" s="48">
        <f>-G78*C33</f>
        <v/>
      </c>
      <c r="H81" s="48">
        <f>-H78*C33</f>
        <v/>
      </c>
      <c r="I81" s="48">
        <f>-I78*C33</f>
        <v/>
      </c>
      <c r="J81" s="48">
        <f>-J78*C33</f>
        <v/>
      </c>
      <c r="K81" s="48">
        <f>-K78*C33</f>
        <v/>
      </c>
      <c r="L81" s="48">
        <f>-L78*C33</f>
        <v/>
      </c>
      <c r="M81" s="48">
        <f>-M78*C33</f>
        <v/>
      </c>
    </row>
    <row r="82" ht="15" customHeight="1">
      <c r="B82" s="41" t="inlineStr">
        <is>
          <t>Effective Gross Revenue</t>
        </is>
      </c>
      <c r="D82" s="49">
        <f>D78+D80+D81</f>
        <v/>
      </c>
      <c r="E82" s="48">
        <f>E78+E80+E81</f>
        <v/>
      </c>
      <c r="F82" s="48">
        <f>F78+F80+F81</f>
        <v/>
      </c>
      <c r="G82" s="48">
        <f>G78+G80+G81</f>
        <v/>
      </c>
      <c r="H82" s="48">
        <f>H78+H80+H81</f>
        <v/>
      </c>
      <c r="I82" s="48">
        <f>I78+I80+I81</f>
        <v/>
      </c>
      <c r="J82" s="48">
        <f>J78+J80+J81</f>
        <v/>
      </c>
      <c r="K82" s="48">
        <f>K78+K80+K81</f>
        <v/>
      </c>
      <c r="L82" s="48">
        <f>L78+L80+L81</f>
        <v/>
      </c>
      <c r="M82" s="48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48">
        <f>C47*C34*(1+C40)^(1-1)</f>
        <v/>
      </c>
      <c r="E84" s="48">
        <f>C47*C34*(1+C40)^(2-1)</f>
        <v/>
      </c>
      <c r="F84" s="48">
        <f>C47*C34*(1+C40)^(3-1)</f>
        <v/>
      </c>
      <c r="G84" s="48">
        <f>C47*C34*(1+C40)^(4-1)</f>
        <v/>
      </c>
      <c r="H84" s="48">
        <f>C47*C34*(1+C40)^(5-1)</f>
        <v/>
      </c>
      <c r="I84" s="48">
        <f>C47*C34*(1+C40)^(6-1)</f>
        <v/>
      </c>
      <c r="J84" s="48">
        <f>C47*C34*(1+C40)^(7-1)</f>
        <v/>
      </c>
      <c r="K84" s="48">
        <f>C47*C34*(1+C40)^(8-1)</f>
        <v/>
      </c>
      <c r="L84" s="48">
        <f>C47*C34*(1+C40)^(9-1)</f>
        <v/>
      </c>
      <c r="M84" s="48">
        <f>C47*C34*(1+C40)^(10-1)</f>
        <v/>
      </c>
    </row>
    <row r="85" ht="15" customHeight="1">
      <c r="B85" s="7" t="inlineStr">
        <is>
          <t>Insurance</t>
        </is>
      </c>
      <c r="D85" s="48">
        <f>C36*(1+C40)^(1-1)</f>
        <v/>
      </c>
      <c r="E85" s="48">
        <f>C36*(1+C40)^(2-1)</f>
        <v/>
      </c>
      <c r="F85" s="48">
        <f>C36*(1+C40)^(3-1)</f>
        <v/>
      </c>
      <c r="G85" s="48">
        <f>C36*(1+C40)^(4-1)</f>
        <v/>
      </c>
      <c r="H85" s="48">
        <f>C36*(1+C40)^(5-1)</f>
        <v/>
      </c>
      <c r="I85" s="48">
        <f>C36*(1+C40)^(6-1)</f>
        <v/>
      </c>
      <c r="J85" s="48">
        <f>C36*(1+C40)^(7-1)</f>
        <v/>
      </c>
      <c r="K85" s="48">
        <f>C36*(1+C40)^(8-1)</f>
        <v/>
      </c>
      <c r="L85" s="48">
        <f>C36*(1+C40)^(9-1)</f>
        <v/>
      </c>
      <c r="M85" s="48">
        <f>C36*(1+C40)^(10-1)</f>
        <v/>
      </c>
    </row>
    <row r="86" ht="15" customHeight="1">
      <c r="B86" s="7" t="inlineStr">
        <is>
          <t>CAM</t>
        </is>
      </c>
      <c r="D86" s="48">
        <f>C37*(1+C40)^(1-1)</f>
        <v/>
      </c>
      <c r="E86" s="48">
        <f>C37*(1+C40)^(2-1)</f>
        <v/>
      </c>
      <c r="F86" s="48">
        <f>C37*(1+C40)^(3-1)</f>
        <v/>
      </c>
      <c r="G86" s="48">
        <f>C37*(1+C40)^(4-1)</f>
        <v/>
      </c>
      <c r="H86" s="48">
        <f>C37*(1+C40)^(5-1)</f>
        <v/>
      </c>
      <c r="I86" s="48">
        <f>C37*(1+C40)^(6-1)</f>
        <v/>
      </c>
      <c r="J86" s="48">
        <f>C37*(1+C40)^(7-1)</f>
        <v/>
      </c>
      <c r="K86" s="48">
        <f>C37*(1+C40)^(8-1)</f>
        <v/>
      </c>
      <c r="L86" s="48">
        <f>C37*(1+C40)^(9-1)</f>
        <v/>
      </c>
      <c r="M86" s="48">
        <f>C37*(1+C40)^(10-1)</f>
        <v/>
      </c>
    </row>
    <row r="87" ht="15" customHeight="1">
      <c r="B87" s="7" t="inlineStr">
        <is>
          <t>Repairs &amp; maintenance</t>
        </is>
      </c>
      <c r="D87" s="48">
        <f>C38*(1+C40)^(1-1)</f>
        <v/>
      </c>
      <c r="E87" s="48">
        <f>C38*(1+C40)^(2-1)</f>
        <v/>
      </c>
      <c r="F87" s="48">
        <f>C38*(1+C40)^(3-1)</f>
        <v/>
      </c>
      <c r="G87" s="48">
        <f>C38*(1+C40)^(4-1)</f>
        <v/>
      </c>
      <c r="H87" s="48">
        <f>C38*(1+C40)^(5-1)</f>
        <v/>
      </c>
      <c r="I87" s="48">
        <f>C38*(1+C40)^(6-1)</f>
        <v/>
      </c>
      <c r="J87" s="48">
        <f>C38*(1+C40)^(7-1)</f>
        <v/>
      </c>
      <c r="K87" s="48">
        <f>C38*(1+C40)^(8-1)</f>
        <v/>
      </c>
      <c r="L87" s="48">
        <f>C38*(1+C40)^(9-1)</f>
        <v/>
      </c>
      <c r="M87" s="48">
        <f>C38*(1+C40)^(10-1)</f>
        <v/>
      </c>
    </row>
    <row r="88" ht="15" customHeight="1">
      <c r="B88" s="7" t="inlineStr">
        <is>
          <t>Management fee</t>
        </is>
      </c>
      <c r="D88" s="48">
        <f>D82*C39</f>
        <v/>
      </c>
      <c r="E88" s="48">
        <f>E82*C39</f>
        <v/>
      </c>
      <c r="F88" s="48">
        <f>F82*C39</f>
        <v/>
      </c>
      <c r="G88" s="48">
        <f>G82*C39</f>
        <v/>
      </c>
      <c r="H88" s="48">
        <f>H82*C39</f>
        <v/>
      </c>
      <c r="I88" s="48">
        <f>I82*C39</f>
        <v/>
      </c>
      <c r="J88" s="48">
        <f>J82*C39</f>
        <v/>
      </c>
      <c r="K88" s="48">
        <f>K82*C39</f>
        <v/>
      </c>
      <c r="L88" s="48">
        <f>L82*C39</f>
        <v/>
      </c>
      <c r="M88" s="48">
        <f>M82*C39</f>
        <v/>
      </c>
    </row>
    <row r="89" ht="15" customHeight="1">
      <c r="B89" s="41" t="inlineStr">
        <is>
          <t>Total operating expenses</t>
        </is>
      </c>
      <c r="D89" s="49">
        <f>SUM(D84:D88)</f>
        <v/>
      </c>
      <c r="E89" s="48">
        <f>SUM(E84:E88)</f>
        <v/>
      </c>
      <c r="F89" s="48">
        <f>SUM(F84:F88)</f>
        <v/>
      </c>
      <c r="G89" s="48">
        <f>SUM(G84:G88)</f>
        <v/>
      </c>
      <c r="H89" s="48">
        <f>SUM(H84:H88)</f>
        <v/>
      </c>
      <c r="I89" s="48">
        <f>SUM(I84:I88)</f>
        <v/>
      </c>
      <c r="J89" s="48">
        <f>SUM(J84:J88)</f>
        <v/>
      </c>
      <c r="K89" s="48">
        <f>SUM(K84:K88)</f>
        <v/>
      </c>
      <c r="L89" s="48">
        <f>SUM(L84:L88)</f>
        <v/>
      </c>
      <c r="M89" s="48">
        <f>SUM(M84:M88)</f>
        <v/>
      </c>
    </row>
    <row r="90" ht="15" customHeight="1">
      <c r="B90" s="41" t="inlineStr">
        <is>
          <t>NET OPERATING INCOME</t>
        </is>
      </c>
      <c r="D90" s="50">
        <f>D82-D89</f>
        <v/>
      </c>
      <c r="E90" s="56">
        <f>E82-E89</f>
        <v/>
      </c>
      <c r="F90" s="56">
        <f>F82-F89</f>
        <v/>
      </c>
      <c r="G90" s="56">
        <f>G82-G89</f>
        <v/>
      </c>
      <c r="H90" s="56">
        <f>H82-H89</f>
        <v/>
      </c>
      <c r="I90" s="56">
        <f>I82-I89</f>
        <v/>
      </c>
      <c r="J90" s="56">
        <f>J82-J89</f>
        <v/>
      </c>
      <c r="K90" s="56">
        <f>K82-K89</f>
        <v/>
      </c>
      <c r="L90" s="56">
        <f>L82-L89</f>
        <v/>
      </c>
      <c r="M90" s="56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48">
        <f>C27*C44*(1+C40)^(1-1)</f>
        <v/>
      </c>
      <c r="E92" s="48">
        <f>C27*C44*(1+C40)^(2-1)</f>
        <v/>
      </c>
      <c r="F92" s="48">
        <f>C27*C44*(1+C40)^(3-1)</f>
        <v/>
      </c>
      <c r="G92" s="48">
        <f>C27*C44*(1+C40)^(4-1)</f>
        <v/>
      </c>
      <c r="H92" s="48">
        <f>C27*C44*(1+C40)^(5-1)</f>
        <v/>
      </c>
      <c r="I92" s="48">
        <f>C27*C44*(1+C40)^(6-1)</f>
        <v/>
      </c>
      <c r="J92" s="48">
        <f>C27*C44*(1+C40)^(7-1)</f>
        <v/>
      </c>
      <c r="K92" s="48">
        <f>C27*C44*(1+C40)^(8-1)</f>
        <v/>
      </c>
      <c r="L92" s="48">
        <f>C27*C44*(1+C40)^(9-1)</f>
        <v/>
      </c>
      <c r="M92" s="48">
        <f>C27*C44*(1+C40)^(10-1)</f>
        <v/>
      </c>
    </row>
    <row r="93" ht="15" customHeight="1">
      <c r="B93" s="7" t="inlineStr">
        <is>
          <t>Leasing costs</t>
        </is>
      </c>
      <c r="D93" s="48">
        <f>C65*(C42+C43)+C27*C45</f>
        <v/>
      </c>
      <c r="E93" s="48">
        <f>C27*C45*(1+C40)^(2-1)</f>
        <v/>
      </c>
      <c r="F93" s="48">
        <f>C27*C45*(1+C40)^(3-1)</f>
        <v/>
      </c>
      <c r="G93" s="48">
        <f>C27*C45*(1+C40)^(4-1)</f>
        <v/>
      </c>
      <c r="H93" s="48">
        <f>C27*C45*(1+C40)^(5-1)</f>
        <v/>
      </c>
      <c r="I93" s="48">
        <f>C27*C45*(1+C40)^(6-1)</f>
        <v/>
      </c>
      <c r="J93" s="48">
        <f>C27*C45*(1+C40)^(7-1)</f>
        <v/>
      </c>
      <c r="K93" s="48">
        <f>C27*C45*(1+C40)^(8-1)</f>
        <v/>
      </c>
      <c r="L93" s="48">
        <f>C27*C45*(1+C40)^(9-1)</f>
        <v/>
      </c>
      <c r="M93" s="48">
        <f>C27*C45*(1+C40)^(10-1)</f>
        <v/>
      </c>
    </row>
    <row r="94" ht="15" customHeight="1">
      <c r="B94" s="41" t="inlineStr">
        <is>
          <t>Total capital</t>
        </is>
      </c>
      <c r="D94" s="49">
        <f>D92+D93</f>
        <v/>
      </c>
      <c r="E94" s="48">
        <f>E92+E93</f>
        <v/>
      </c>
      <c r="F94" s="48">
        <f>F92+F93</f>
        <v/>
      </c>
      <c r="G94" s="48">
        <f>G92+G93</f>
        <v/>
      </c>
      <c r="H94" s="48">
        <f>H92+H93</f>
        <v/>
      </c>
      <c r="I94" s="48">
        <f>I92+I93</f>
        <v/>
      </c>
      <c r="J94" s="48">
        <f>J92+J93</f>
        <v/>
      </c>
      <c r="K94" s="48">
        <f>K92+K93</f>
        <v/>
      </c>
      <c r="L94" s="48">
        <f>L92+L93</f>
        <v/>
      </c>
      <c r="M94" s="48">
        <f>M92+M93</f>
        <v/>
      </c>
    </row>
    <row r="95" ht="15" customHeight="1">
      <c r="B95" s="41" t="inlineStr">
        <is>
          <t>Unlevered cash flow (before reversion)</t>
        </is>
      </c>
      <c r="C95" s="50">
        <f>-C47*(1+C48)</f>
        <v/>
      </c>
      <c r="D95" s="50">
        <f>D90-D94</f>
        <v/>
      </c>
      <c r="E95" s="56">
        <f>E90-E94</f>
        <v/>
      </c>
      <c r="F95" s="56">
        <f>F90-F94</f>
        <v/>
      </c>
      <c r="G95" s="56">
        <f>G90-G94</f>
        <v/>
      </c>
      <c r="H95" s="56">
        <f>H90-H94</f>
        <v/>
      </c>
      <c r="I95" s="56">
        <f>I90-I94</f>
        <v/>
      </c>
      <c r="J95" s="56">
        <f>J90-J94</f>
        <v/>
      </c>
      <c r="K95" s="56">
        <f>K90-K94</f>
        <v/>
      </c>
      <c r="L95" s="56">
        <f>L90-L94</f>
        <v/>
      </c>
      <c r="M95" s="56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48">
        <f>IF(1=C56,(D90*(1+C32)/C54)*(1-C55),0)</f>
        <v/>
      </c>
      <c r="E98" s="48">
        <f>IF(2=C56,(E90*(1+C32)/C54)*(1-C55),0)</f>
        <v/>
      </c>
      <c r="F98" s="48">
        <f>IF(3=C56,(F90*(1+C32)/C54)*(1-C55),0)</f>
        <v/>
      </c>
      <c r="G98" s="48">
        <f>IF(4=C56,(G90*(1+C32)/C54)*(1-C55),0)</f>
        <v/>
      </c>
      <c r="H98" s="48">
        <f>IF(5=C56,(H90*(1+C32)/C54)*(1-C55),0)</f>
        <v/>
      </c>
      <c r="I98" s="48">
        <f>IF(6=C56,(I90*(1+C32)/C54)*(1-C55),0)</f>
        <v/>
      </c>
      <c r="J98" s="48">
        <f>IF(7=C56,(J90*(1+C32)/C54)*(1-C55),0)</f>
        <v/>
      </c>
      <c r="K98" s="48">
        <f>IF(8=C56,(K90*(1+C32)/C54)*(1-C55),0)</f>
        <v/>
      </c>
      <c r="L98" s="48">
        <f>IF(9=C56,(L90*(1+C32)/C54)*(1-C55),0)</f>
        <v/>
      </c>
      <c r="M98" s="48">
        <f>IF(10=C56,(M90*(1+C32)/C54)*(1-C55),0)</f>
        <v/>
      </c>
    </row>
    <row r="99" ht="15" customHeight="1">
      <c r="B99" s="41" t="inlineStr">
        <is>
          <t>UNLEVERED PROJECT CASH FLOW</t>
        </is>
      </c>
      <c r="C99" s="50">
        <f>C95</f>
        <v/>
      </c>
      <c r="D99" s="50">
        <f>IF(1&lt;=C56,D95,0)+D98</f>
        <v/>
      </c>
      <c r="E99" s="56">
        <f>IF(2&lt;=C56,E95,0)+E98</f>
        <v/>
      </c>
      <c r="F99" s="56">
        <f>IF(3&lt;=C56,F95,0)+F98</f>
        <v/>
      </c>
      <c r="G99" s="56">
        <f>IF(4&lt;=C56,G95,0)+G98</f>
        <v/>
      </c>
      <c r="H99" s="56">
        <f>IF(5&lt;=C56,H95,0)+H98</f>
        <v/>
      </c>
      <c r="I99" s="56">
        <f>IF(6&lt;=C56,I95,0)+I98</f>
        <v/>
      </c>
      <c r="J99" s="56">
        <f>IF(7&lt;=C56,J95,0)+J98</f>
        <v/>
      </c>
      <c r="K99" s="56">
        <f>IF(8&lt;=C56,K95,0)+K98</f>
        <v/>
      </c>
      <c r="L99" s="56">
        <f>IF(9&lt;=C56,L95,0)+L98</f>
        <v/>
      </c>
      <c r="M99" s="56">
        <f>IF(10&lt;=C56,M95,0)+M98</f>
        <v/>
      </c>
    </row>
    <row r="100" ht="15" customHeight="1">
      <c r="B100" s="7" t="inlineStr">
        <is>
          <t>Debt service</t>
        </is>
      </c>
      <c r="D100" s="48">
        <f>IF(1&lt;=C56,-C63,0)</f>
        <v/>
      </c>
      <c r="E100" s="48">
        <f>IF(2&lt;=C56,-C63,0)</f>
        <v/>
      </c>
      <c r="F100" s="48">
        <f>IF(3&lt;=C56,-C63,0)</f>
        <v/>
      </c>
      <c r="G100" s="48">
        <f>IF(4&lt;=C56,-C63,0)</f>
        <v/>
      </c>
      <c r="H100" s="48">
        <f>IF(5&lt;=C56,-C63,0)</f>
        <v/>
      </c>
      <c r="I100" s="48">
        <f>IF(6&lt;=C56,-C63,0)</f>
        <v/>
      </c>
      <c r="J100" s="48">
        <f>IF(7&lt;=C56,-C63,0)</f>
        <v/>
      </c>
      <c r="K100" s="48">
        <f>IF(8&lt;=C56,-C63,0)</f>
        <v/>
      </c>
      <c r="L100" s="48">
        <f>IF(9&lt;=C56,-C63,0)</f>
        <v/>
      </c>
      <c r="M100" s="48">
        <f>IF(10&lt;=C56,-C63,0)</f>
        <v/>
      </c>
    </row>
    <row r="101" ht="15" customHeight="1">
      <c r="B101" s="7" t="inlineStr">
        <is>
          <t>Loan balance (year-end)</t>
        </is>
      </c>
      <c r="D101" s="48">
        <f>C61*(1+C62)^(12*1)-(C63/12)*((1+C62)^(12*1)-1)/C62</f>
        <v/>
      </c>
      <c r="E101" s="48">
        <f>C61*(1+C62)^(12*2)-(C63/12)*((1+C62)^(12*2)-1)/C62</f>
        <v/>
      </c>
      <c r="F101" s="48">
        <f>C61*(1+C62)^(12*3)-(C63/12)*((1+C62)^(12*3)-1)/C62</f>
        <v/>
      </c>
      <c r="G101" s="48">
        <f>C61*(1+C62)^(12*4)-(C63/12)*((1+C62)^(12*4)-1)/C62</f>
        <v/>
      </c>
      <c r="H101" s="48">
        <f>C61*(1+C62)^(12*5)-(C63/12)*((1+C62)^(12*5)-1)/C62</f>
        <v/>
      </c>
      <c r="I101" s="48">
        <f>C61*(1+C62)^(12*6)-(C63/12)*((1+C62)^(12*6)-1)/C62</f>
        <v/>
      </c>
      <c r="J101" s="48">
        <f>C61*(1+C62)^(12*7)-(C63/12)*((1+C62)^(12*7)-1)/C62</f>
        <v/>
      </c>
      <c r="K101" s="48">
        <f>C61*(1+C62)^(12*8)-(C63/12)*((1+C62)^(12*8)-1)/C62</f>
        <v/>
      </c>
      <c r="L101" s="48">
        <f>C61*(1+C62)^(12*9)-(C63/12)*((1+C62)^(12*9)-1)/C62</f>
        <v/>
      </c>
      <c r="M101" s="48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57">
        <f>D90/C63</f>
        <v/>
      </c>
      <c r="E102" s="57">
        <f>E90/C63</f>
        <v/>
      </c>
      <c r="F102" s="57">
        <f>F90/C63</f>
        <v/>
      </c>
      <c r="G102" s="57">
        <f>G90/C63</f>
        <v/>
      </c>
      <c r="H102" s="57">
        <f>H90/C63</f>
        <v/>
      </c>
      <c r="I102" s="57">
        <f>I90/C63</f>
        <v/>
      </c>
      <c r="J102" s="57">
        <f>J90/C63</f>
        <v/>
      </c>
      <c r="K102" s="57">
        <f>K90/C63</f>
        <v/>
      </c>
      <c r="L102" s="57">
        <f>L90/C63</f>
        <v/>
      </c>
      <c r="M102" s="57">
        <f>M90/C63</f>
        <v/>
      </c>
    </row>
    <row r="103" ht="15" customHeight="1">
      <c r="B103" s="7" t="inlineStr">
        <is>
          <t>Debt yield (NOI ÷ loan)</t>
        </is>
      </c>
      <c r="D103" s="51">
        <f>D90/C61</f>
        <v/>
      </c>
      <c r="E103" s="51">
        <f>E90/C61</f>
        <v/>
      </c>
      <c r="F103" s="51">
        <f>F90/C61</f>
        <v/>
      </c>
      <c r="G103" s="51">
        <f>G90/C61</f>
        <v/>
      </c>
      <c r="H103" s="51">
        <f>H90/C61</f>
        <v/>
      </c>
      <c r="I103" s="51">
        <f>I90/C61</f>
        <v/>
      </c>
      <c r="J103" s="51">
        <f>J90/C61</f>
        <v/>
      </c>
      <c r="K103" s="51">
        <f>K90/C61</f>
        <v/>
      </c>
      <c r="L103" s="51">
        <f>L90/C61</f>
        <v/>
      </c>
      <c r="M103" s="51">
        <f>M90/C61</f>
        <v/>
      </c>
    </row>
    <row r="104" ht="15" customHeight="1">
      <c r="B104" s="41" t="inlineStr">
        <is>
          <t>LEVERED CASH FLOW (equity)</t>
        </is>
      </c>
      <c r="C104" s="50">
        <f>-C64</f>
        <v/>
      </c>
      <c r="D104" s="50">
        <f>IF(1&lt;=C56,D95-C63,0)+IF(1=C56,D98-D101,0)</f>
        <v/>
      </c>
      <c r="E104" s="56">
        <f>IF(2&lt;=C56,E95-C63,0)+IF(2=C56,E98-E101,0)</f>
        <v/>
      </c>
      <c r="F104" s="56">
        <f>IF(3&lt;=C56,F95-C63,0)+IF(3=C56,F98-F101,0)</f>
        <v/>
      </c>
      <c r="G104" s="56">
        <f>IF(4&lt;=C56,G95-C63,0)+IF(4=C56,G98-G101,0)</f>
        <v/>
      </c>
      <c r="H104" s="56">
        <f>IF(5&lt;=C56,H95-C63,0)+IF(5=C56,H98-H101,0)</f>
        <v/>
      </c>
      <c r="I104" s="56">
        <f>IF(6&lt;=C56,I95-C63,0)+IF(6=C56,I98-I101,0)</f>
        <v/>
      </c>
      <c r="J104" s="56">
        <f>IF(7&lt;=C56,J95-C63,0)+IF(7=C56,J98-J101,0)</f>
        <v/>
      </c>
      <c r="K104" s="56">
        <f>IF(8&lt;=C56,K95-C63,0)+IF(8=C56,K98-K101,0)</f>
        <v/>
      </c>
      <c r="L104" s="56">
        <f>IF(9&lt;=C56,L95-C63,0)+IF(9=C56,L98-L101,0)</f>
        <v/>
      </c>
      <c r="M104" s="56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51">
        <f>IFERROR(IRR(C99:M99),"n/m")</f>
        <v/>
      </c>
    </row>
    <row r="108" ht="15" customHeight="1">
      <c r="B108" s="7" t="inlineStr">
        <is>
          <t>Unlevered equity multiple</t>
        </is>
      </c>
      <c r="C108" s="57">
        <f>SUM(D99:M99)/-C99</f>
        <v/>
      </c>
    </row>
    <row r="109" ht="15" customHeight="1">
      <c r="B109" s="7" t="inlineStr">
        <is>
          <t>Unlevered NPV @ discount rate</t>
        </is>
      </c>
      <c r="C109" s="49">
        <f>C99+NPV(C57,D99:M99)</f>
        <v/>
      </c>
    </row>
    <row r="110" ht="15" customHeight="1">
      <c r="B110" s="7" t="inlineStr">
        <is>
          <t>Levered IRR</t>
        </is>
      </c>
      <c r="C110" s="51">
        <f>IFERROR(IRR(C104:M104),"n/m")</f>
        <v/>
      </c>
    </row>
    <row r="111" ht="15" customHeight="1">
      <c r="B111" s="7" t="inlineStr">
        <is>
          <t>Levered equity multiple</t>
        </is>
      </c>
      <c r="C111" s="57">
        <f>SUM(D104:M104)/C64</f>
        <v/>
      </c>
    </row>
    <row r="112" ht="15" customHeight="1">
      <c r="B112" s="7" t="inlineStr">
        <is>
          <t>Year-1 NOI (pro-forma)</t>
        </is>
      </c>
      <c r="C112" s="49">
        <f>D90</f>
        <v/>
      </c>
    </row>
    <row r="113" ht="15" customHeight="1">
      <c r="B113" s="7" t="inlineStr">
        <is>
          <t>As-is in-place NOI (at occ0, no lease-up)</t>
        </is>
      </c>
      <c r="C113" s="49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70">
        <f>C113/C47</f>
        <v/>
      </c>
    </row>
    <row r="115" ht="15" customHeight="1">
      <c r="B115" s="7" t="inlineStr">
        <is>
          <t>Stabilized NOI (Yr 2)</t>
        </is>
      </c>
      <c r="C115" s="49">
        <f>E90</f>
        <v/>
      </c>
    </row>
    <row r="116" ht="15" customHeight="1">
      <c r="B116" s="7" t="inlineStr">
        <is>
          <t>Stabilized value (÷ exit cap)</t>
        </is>
      </c>
      <c r="C116" s="49">
        <f>C115/C54</f>
        <v/>
      </c>
    </row>
    <row r="117" ht="15" customHeight="1">
      <c r="B117" s="7" t="inlineStr">
        <is>
          <t>Stabilized yield on cost</t>
        </is>
      </c>
      <c r="C117" s="51">
        <f>C115/C67</f>
        <v/>
      </c>
    </row>
    <row r="118" ht="15" customHeight="1">
      <c r="B118" s="7" t="inlineStr">
        <is>
          <t>Year-1 DSCR</t>
        </is>
      </c>
      <c r="C118" s="57">
        <f>D90/C63</f>
        <v/>
      </c>
    </row>
    <row r="119" ht="15" customHeight="1">
      <c r="B119" s="7" t="inlineStr">
        <is>
          <t>Year-1 debt yield</t>
        </is>
      </c>
      <c r="C119" s="51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100" t="inlineStr">
        <is>
          <t>Year 1</t>
        </is>
      </c>
      <c r="G122" s="9" t="n"/>
      <c r="H122" s="100" t="inlineStr">
        <is>
          <t>Stabilized</t>
        </is>
      </c>
      <c r="I122" s="9" t="n"/>
      <c r="J122" s="100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56">
        <f>D78</f>
        <v/>
      </c>
      <c r="G123" s="9" t="n"/>
      <c r="H123" s="50">
        <f>E78</f>
        <v/>
      </c>
      <c r="I123" s="9" t="n"/>
      <c r="J123" s="101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48">
        <f>D80</f>
        <v/>
      </c>
      <c r="G124" s="9" t="n"/>
      <c r="H124" s="48">
        <f>E80</f>
        <v/>
      </c>
      <c r="I124" s="9" t="n"/>
      <c r="J124" s="86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48">
        <f>D81</f>
        <v/>
      </c>
      <c r="G125" s="9" t="n"/>
      <c r="H125" s="48">
        <f>E81</f>
        <v/>
      </c>
      <c r="I125" s="9" t="n"/>
      <c r="J125" s="86">
        <f>H125/C27</f>
        <v/>
      </c>
      <c r="K125" s="8" t="n"/>
      <c r="L125" s="8" t="n"/>
      <c r="M125" s="9" t="n"/>
    </row>
    <row r="126" ht="15" customHeight="1">
      <c r="B126" s="41" t="inlineStr">
        <is>
          <t>Effective Gross Income</t>
        </is>
      </c>
      <c r="F126" s="56">
        <f>D82</f>
        <v/>
      </c>
      <c r="G126" s="9" t="n"/>
      <c r="H126" s="50">
        <f>E82</f>
        <v/>
      </c>
      <c r="I126" s="9" t="n"/>
      <c r="J126" s="101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48">
        <f>-D84</f>
        <v/>
      </c>
      <c r="G127" s="9" t="n"/>
      <c r="H127" s="48">
        <f>-E84</f>
        <v/>
      </c>
      <c r="I127" s="9" t="n"/>
      <c r="J127" s="86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48">
        <f>-D85</f>
        <v/>
      </c>
      <c r="G128" s="9" t="n"/>
      <c r="H128" s="48">
        <f>-E85</f>
        <v/>
      </c>
      <c r="I128" s="9" t="n"/>
      <c r="J128" s="86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48">
        <f>-D86</f>
        <v/>
      </c>
      <c r="G129" s="9" t="n"/>
      <c r="H129" s="48">
        <f>-E86</f>
        <v/>
      </c>
      <c r="I129" s="9" t="n"/>
      <c r="J129" s="86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48">
        <f>-D87</f>
        <v/>
      </c>
      <c r="G130" s="9" t="n"/>
      <c r="H130" s="48">
        <f>-E87</f>
        <v/>
      </c>
      <c r="I130" s="9" t="n"/>
      <c r="J130" s="86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48">
        <f>-D88</f>
        <v/>
      </c>
      <c r="G131" s="9" t="n"/>
      <c r="H131" s="48">
        <f>-E88</f>
        <v/>
      </c>
      <c r="I131" s="9" t="n"/>
      <c r="J131" s="86">
        <f>H131/C27</f>
        <v/>
      </c>
      <c r="K131" s="8" t="n"/>
      <c r="L131" s="8" t="n"/>
      <c r="M131" s="9" t="n"/>
    </row>
    <row r="132" ht="15" customHeight="1">
      <c r="B132" s="41" t="inlineStr">
        <is>
          <t>Net Operating Income</t>
        </is>
      </c>
      <c r="F132" s="56">
        <f>D90</f>
        <v/>
      </c>
      <c r="G132" s="9" t="n"/>
      <c r="H132" s="50">
        <f>E90</f>
        <v/>
      </c>
      <c r="I132" s="9" t="n"/>
      <c r="J132" s="101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48">
        <f>-D92</f>
        <v/>
      </c>
      <c r="G133" s="9" t="n"/>
      <c r="H133" s="48">
        <f>-E92</f>
        <v/>
      </c>
      <c r="I133" s="9" t="n"/>
      <c r="J133" s="86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48">
        <f>-D93</f>
        <v/>
      </c>
      <c r="G134" s="9" t="n"/>
      <c r="H134" s="48">
        <f>-E93</f>
        <v/>
      </c>
      <c r="I134" s="9" t="n"/>
      <c r="J134" s="86">
        <f>H134/C27</f>
        <v/>
      </c>
      <c r="K134" s="8" t="n"/>
      <c r="L134" s="8" t="n"/>
      <c r="M134" s="9" t="n"/>
    </row>
    <row r="135" ht="15" customHeight="1">
      <c r="B135" s="41" t="inlineStr">
        <is>
          <t>Cash Flow Before Debt</t>
        </is>
      </c>
      <c r="F135" s="56">
        <f>D95</f>
        <v/>
      </c>
      <c r="G135" s="9" t="n"/>
      <c r="H135" s="50">
        <f>E95</f>
        <v/>
      </c>
      <c r="I135" s="9" t="n"/>
      <c r="J135" s="101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48">
        <f>-C63</f>
        <v/>
      </c>
      <c r="G136" s="9" t="n"/>
      <c r="H136" s="48">
        <f>-C63</f>
        <v/>
      </c>
      <c r="I136" s="9" t="n"/>
      <c r="J136" s="86">
        <f>H136/C27</f>
        <v/>
      </c>
      <c r="K136" s="8" t="n"/>
      <c r="L136" s="8" t="n"/>
      <c r="M136" s="9" t="n"/>
    </row>
    <row r="137" ht="15" customHeight="1">
      <c r="B137" s="41" t="inlineStr">
        <is>
          <t>Cash Flow After Debt (levered)</t>
        </is>
      </c>
      <c r="F137" s="50">
        <f>F135-C63</f>
        <v/>
      </c>
      <c r="G137" s="9" t="n"/>
      <c r="H137" s="50">
        <f>H135-C63</f>
        <v/>
      </c>
      <c r="I137" s="9" t="n"/>
      <c r="J137" s="101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92" t="n">
        <v>168807</v>
      </c>
      <c r="D18" s="16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4">
        <f>'Assumptions'!C113</f>
        <v/>
      </c>
      <c r="D19" s="16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4">
        <f>'Assumptions'!C114</f>
        <v/>
      </c>
      <c r="D20" s="16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6">
        <f>'Assumptions'!C112</f>
        <v/>
      </c>
      <c r="D21" s="16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98" t="n">
        <v>0.03</v>
      </c>
      <c r="D22" s="16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98" t="n">
        <v>0.03</v>
      </c>
      <c r="D23" s="16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97" t="n">
        <v>0.0191</v>
      </c>
      <c r="D24" s="16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6">
        <f>'Assumptions'!C115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'Assumptions'!C116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98" t="n">
        <v>0.03</v>
      </c>
      <c r="D27" s="16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93" t="n">
        <v>0.2</v>
      </c>
      <c r="D28" s="16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20">
        <f>'Assumptions'!C111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98" t="n">
        <v>0.02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4">
        <f>'Assumptions'!C119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7">
        <f>'Assumptions'!C120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99" t="n">
        <v>30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7">
        <f>'Assumptions'!C117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7">
        <f>'Assumptions'!C118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98" t="n">
        <v>0.02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99" t="n">
        <v>5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98" t="n">
        <v>0.1</v>
      </c>
      <c r="D38" s="16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93" t="n">
        <v>300</v>
      </c>
      <c r="D39" s="16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49">
        <f>C29*C31</f>
        <v/>
      </c>
      <c r="D42" s="16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70">
        <f>C32/12</f>
        <v/>
      </c>
    </row>
    <row r="44" ht="15" customHeight="1">
      <c r="B44" s="7" t="inlineStr">
        <is>
          <t>Annual debt service</t>
        </is>
      </c>
      <c r="C44" s="49">
        <f>C42*(C43/(1-(1+C43)^(-C33*12)))*12</f>
        <v/>
      </c>
    </row>
    <row r="45" ht="15" customHeight="1">
      <c r="B45" s="7" t="inlineStr">
        <is>
          <t>Equity at acquisition</t>
        </is>
      </c>
      <c r="C45" s="49">
        <f>C29*(1+C30)-C42</f>
        <v/>
      </c>
    </row>
    <row r="46" ht="15" customHeight="1">
      <c r="B46" s="7" t="inlineStr">
        <is>
          <t>Total cost basis</t>
        </is>
      </c>
      <c r="C46" s="49">
        <f>C29*(1+C30)</f>
        <v/>
      </c>
    </row>
    <row r="47" ht="15" customHeight="1">
      <c r="B47" s="7" t="inlineStr">
        <is>
          <t>Total equity required</t>
        </is>
      </c>
      <c r="C47" s="49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3" t="inlineStr">
        <is>
          <t>0 / Acq</t>
        </is>
      </c>
      <c r="D50" s="55" t="n">
        <v>1</v>
      </c>
      <c r="E50" s="55" t="n">
        <v>2</v>
      </c>
      <c r="F50" s="55" t="n">
        <v>3</v>
      </c>
      <c r="G50" s="55" t="n">
        <v>4</v>
      </c>
      <c r="H50" s="55" t="n">
        <v>5</v>
      </c>
      <c r="I50" s="55" t="n">
        <v>6</v>
      </c>
      <c r="J50" s="55" t="n">
        <v>7</v>
      </c>
      <c r="K50" s="55" t="n">
        <v>8</v>
      </c>
      <c r="L50" s="55" t="n">
        <v>9</v>
      </c>
      <c r="M50" s="55" t="n">
        <v>10</v>
      </c>
    </row>
    <row r="51" ht="15" customHeight="1">
      <c r="B51" s="16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51">
        <f>(C19+C20)/2</f>
        <v/>
      </c>
      <c r="E52" s="51">
        <f>C20</f>
        <v/>
      </c>
      <c r="F52" s="51">
        <f>C20</f>
        <v/>
      </c>
      <c r="G52" s="51">
        <f>C20</f>
        <v/>
      </c>
      <c r="H52" s="51">
        <f>C20</f>
        <v/>
      </c>
      <c r="I52" s="51">
        <f>C20</f>
        <v/>
      </c>
      <c r="J52" s="51">
        <f>C20</f>
        <v/>
      </c>
      <c r="K52" s="51">
        <f>C20</f>
        <v/>
      </c>
      <c r="L52" s="51">
        <f>C20</f>
        <v/>
      </c>
      <c r="M52" s="51">
        <f>C20</f>
        <v/>
      </c>
    </row>
    <row r="53" ht="15" customHeight="1">
      <c r="B53" s="7" t="inlineStr">
        <is>
          <t>Leased SF</t>
        </is>
      </c>
      <c r="D53" s="83">
        <f>C18*D52</f>
        <v/>
      </c>
      <c r="E53" s="83">
        <f>C18*E52</f>
        <v/>
      </c>
      <c r="F53" s="83">
        <f>C18*F52</f>
        <v/>
      </c>
      <c r="G53" s="83">
        <f>C18*G52</f>
        <v/>
      </c>
      <c r="H53" s="83">
        <f>C18*H52</f>
        <v/>
      </c>
      <c r="I53" s="83">
        <f>C18*I52</f>
        <v/>
      </c>
      <c r="J53" s="83">
        <f>C18*J52</f>
        <v/>
      </c>
      <c r="K53" s="83">
        <f>C18*K52</f>
        <v/>
      </c>
      <c r="L53" s="83">
        <f>C18*L52</f>
        <v/>
      </c>
      <c r="M53" s="83">
        <f>C18*M52</f>
        <v/>
      </c>
    </row>
    <row r="54" ht="15" customHeight="1">
      <c r="B54" s="6" t="inlineStr">
        <is>
          <t>Gross rental income (MG)</t>
        </is>
      </c>
      <c r="D54" s="49">
        <f>D53*C21*(1+C22)^(1-1)</f>
        <v/>
      </c>
      <c r="E54" s="48">
        <f>E53*C21*(1+C22)^(2-1)</f>
        <v/>
      </c>
      <c r="F54" s="48">
        <f>F53*C21*(1+C22)^(3-1)</f>
        <v/>
      </c>
      <c r="G54" s="48">
        <f>G53*C21*(1+C22)^(4-1)</f>
        <v/>
      </c>
      <c r="H54" s="48">
        <f>H53*C21*(1+C22)^(5-1)</f>
        <v/>
      </c>
      <c r="I54" s="48">
        <f>I53*C21*(1+C22)^(6-1)</f>
        <v/>
      </c>
      <c r="J54" s="48">
        <f>J53*C21*(1+C22)^(7-1)</f>
        <v/>
      </c>
      <c r="K54" s="48">
        <f>K53*C21*(1+C22)^(8-1)</f>
        <v/>
      </c>
      <c r="L54" s="48">
        <f>L53*C21*(1+C22)^(9-1)</f>
        <v/>
      </c>
      <c r="M54" s="48">
        <f>M53*C21*(1+C22)^(10-1)</f>
        <v/>
      </c>
    </row>
    <row r="55" ht="15" customHeight="1">
      <c r="B55" s="7" t="inlineStr">
        <is>
          <t>Less: credit &amp; vacancy loss</t>
        </is>
      </c>
      <c r="D55" s="48">
        <f>-D54*C23</f>
        <v/>
      </c>
      <c r="E55" s="48">
        <f>-E54*C23</f>
        <v/>
      </c>
      <c r="F55" s="48">
        <f>-F54*C23</f>
        <v/>
      </c>
      <c r="G55" s="48">
        <f>-G54*C23</f>
        <v/>
      </c>
      <c r="H55" s="48">
        <f>-H54*C23</f>
        <v/>
      </c>
      <c r="I55" s="48">
        <f>-I54*C23</f>
        <v/>
      </c>
      <c r="J55" s="48">
        <f>-J54*C23</f>
        <v/>
      </c>
      <c r="K55" s="48">
        <f>-K54*C23</f>
        <v/>
      </c>
      <c r="L55" s="48">
        <f>-L54*C23</f>
        <v/>
      </c>
      <c r="M55" s="48">
        <f>-M54*C23</f>
        <v/>
      </c>
    </row>
    <row r="56" ht="15" customHeight="1">
      <c r="B56" s="41" t="inlineStr">
        <is>
          <t>Effective Gross Revenue</t>
        </is>
      </c>
      <c r="D56" s="49">
        <f>D54+D55</f>
        <v/>
      </c>
      <c r="E56" s="48">
        <f>E54+E55</f>
        <v/>
      </c>
      <c r="F56" s="48">
        <f>F54+F55</f>
        <v/>
      </c>
      <c r="G56" s="48">
        <f>G54+G55</f>
        <v/>
      </c>
      <c r="H56" s="48">
        <f>H54+H55</f>
        <v/>
      </c>
      <c r="I56" s="48">
        <f>I54+I55</f>
        <v/>
      </c>
      <c r="J56" s="48">
        <f>J54+J55</f>
        <v/>
      </c>
      <c r="K56" s="48">
        <f>K54+K55</f>
        <v/>
      </c>
      <c r="L56" s="48">
        <f>L54+L55</f>
        <v/>
      </c>
      <c r="M56" s="48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48">
        <f>C29*C24*(1+C27)^(1-1)</f>
        <v/>
      </c>
      <c r="E58" s="48">
        <f>C29*C24*(1+C27)^(2-1)</f>
        <v/>
      </c>
      <c r="F58" s="48">
        <f>C29*C24*(1+C27)^(3-1)</f>
        <v/>
      </c>
      <c r="G58" s="48">
        <f>C29*C24*(1+C27)^(4-1)</f>
        <v/>
      </c>
      <c r="H58" s="48">
        <f>C29*C24*(1+C27)^(5-1)</f>
        <v/>
      </c>
      <c r="I58" s="48">
        <f>C29*C24*(1+C27)^(6-1)</f>
        <v/>
      </c>
      <c r="J58" s="48">
        <f>C29*C24*(1+C27)^(7-1)</f>
        <v/>
      </c>
      <c r="K58" s="48">
        <f>C29*C24*(1+C27)^(8-1)</f>
        <v/>
      </c>
      <c r="L58" s="48">
        <f>C29*C24*(1+C27)^(9-1)</f>
        <v/>
      </c>
      <c r="M58" s="48">
        <f>C29*C24*(1+C27)^(10-1)</f>
        <v/>
      </c>
    </row>
    <row r="59" ht="15" customHeight="1">
      <c r="B59" s="7" t="inlineStr">
        <is>
          <t>Office opex (utilities, R&amp;M, ins, CAM)</t>
        </is>
      </c>
      <c r="D59" s="48">
        <f>C18*C25*(1+C27)^(1-1)</f>
        <v/>
      </c>
      <c r="E59" s="48">
        <f>C18*C25*(1+C27)^(2-1)</f>
        <v/>
      </c>
      <c r="F59" s="48">
        <f>C18*C25*(1+C27)^(3-1)</f>
        <v/>
      </c>
      <c r="G59" s="48">
        <f>C18*C25*(1+C27)^(4-1)</f>
        <v/>
      </c>
      <c r="H59" s="48">
        <f>C18*C25*(1+C27)^(5-1)</f>
        <v/>
      </c>
      <c r="I59" s="48">
        <f>C18*C25*(1+C27)^(6-1)</f>
        <v/>
      </c>
      <c r="J59" s="48">
        <f>C18*C25*(1+C27)^(7-1)</f>
        <v/>
      </c>
      <c r="K59" s="48">
        <f>C18*C25*(1+C27)^(8-1)</f>
        <v/>
      </c>
      <c r="L59" s="48">
        <f>C18*C25*(1+C27)^(9-1)</f>
        <v/>
      </c>
      <c r="M59" s="48">
        <f>C18*C25*(1+C27)^(10-1)</f>
        <v/>
      </c>
    </row>
    <row r="60" ht="15" customHeight="1">
      <c r="B60" s="7" t="inlineStr">
        <is>
          <t>Management fee</t>
        </is>
      </c>
      <c r="D60" s="48">
        <f>D56*C26</f>
        <v/>
      </c>
      <c r="E60" s="48">
        <f>E56*C26</f>
        <v/>
      </c>
      <c r="F60" s="48">
        <f>F56*C26</f>
        <v/>
      </c>
      <c r="G60" s="48">
        <f>G56*C26</f>
        <v/>
      </c>
      <c r="H60" s="48">
        <f>H56*C26</f>
        <v/>
      </c>
      <c r="I60" s="48">
        <f>I56*C26</f>
        <v/>
      </c>
      <c r="J60" s="48">
        <f>J56*C26</f>
        <v/>
      </c>
      <c r="K60" s="48">
        <f>K56*C26</f>
        <v/>
      </c>
      <c r="L60" s="48">
        <f>L56*C26</f>
        <v/>
      </c>
      <c r="M60" s="48">
        <f>M56*C26</f>
        <v/>
      </c>
    </row>
    <row r="61" ht="15" customHeight="1">
      <c r="B61" s="41" t="inlineStr">
        <is>
          <t>Total operating expenses</t>
        </is>
      </c>
      <c r="D61" s="49">
        <f>SUM(D58:D60)</f>
        <v/>
      </c>
      <c r="E61" s="48">
        <f>SUM(E58:E60)</f>
        <v/>
      </c>
      <c r="F61" s="48">
        <f>SUM(F58:F60)</f>
        <v/>
      </c>
      <c r="G61" s="48">
        <f>SUM(G58:G60)</f>
        <v/>
      </c>
      <c r="H61" s="48">
        <f>SUM(H58:H60)</f>
        <v/>
      </c>
      <c r="I61" s="48">
        <f>SUM(I58:I60)</f>
        <v/>
      </c>
      <c r="J61" s="48">
        <f>SUM(J58:J60)</f>
        <v/>
      </c>
      <c r="K61" s="48">
        <f>SUM(K58:K60)</f>
        <v/>
      </c>
      <c r="L61" s="48">
        <f>SUM(L58:L60)</f>
        <v/>
      </c>
      <c r="M61" s="48">
        <f>SUM(M58:M60)</f>
        <v/>
      </c>
    </row>
    <row r="62" ht="15" customHeight="1">
      <c r="B62" s="41" t="inlineStr">
        <is>
          <t>NET OPERATING INCOME</t>
        </is>
      </c>
      <c r="D62" s="50">
        <f>D56-D61</f>
        <v/>
      </c>
      <c r="E62" s="56">
        <f>E56-E61</f>
        <v/>
      </c>
      <c r="F62" s="56">
        <f>F56-F61</f>
        <v/>
      </c>
      <c r="G62" s="56">
        <f>G56-G61</f>
        <v/>
      </c>
      <c r="H62" s="56">
        <f>H56-H61</f>
        <v/>
      </c>
      <c r="I62" s="56">
        <f>I56-I61</f>
        <v/>
      </c>
      <c r="J62" s="56">
        <f>J56-J61</f>
        <v/>
      </c>
      <c r="K62" s="56">
        <f>K56-K61</f>
        <v/>
      </c>
      <c r="L62" s="56">
        <f>L56-L61</f>
        <v/>
      </c>
      <c r="M62" s="56">
        <f>M56-M61</f>
        <v/>
      </c>
    </row>
    <row r="63" ht="15" customHeight="1">
      <c r="B63" s="7" t="inlineStr">
        <is>
          <t>Replacement reserves</t>
        </is>
      </c>
      <c r="D63" s="48">
        <f>C18*C28*(1+C27)^(1-1)</f>
        <v/>
      </c>
      <c r="E63" s="48">
        <f>C18*C28*(1+C27)^(2-1)</f>
        <v/>
      </c>
      <c r="F63" s="48">
        <f>C18*C28*(1+C27)^(3-1)</f>
        <v/>
      </c>
      <c r="G63" s="48">
        <f>C18*C28*(1+C27)^(4-1)</f>
        <v/>
      </c>
      <c r="H63" s="48">
        <f>C18*C28*(1+C27)^(5-1)</f>
        <v/>
      </c>
      <c r="I63" s="48">
        <f>C18*C28*(1+C27)^(6-1)</f>
        <v/>
      </c>
      <c r="J63" s="48">
        <f>C18*C28*(1+C27)^(7-1)</f>
        <v/>
      </c>
      <c r="K63" s="48">
        <f>C18*C28*(1+C27)^(8-1)</f>
        <v/>
      </c>
      <c r="L63" s="48">
        <f>C18*C28*(1+C27)^(9-1)</f>
        <v/>
      </c>
      <c r="M63" s="48">
        <f>C18*C28*(1+C27)^(10-1)</f>
        <v/>
      </c>
    </row>
    <row r="64" ht="15" customHeight="1">
      <c r="B64" s="41" t="inlineStr">
        <is>
          <t>Unlevered cash flow (before reversion)</t>
        </is>
      </c>
      <c r="C64" s="50">
        <f>-C29*(1+C30)</f>
        <v/>
      </c>
      <c r="D64" s="50">
        <f>D62-D63</f>
        <v/>
      </c>
      <c r="E64" s="56">
        <f>E62-E63</f>
        <v/>
      </c>
      <c r="F64" s="56">
        <f>F62-F63</f>
        <v/>
      </c>
      <c r="G64" s="56">
        <f>G62-G63</f>
        <v/>
      </c>
      <c r="H64" s="56">
        <f>H62-H63</f>
        <v/>
      </c>
      <c r="I64" s="56">
        <f>I62-I63</f>
        <v/>
      </c>
      <c r="J64" s="56">
        <f>J62-J63</f>
        <v/>
      </c>
      <c r="K64" s="56">
        <f>K62-K63</f>
        <v/>
      </c>
      <c r="L64" s="56">
        <f>L62-L63</f>
        <v/>
      </c>
      <c r="M64" s="56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48">
        <f>IF(1=C37,(D62*(1+C22)/C35)*(1-C36),0)</f>
        <v/>
      </c>
      <c r="E67" s="48">
        <f>IF(2=C37,(E62*(1+C22)/C35)*(1-C36),0)</f>
        <v/>
      </c>
      <c r="F67" s="48">
        <f>IF(3=C37,(F62*(1+C22)/C35)*(1-C36),0)</f>
        <v/>
      </c>
      <c r="G67" s="48">
        <f>IF(4=C37,(G62*(1+C22)/C35)*(1-C36),0)</f>
        <v/>
      </c>
      <c r="H67" s="48">
        <f>IF(5=C37,(H62*(1+C22)/C35)*(1-C36),0)</f>
        <v/>
      </c>
      <c r="I67" s="48">
        <f>IF(6=C37,(I62*(1+C22)/C35)*(1-C36),0)</f>
        <v/>
      </c>
      <c r="J67" s="48">
        <f>IF(7=C37,(J62*(1+C22)/C35)*(1-C36),0)</f>
        <v/>
      </c>
      <c r="K67" s="48">
        <f>IF(8=C37,(K62*(1+C22)/C35)*(1-C36),0)</f>
        <v/>
      </c>
      <c r="L67" s="48">
        <f>IF(9=C37,(L62*(1+C22)/C35)*(1-C36),0)</f>
        <v/>
      </c>
      <c r="M67" s="48">
        <f>IF(10=C37,(M62*(1+C22)/C35)*(1-C36),0)</f>
        <v/>
      </c>
    </row>
    <row r="68" ht="15" customHeight="1">
      <c r="B68" s="41" t="inlineStr">
        <is>
          <t>UNLEVERED PROJECT CASH FLOW</t>
        </is>
      </c>
      <c r="C68" s="50">
        <f>C64</f>
        <v/>
      </c>
      <c r="D68" s="50">
        <f>IF(1&lt;=C37,D64,0)+D67</f>
        <v/>
      </c>
      <c r="E68" s="56">
        <f>IF(2&lt;=C37,E64,0)+E67</f>
        <v/>
      </c>
      <c r="F68" s="56">
        <f>IF(3&lt;=C37,F64,0)+F67</f>
        <v/>
      </c>
      <c r="G68" s="56">
        <f>IF(4&lt;=C37,G64,0)+G67</f>
        <v/>
      </c>
      <c r="H68" s="56">
        <f>IF(5&lt;=C37,H64,0)+H67</f>
        <v/>
      </c>
      <c r="I68" s="56">
        <f>IF(6&lt;=C37,I64,0)+I67</f>
        <v/>
      </c>
      <c r="J68" s="56">
        <f>IF(7&lt;=C37,J64,0)+J67</f>
        <v/>
      </c>
      <c r="K68" s="56">
        <f>IF(8&lt;=C37,K64,0)+K67</f>
        <v/>
      </c>
      <c r="L68" s="56">
        <f>IF(9&lt;=C37,L64,0)+L67</f>
        <v/>
      </c>
      <c r="M68" s="56">
        <f>IF(10&lt;=C37,M64,0)+M67</f>
        <v/>
      </c>
    </row>
    <row r="69" ht="15" customHeight="1">
      <c r="B69" s="7" t="inlineStr">
        <is>
          <t>Loan balance (year-end)</t>
        </is>
      </c>
      <c r="D69" s="48">
        <f>C42*(1+C43)^(12*1)-(C44/12)*((1+C43)^(12*1)-1)/C43</f>
        <v/>
      </c>
      <c r="E69" s="48">
        <f>C42*(1+C43)^(12*2)-(C44/12)*((1+C43)^(12*2)-1)/C43</f>
        <v/>
      </c>
      <c r="F69" s="48">
        <f>C42*(1+C43)^(12*3)-(C44/12)*((1+C43)^(12*3)-1)/C43</f>
        <v/>
      </c>
      <c r="G69" s="48">
        <f>C42*(1+C43)^(12*4)-(C44/12)*((1+C43)^(12*4)-1)/C43</f>
        <v/>
      </c>
      <c r="H69" s="48">
        <f>C42*(1+C43)^(12*5)-(C44/12)*((1+C43)^(12*5)-1)/C43</f>
        <v/>
      </c>
      <c r="I69" s="48">
        <f>C42*(1+C43)^(12*6)-(C44/12)*((1+C43)^(12*6)-1)/C43</f>
        <v/>
      </c>
      <c r="J69" s="48">
        <f>C42*(1+C43)^(12*7)-(C44/12)*((1+C43)^(12*7)-1)/C43</f>
        <v/>
      </c>
      <c r="K69" s="48">
        <f>C42*(1+C43)^(12*8)-(C44/12)*((1+C43)^(12*8)-1)/C43</f>
        <v/>
      </c>
      <c r="L69" s="48">
        <f>C42*(1+C43)^(12*9)-(C44/12)*((1+C43)^(12*9)-1)/C43</f>
        <v/>
      </c>
      <c r="M69" s="48">
        <f>C42*(1+C43)^(12*10)-(C44/12)*((1+C43)^(12*10)-1)/C43</f>
        <v/>
      </c>
    </row>
    <row r="70" ht="15" customHeight="1">
      <c r="B70" s="7" t="inlineStr">
        <is>
          <t>DSCR (NOI ÷ DS)</t>
        </is>
      </c>
      <c r="D70" s="57">
        <f>D62/C44</f>
        <v/>
      </c>
      <c r="E70" s="57">
        <f>E62/C44</f>
        <v/>
      </c>
      <c r="F70" s="57">
        <f>F62/C44</f>
        <v/>
      </c>
      <c r="G70" s="57">
        <f>G62/C44</f>
        <v/>
      </c>
      <c r="H70" s="57">
        <f>H62/C44</f>
        <v/>
      </c>
      <c r="I70" s="57">
        <f>I62/C44</f>
        <v/>
      </c>
      <c r="J70" s="57">
        <f>J62/C44</f>
        <v/>
      </c>
      <c r="K70" s="57">
        <f>K62/C44</f>
        <v/>
      </c>
      <c r="L70" s="57">
        <f>L62/C44</f>
        <v/>
      </c>
      <c r="M70" s="57">
        <f>M62/C44</f>
        <v/>
      </c>
    </row>
    <row r="71" ht="15" customHeight="1">
      <c r="B71" s="41" t="inlineStr">
        <is>
          <t>LEVERED CASH FLOW (equity)</t>
        </is>
      </c>
      <c r="C71" s="50">
        <f>-C45</f>
        <v/>
      </c>
      <c r="D71" s="50">
        <f>IF(1&lt;=C37,D64-C44,0)+IF(1=C37,D67-D69,0)</f>
        <v/>
      </c>
      <c r="E71" s="56">
        <f>IF(2&lt;=C37,E64-C44,0)+IF(2=C37,E67-E69,0)</f>
        <v/>
      </c>
      <c r="F71" s="56">
        <f>IF(3&lt;=C37,F64-C44,0)+IF(3=C37,F67-F69,0)</f>
        <v/>
      </c>
      <c r="G71" s="56">
        <f>IF(4&lt;=C37,G64-C44,0)+IF(4=C37,G67-G69,0)</f>
        <v/>
      </c>
      <c r="H71" s="56">
        <f>IF(5&lt;=C37,H64-C44,0)+IF(5=C37,H67-H69,0)</f>
        <v/>
      </c>
      <c r="I71" s="56">
        <f>IF(6&lt;=C37,I64-C44,0)+IF(6=C37,I67-I69,0)</f>
        <v/>
      </c>
      <c r="J71" s="56">
        <f>IF(7&lt;=C37,J64-C44,0)+IF(7=C37,J67-J69,0)</f>
        <v/>
      </c>
      <c r="K71" s="56">
        <f>IF(8&lt;=C37,K64-C44,0)+IF(8=C37,K67-K69,0)</f>
        <v/>
      </c>
      <c r="L71" s="56">
        <f>IF(9&lt;=C37,L64-C44,0)+IF(9=C37,L67-L69,0)</f>
        <v/>
      </c>
      <c r="M71" s="56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51">
        <f>IRR(C68:M68)</f>
        <v/>
      </c>
    </row>
    <row r="75" ht="15" customHeight="1">
      <c r="B75" s="7" t="inlineStr">
        <is>
          <t>Unlevered equity multiple</t>
        </is>
      </c>
      <c r="C75" s="57">
        <f>SUM(D68:M68)/-C68</f>
        <v/>
      </c>
    </row>
    <row r="76" ht="15" customHeight="1">
      <c r="B76" s="7" t="inlineStr">
        <is>
          <t>Unlevered NPV @ discount rate</t>
        </is>
      </c>
      <c r="C76" s="49">
        <f>C68+NPV(C38,D68:M68)</f>
        <v/>
      </c>
    </row>
    <row r="77" ht="15" customHeight="1">
      <c r="B77" s="7" t="inlineStr">
        <is>
          <t>Levered IRR</t>
        </is>
      </c>
      <c r="C77" s="51">
        <f>IRR(C71:M71)</f>
        <v/>
      </c>
    </row>
    <row r="78" ht="15" customHeight="1">
      <c r="B78" s="7" t="inlineStr">
        <is>
          <t>Levered equity multiple</t>
        </is>
      </c>
      <c r="C78" s="57">
        <f>SUM(D71:M71)/C45</f>
        <v/>
      </c>
    </row>
    <row r="79" ht="15" customHeight="1">
      <c r="B79" s="7" t="inlineStr">
        <is>
          <t>Year-1 NOI (pro-forma)</t>
        </is>
      </c>
      <c r="C79" s="49">
        <f>D62</f>
        <v/>
      </c>
    </row>
    <row r="80" ht="15" customHeight="1">
      <c r="B80" s="7" t="inlineStr">
        <is>
          <t>As-is in-place NOI (at occ0, no lease-up)</t>
        </is>
      </c>
      <c r="C80" s="49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70">
        <f>C80/C29</f>
        <v/>
      </c>
    </row>
    <row r="82" ht="15" customHeight="1">
      <c r="B82" s="7" t="inlineStr">
        <is>
          <t>Stabilized NOI (Yr 2)</t>
        </is>
      </c>
      <c r="C82" s="49">
        <f>E62</f>
        <v/>
      </c>
    </row>
    <row r="83" ht="15" customHeight="1">
      <c r="B83" s="7" t="inlineStr">
        <is>
          <t>Stabilized value (÷ exit cap)</t>
        </is>
      </c>
      <c r="C83" s="49">
        <f>C82/C35</f>
        <v/>
      </c>
    </row>
    <row r="84" ht="15" customHeight="1">
      <c r="B84" s="7" t="inlineStr">
        <is>
          <t>In-place NOI per SF</t>
        </is>
      </c>
      <c r="C84" s="86">
        <f>D62/C18</f>
        <v/>
      </c>
    </row>
    <row r="85" ht="15" customHeight="1">
      <c r="B85" s="7" t="inlineStr">
        <is>
          <t>Income value (Yr-1 NOI ÷ going-in cap)</t>
        </is>
      </c>
      <c r="C85" s="49">
        <f>D62/C34</f>
        <v/>
      </c>
    </row>
    <row r="86" ht="15" customHeight="1">
      <c r="B86" s="7" t="inlineStr">
        <is>
          <t>Sale-comp value (SF × $/SF)</t>
        </is>
      </c>
      <c r="C86" s="49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93" t="n">
        <v>250</v>
      </c>
      <c r="D89" s="16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3" t="inlineStr">
        <is>
          <t>SF</t>
        </is>
      </c>
      <c r="E90" s="23" t="inlineStr">
        <is>
          <t>% bldg</t>
        </is>
      </c>
      <c r="F90" s="23" t="inlineStr">
        <is>
          <t>Orig basis</t>
        </is>
      </c>
      <c r="G90" s="23" t="inlineStr">
        <is>
          <t>Bought</t>
        </is>
      </c>
      <c r="H90" s="23" t="inlineStr">
        <is>
          <t>Income value</t>
        </is>
      </c>
      <c r="I90" s="23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46" t="inlineStr">
        <is>
          <t>Main Street Fund LLC — Grove Gate (Brad Weiss)</t>
        </is>
      </c>
      <c r="C91" s="9" t="n"/>
      <c r="D91" s="92" t="n">
        <v>94381</v>
      </c>
      <c r="E91" s="51">
        <f>D91/C18</f>
        <v/>
      </c>
      <c r="F91" s="103" t="n">
        <v>10000000</v>
      </c>
      <c r="G91" s="104" t="inlineStr">
        <is>
          <t>09/2019</t>
        </is>
      </c>
      <c r="H91" s="48">
        <f>C84*D91/C34</f>
        <v/>
      </c>
      <c r="I91" s="48">
        <f>D91*C89</f>
        <v/>
      </c>
      <c r="J91" s="46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46" t="inlineStr">
        <is>
          <t>P. Jorgensen Mgmt — Ste 805</t>
        </is>
      </c>
      <c r="C92" s="9" t="n"/>
      <c r="D92" s="92" t="n">
        <v>1722</v>
      </c>
      <c r="E92" s="51">
        <f>D92/C18</f>
        <v/>
      </c>
      <c r="F92" s="103" t="n">
        <v>410000</v>
      </c>
      <c r="G92" s="104" t="inlineStr">
        <is>
          <t>11/2019</t>
        </is>
      </c>
      <c r="H92" s="48">
        <f>C84*D92/C34</f>
        <v/>
      </c>
      <c r="I92" s="48">
        <f>D92*C89</f>
        <v/>
      </c>
      <c r="J92" s="46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46" t="inlineStr">
        <is>
          <t>CU-11A owner</t>
        </is>
      </c>
      <c r="C93" s="9" t="n"/>
      <c r="D93" s="92" t="n">
        <v>1867</v>
      </c>
      <c r="E93" s="51">
        <f>D93/C18</f>
        <v/>
      </c>
      <c r="F93" s="103" t="n">
        <v>515000</v>
      </c>
      <c r="G93" s="104" t="inlineStr">
        <is>
          <t>02/2025</t>
        </is>
      </c>
      <c r="H93" s="48">
        <f>C84*D93/C34</f>
        <v/>
      </c>
      <c r="I93" s="48">
        <f>D93*C89</f>
        <v/>
      </c>
      <c r="J93" s="46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46" t="inlineStr">
        <is>
          <t>Unit 401 owner — Ste 401</t>
        </is>
      </c>
      <c r="C94" s="9" t="n"/>
      <c r="D94" s="92" t="n">
        <v>682</v>
      </c>
      <c r="E94" s="51">
        <f>D94/C18</f>
        <v/>
      </c>
      <c r="F94" s="103" t="n">
        <v>260000</v>
      </c>
      <c r="G94" s="104" t="inlineStr">
        <is>
          <t>06/2024</t>
        </is>
      </c>
      <c r="H94" s="48">
        <f>C84*D94/C34</f>
        <v/>
      </c>
      <c r="I94" s="48">
        <f>D94*C89</f>
        <v/>
      </c>
      <c r="J94" s="46" t="inlineStr">
        <is>
          <t>$381/SF closed · ✅ MLS A11438689</t>
        </is>
      </c>
      <c r="K94" s="8" t="n"/>
      <c r="L94" s="8" t="n"/>
      <c r="M94" s="9" t="n"/>
    </row>
    <row r="95" ht="15" customHeight="1">
      <c r="B95" s="46" t="inlineStr">
        <is>
          <t>Merrimac Ventures — Motwani family</t>
        </is>
      </c>
      <c r="C95" s="9" t="n"/>
      <c r="D95" s="92" t="n">
        <v>3000</v>
      </c>
      <c r="E95" s="51">
        <f>D95/C18</f>
        <v/>
      </c>
      <c r="F95" s="105" t="inlineStr">
        <is>
          <t>—</t>
        </is>
      </c>
      <c r="G95" s="104" t="inlineStr">
        <is>
          <t>—</t>
        </is>
      </c>
      <c r="H95" s="48">
        <f>C84*D95/C34</f>
        <v/>
      </c>
      <c r="I95" s="48">
        <f>D95*C89</f>
        <v/>
      </c>
      <c r="J95" s="46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46" t="inlineStr">
        <is>
          <t>Cosmo Int'l Fragrances — Marc Blaison</t>
        </is>
      </c>
      <c r="C96" s="9" t="n"/>
      <c r="D96" s="92" t="n">
        <v>2000</v>
      </c>
      <c r="E96" s="51">
        <f>D96/C18</f>
        <v/>
      </c>
      <c r="F96" s="105" t="inlineStr">
        <is>
          <t>—</t>
        </is>
      </c>
      <c r="G96" s="104" t="inlineStr">
        <is>
          <t>—</t>
        </is>
      </c>
      <c r="H96" s="48">
        <f>C84*D96/C34</f>
        <v/>
      </c>
      <c r="I96" s="48">
        <f>D96*C89</f>
        <v/>
      </c>
      <c r="J96" s="46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46" t="inlineStr">
        <is>
          <t>Hublot of America — Ste 402</t>
        </is>
      </c>
      <c r="C97" s="9" t="n"/>
      <c r="D97" s="92" t="n">
        <v>2000</v>
      </c>
      <c r="E97" s="51">
        <f>D97/C18</f>
        <v/>
      </c>
      <c r="F97" s="105" t="inlineStr">
        <is>
          <t>—</t>
        </is>
      </c>
      <c r="G97" s="104" t="inlineStr">
        <is>
          <t>—</t>
        </is>
      </c>
      <c r="H97" s="48">
        <f>C84*D97/C34</f>
        <v/>
      </c>
      <c r="I97" s="48">
        <f>D97*C89</f>
        <v/>
      </c>
      <c r="J97" s="46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46" t="inlineStr">
        <is>
          <t>Other unit owners (~40 small units)</t>
        </is>
      </c>
      <c r="C98" s="9" t="n"/>
      <c r="D98" s="92" t="n">
        <v>63155</v>
      </c>
      <c r="E98" s="51">
        <f>D98/C18</f>
        <v/>
      </c>
      <c r="F98" s="105" t="inlineStr">
        <is>
          <t>—</t>
        </is>
      </c>
      <c r="G98" s="104" t="inlineStr">
        <is>
          <t>—</t>
        </is>
      </c>
      <c r="H98" s="48">
        <f>C84*D98/C34</f>
        <v/>
      </c>
      <c r="I98" s="48">
        <f>D98*C89</f>
        <v/>
      </c>
      <c r="J98" s="46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1" t="inlineStr">
        <is>
          <t>TOTAL BUILDING — FULL BUY-OUT</t>
        </is>
      </c>
      <c r="C99" s="9" t="n"/>
      <c r="D99" s="106">
        <f>SUM(D91:D98)</f>
        <v/>
      </c>
      <c r="E99" s="107">
        <f>SUM(E91:E98)</f>
        <v/>
      </c>
      <c r="F99" s="108" t="inlineStr">
        <is>
          <t>—</t>
        </is>
      </c>
      <c r="G99" s="108" t="inlineStr">
        <is>
          <t>—</t>
        </is>
      </c>
      <c r="H99" s="22">
        <f>SUM(H91:H98)</f>
        <v/>
      </c>
      <c r="I99" s="22">
        <f>SUM(I91:I98)</f>
        <v/>
      </c>
      <c r="J99" s="21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48">
        <f>H99</f>
        <v/>
      </c>
    </row>
    <row r="101" ht="29" customHeight="1">
      <c r="B101" s="21" t="inlineStr">
        <is>
          <t>FRAGMENTATION PREMIUM (buy-out − income value)</t>
        </is>
      </c>
      <c r="C101" s="22">
        <f>I99-H99</f>
        <v/>
      </c>
      <c r="D101" s="15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100" t="inlineStr">
        <is>
          <t>Year 1</t>
        </is>
      </c>
      <c r="G104" s="9" t="n"/>
      <c r="H104" s="100" t="inlineStr">
        <is>
          <t>Stabilized</t>
        </is>
      </c>
      <c r="I104" s="9" t="n"/>
      <c r="J104" s="100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56">
        <f>D54</f>
        <v/>
      </c>
      <c r="G105" s="9" t="n"/>
      <c r="H105" s="50">
        <f>E54</f>
        <v/>
      </c>
      <c r="I105" s="9" t="n"/>
      <c r="J105" s="101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48">
        <f>D55</f>
        <v/>
      </c>
      <c r="G106" s="9" t="n"/>
      <c r="H106" s="48">
        <f>E55</f>
        <v/>
      </c>
      <c r="I106" s="9" t="n"/>
      <c r="J106" s="86">
        <f>H106/C18</f>
        <v/>
      </c>
      <c r="K106" s="8" t="n"/>
      <c r="L106" s="8" t="n"/>
      <c r="M106" s="9" t="n"/>
    </row>
    <row r="107" ht="15" customHeight="1">
      <c r="B107" s="41" t="inlineStr">
        <is>
          <t>Effective Gross Income</t>
        </is>
      </c>
      <c r="F107" s="56">
        <f>D56</f>
        <v/>
      </c>
      <c r="G107" s="9" t="n"/>
      <c r="H107" s="50">
        <f>E56</f>
        <v/>
      </c>
      <c r="I107" s="9" t="n"/>
      <c r="J107" s="101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48">
        <f>-D58</f>
        <v/>
      </c>
      <c r="G108" s="9" t="n"/>
      <c r="H108" s="48">
        <f>-E58</f>
        <v/>
      </c>
      <c r="I108" s="9" t="n"/>
      <c r="J108" s="86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48">
        <f>-D59</f>
        <v/>
      </c>
      <c r="G109" s="9" t="n"/>
      <c r="H109" s="48">
        <f>-E59</f>
        <v/>
      </c>
      <c r="I109" s="9" t="n"/>
      <c r="J109" s="86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48">
        <f>-D60</f>
        <v/>
      </c>
      <c r="G110" s="9" t="n"/>
      <c r="H110" s="48">
        <f>-E60</f>
        <v/>
      </c>
      <c r="I110" s="9" t="n"/>
      <c r="J110" s="86">
        <f>H110/C18</f>
        <v/>
      </c>
      <c r="K110" s="8" t="n"/>
      <c r="L110" s="8" t="n"/>
      <c r="M110" s="9" t="n"/>
    </row>
    <row r="111" ht="15" customHeight="1">
      <c r="B111" s="41" t="inlineStr">
        <is>
          <t>Net Operating Income</t>
        </is>
      </c>
      <c r="F111" s="56">
        <f>D62</f>
        <v/>
      </c>
      <c r="G111" s="9" t="n"/>
      <c r="H111" s="50">
        <f>E62</f>
        <v/>
      </c>
      <c r="I111" s="9" t="n"/>
      <c r="J111" s="101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48">
        <f>-D63</f>
        <v/>
      </c>
      <c r="G112" s="9" t="n"/>
      <c r="H112" s="48">
        <f>-E63</f>
        <v/>
      </c>
      <c r="I112" s="9" t="n"/>
      <c r="J112" s="86">
        <f>H112/C18</f>
        <v/>
      </c>
      <c r="K112" s="8" t="n"/>
      <c r="L112" s="8" t="n"/>
      <c r="M112" s="9" t="n"/>
    </row>
    <row r="113" ht="15" customHeight="1">
      <c r="B113" s="41" t="inlineStr">
        <is>
          <t>Cash Flow Before Debt</t>
        </is>
      </c>
      <c r="F113" s="56">
        <f>D64</f>
        <v/>
      </c>
      <c r="G113" s="9" t="n"/>
      <c r="H113" s="50">
        <f>E64</f>
        <v/>
      </c>
      <c r="I113" s="9" t="n"/>
      <c r="J113" s="101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48">
        <f>-C44</f>
        <v/>
      </c>
      <c r="G114" s="9" t="n"/>
      <c r="H114" s="48">
        <f>-C44</f>
        <v/>
      </c>
      <c r="I114" s="9" t="n"/>
      <c r="J114" s="86">
        <f>H114/C18</f>
        <v/>
      </c>
      <c r="K114" s="8" t="n"/>
      <c r="L114" s="8" t="n"/>
      <c r="M114" s="9" t="n"/>
    </row>
    <row r="115" ht="15" customHeight="1">
      <c r="B115" s="41" t="inlineStr">
        <is>
          <t>Cash Flow After Debt (levered)</t>
        </is>
      </c>
      <c r="F115" s="50">
        <f>F113-C44</f>
        <v/>
      </c>
      <c r="G115" s="9" t="n"/>
      <c r="H115" s="50">
        <f>H113-C44</f>
        <v/>
      </c>
      <c r="I115" s="9" t="n"/>
      <c r="J115" s="101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Record owner</t>
        </is>
      </c>
      <c r="D5" s="7" t="inlineStr">
        <is>
          <t>Sunrise &amp; Bayview Partners, LLC (Procacci Development; folio -0040). Bought 2014 ≈ $7.9–8.0M in a Procacci/BBX JV; BBX exited its stake to Procacci in 2022 — Procacci now sole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Land</t>
        </is>
      </c>
      <c r="D6" s="7" t="inlineStr">
        <is>
          <t>2.39 ac ≈ 103,982 SF (BCPA) — same plat block (49-42-36-12) as the assemblage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Existing improvement</t>
        </is>
      </c>
      <c r="D7" s="7" t="inlineStr">
        <is>
          <t>office building, built 1968 — leasable ≈ 84,495 SF (Redfin) / BCPA living area 101,803 SF; a redevelopment site, not raw land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Zoning</t>
        </is>
      </c>
      <c r="D8" s="7" t="inlineStr">
        <is>
          <t>B-1 (Boulevard Business) / CB core commercial; rezoning case UDP-Z25002 filed Oct 2025, under P&amp;Z review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27" customHeight="1">
      <c r="B9" s="7" t="inlineStr">
        <is>
          <t>Entitlement (current)</t>
        </is>
      </c>
      <c r="D9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Entitlement (prior)</t>
        </is>
      </c>
      <c r="D10" s="7" t="inlineStr">
        <is>
          <t>2023 Site Plan Level III (superseded): two towers, 14-story N / 10-story S, 180 units, 14,671 SF commercial, 505-space garage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path</t>
        </is>
      </c>
      <c r="D11" s="7" t="inlineStr">
        <is>
          <t>City affordable-housing DENSITY BONUS via conventional rezoning (12 affordable units unlock the bonus) — NOT a Live Local approval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Live Local optionality</t>
        </is>
      </c>
      <c r="D12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BCPA market value</t>
        </is>
      </c>
      <c r="D13" s="7" t="inlineStr">
        <is>
          <t>2015 assessed ≈ $8.25M (stale); current just value not confirmed (verify at BCPA)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Status</t>
        </is>
      </c>
      <c r="D14" s="7" t="inlineStr">
        <is>
          <t>NOT listed — owner is entitling, not selling; a JV / forward-purchase target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Covered-land thesis</t>
        </is>
      </c>
      <c r="D15" s="7" t="inlineStr">
        <is>
          <t>Interim office income covers carry; the value is the entitled land + the redevelopment/Live Local density option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Land (SF)</t>
        </is>
      </c>
      <c r="C18" s="92" t="n">
        <v>104108</v>
      </c>
      <c r="D18" s="16" t="inlineStr">
        <is>
          <t>⚠️ 2.39 ac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Existing office SF</t>
        </is>
      </c>
      <c r="C19" s="92" t="n">
        <v>84495</v>
      </c>
      <c r="D19" s="16" t="inlineStr">
        <is>
          <t>⚠️ 1967 bldg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Entitled units</t>
        </is>
      </c>
      <c r="C20" s="92" t="n">
        <v>259</v>
      </c>
      <c r="D20" s="16" t="inlineStr">
        <is>
          <t>⚠️ approved 259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BCPA market value</t>
        </is>
      </c>
      <c r="C21" s="47" t="n">
        <v>6685580</v>
      </c>
      <c r="D21" s="16" t="inlineStr">
        <is>
          <t>⚠️ reported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Interim office occupancy</t>
        </is>
      </c>
      <c r="C22" s="34">
        <f>'Assumptions'!C124</f>
        <v/>
      </c>
      <c r="D22" s="16" t="inlineStr">
        <is>
          <t>🟢 Assumptions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rent ($/SF MG)</t>
        </is>
      </c>
      <c r="C23" s="36">
        <f>'Assumptions'!C125</f>
        <v/>
      </c>
      <c r="D23" s="16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opex ($/SF)</t>
        </is>
      </c>
      <c r="C24" s="36">
        <f>'Assumptions'!C126</f>
        <v/>
      </c>
      <c r="D24" s="16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Management fee (% EGR)</t>
        </is>
      </c>
      <c r="C25" s="34">
        <f>'Assumptions'!C127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Effective millage</t>
        </is>
      </c>
      <c r="C26" s="97" t="n">
        <v>0.0191</v>
      </c>
      <c r="D26" s="16" t="inlineStr">
        <is>
          <t>✅ area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Acquisition basis (entitled land)</t>
        </is>
      </c>
      <c r="C27" s="20">
        <f>'Assumptions'!C123</f>
        <v/>
      </c>
      <c r="D27" s="16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Closing &amp; acq costs (% price)</t>
        </is>
      </c>
      <c r="C28" s="98" t="n">
        <v>0.02</v>
      </c>
      <c r="D28" s="16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Land value growth</t>
        </is>
      </c>
      <c r="C29" s="98" t="n">
        <v>0.04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Hold period (yrs)</t>
        </is>
      </c>
      <c r="C30" s="99" t="n">
        <v>5</v>
      </c>
      <c r="D30" s="16" t="inlineStr">
        <is>
          <t>🔶 to redevelopment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Land loan LTV (IO)</t>
        </is>
      </c>
      <c r="C31" s="34">
        <f>'Assumptions'!C128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rate (IO)</t>
        </is>
      </c>
      <c r="C32" s="37">
        <f>'Assumptions'!C129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Cost of sale at exit</t>
        </is>
      </c>
      <c r="C33" s="98" t="n">
        <v>0.02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Discount rate (NPV)</t>
        </is>
      </c>
      <c r="C34" s="98" t="n">
        <v>0.1</v>
      </c>
      <c r="D34" s="16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Expense growth</t>
        </is>
      </c>
      <c r="C35" s="98" t="n">
        <v>0.03</v>
      </c>
      <c r="D35" s="16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/>
    <row r="37">
      <c r="B37" s="5" t="inlineStr">
        <is>
          <t>LAND VALUATION  —  four approaches (Low / Base / High)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Approach</t>
        </is>
      </c>
      <c r="D38" s="100" t="inlineStr">
        <is>
          <t>Low</t>
        </is>
      </c>
      <c r="E38" s="100" t="inlineStr">
        <is>
          <t>Base</t>
        </is>
      </c>
      <c r="F38" s="100" t="inlineStr">
        <is>
          <t>High</t>
        </is>
      </c>
      <c r="G38" s="14" t="inlineStr">
        <is>
          <t>Basis / note</t>
        </is>
      </c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① Per SF of land</t>
        </is>
      </c>
      <c r="D39" s="48">
        <f>C18*'Assumptions'!C45</f>
        <v/>
      </c>
      <c r="E39" s="49">
        <f>C18*'Assumptions'!C46</f>
        <v/>
      </c>
      <c r="F39" s="48">
        <f>C18*'Assumptions'!C47</f>
        <v/>
      </c>
      <c r="G39" s="16" t="inlineStr">
        <is>
          <t>land SF × $/SF (low/base/high on Assumptions tab)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② Per entitled unit</t>
        </is>
      </c>
      <c r="D40" s="48">
        <f>C20*'Assumptions'!C48</f>
        <v/>
      </c>
      <c r="E40" s="49">
        <f>C20*'Assumptions'!C49</f>
        <v/>
      </c>
      <c r="F40" s="48">
        <f>C20*'Assumptions'!C50</f>
        <v/>
      </c>
      <c r="G40" s="16" t="inlineStr">
        <is>
          <t>units × $/unit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③ BCPA market value (floor)</t>
        </is>
      </c>
      <c r="D41" s="48">
        <f>C21</f>
        <v/>
      </c>
      <c r="E41" s="49">
        <f>C21</f>
        <v/>
      </c>
      <c r="F41" s="48">
        <f>C21</f>
        <v/>
      </c>
      <c r="G41" s="16" t="inlineStr">
        <is>
          <t>assessed just value — conservative floor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④ Interim income value</t>
        </is>
      </c>
      <c r="D42" s="48">
        <f>C51</f>
        <v/>
      </c>
      <c r="E42">
        <f>C51</f>
        <v/>
      </c>
      <c r="F42">
        <f>C51</f>
        <v/>
      </c>
      <c r="G42" s="16" t="inlineStr">
        <is>
          <t>existing office NOI ÷ 8% cap (income the land throws off)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41" t="inlineStr">
        <is>
          <t>Concluded acquisition basis</t>
        </is>
      </c>
      <c r="E43" s="91">
        <f>C27</f>
        <v/>
      </c>
      <c r="G43" s="16" t="inlineStr">
        <is>
          <t>🔶 entitled-land basis used in the hold model &amp; assemblage</t>
        </is>
      </c>
      <c r="H43" s="8" t="n"/>
      <c r="I43" s="8" t="n"/>
      <c r="J43" s="8" t="n"/>
      <c r="K43" s="8" t="n"/>
      <c r="L43" s="8" t="n"/>
      <c r="M43" s="9" t="n"/>
    </row>
    <row r="44"/>
    <row r="45">
      <c r="B45" s="5" t="inlineStr">
        <is>
          <t>INTERIM INCOME  —  existing office (the “cover” on the land)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7" t="inlineStr">
        <is>
          <t>Interim gross rent</t>
        </is>
      </c>
      <c r="C46" s="49">
        <f>C19*C22*C23</f>
        <v/>
      </c>
    </row>
    <row r="47" ht="15" customHeight="1">
      <c r="B47" s="7" t="inlineStr">
        <is>
          <t>Interim office opex</t>
        </is>
      </c>
      <c r="C47" s="48">
        <f>-C19*C24</f>
        <v/>
      </c>
    </row>
    <row r="48" ht="15" customHeight="1">
      <c r="B48" s="7" t="inlineStr">
        <is>
          <t>Interim taxes (on basis)</t>
        </is>
      </c>
      <c r="C48" s="48">
        <f>-C27*C26</f>
        <v/>
      </c>
    </row>
    <row r="49" ht="15" customHeight="1">
      <c r="B49" s="7" t="inlineStr">
        <is>
          <t>Interim management fee</t>
        </is>
      </c>
      <c r="C49" s="48">
        <f>-C46*C25</f>
        <v/>
      </c>
    </row>
    <row r="50" ht="15" customHeight="1">
      <c r="B50" s="7" t="inlineStr">
        <is>
          <t>Interim NOI (covers carry)</t>
        </is>
      </c>
      <c r="C50" s="49">
        <f>C46+C47+C48+C49</f>
        <v/>
      </c>
    </row>
    <row r="51" ht="15" customHeight="1">
      <c r="B51" s="7" t="inlineStr">
        <is>
          <t>Interim income value @ 8% cap</t>
        </is>
      </c>
      <c r="C51" s="49">
        <f>C50/0.08</f>
        <v/>
      </c>
    </row>
    <row r="52"/>
    <row r="53" ht="15" customHeight="1">
      <c r="B53" s="7" t="inlineStr">
        <is>
          <t>Land loan (IO)</t>
        </is>
      </c>
      <c r="C53" s="49">
        <f>C27*C31</f>
        <v/>
      </c>
      <c r="D53" s="16" t="inlineStr">
        <is>
          <t>price × LTV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Annual interest (IO)</t>
        </is>
      </c>
      <c r="C54" s="49">
        <f>C53*C32</f>
        <v/>
      </c>
    </row>
    <row r="55" ht="15" customHeight="1">
      <c r="B55" s="7" t="inlineStr">
        <is>
          <t>Equity at acquisition</t>
        </is>
      </c>
      <c r="C55" s="49">
        <f>C27*(1+C28)-C53</f>
        <v/>
      </c>
    </row>
    <row r="56" ht="15" customHeight="1">
      <c r="B56" s="7" t="inlineStr">
        <is>
          <t>Interim net carry (NOI − interest)</t>
        </is>
      </c>
      <c r="C56" s="49">
        <f>C50-C54</f>
        <v/>
      </c>
      <c r="D56" s="16" t="inlineStr">
        <is>
          <t>covered-land carry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/>
    <row r="58">
      <c r="B58" s="5" t="inlineStr">
        <is>
          <t>COVERED-LAND HOLD  —  interim income + land appreciation (10-yr; unlevered &amp; levered)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4" t="inlineStr">
        <is>
          <t>Year</t>
        </is>
      </c>
      <c r="C59" s="23" t="inlineStr">
        <is>
          <t>0 / Acq</t>
        </is>
      </c>
      <c r="D59" s="55" t="n">
        <v>1</v>
      </c>
      <c r="E59" s="55" t="n">
        <v>2</v>
      </c>
      <c r="F59" s="55" t="n">
        <v>3</v>
      </c>
      <c r="G59" s="55" t="n">
        <v>4</v>
      </c>
      <c r="H59" s="55" t="n">
        <v>5</v>
      </c>
      <c r="I59" s="55" t="n">
        <v>6</v>
      </c>
      <c r="J59" s="55" t="n">
        <v>7</v>
      </c>
      <c r="K59" s="55" t="n">
        <v>8</v>
      </c>
      <c r="L59" s="55" t="n">
        <v>9</v>
      </c>
      <c r="M59" s="55" t="n">
        <v>10</v>
      </c>
    </row>
    <row r="60" ht="15" customHeight="1">
      <c r="B60" s="7" t="inlineStr">
        <is>
          <t>Land value (appreciating)</t>
        </is>
      </c>
      <c r="D60" s="48">
        <f>C27*(1+C29)^1</f>
        <v/>
      </c>
      <c r="E60" s="48">
        <f>C27*(1+C29)^2</f>
        <v/>
      </c>
      <c r="F60" s="48">
        <f>C27*(1+C29)^3</f>
        <v/>
      </c>
      <c r="G60" s="48">
        <f>C27*(1+C29)^4</f>
        <v/>
      </c>
      <c r="H60" s="48">
        <f>C27*(1+C29)^5</f>
        <v/>
      </c>
      <c r="I60" s="48">
        <f>C27*(1+C29)^6</f>
        <v/>
      </c>
      <c r="J60" s="48">
        <f>C27*(1+C29)^7</f>
        <v/>
      </c>
      <c r="K60" s="48">
        <f>C27*(1+C29)^8</f>
        <v/>
      </c>
      <c r="L60" s="48">
        <f>C27*(1+C29)^9</f>
        <v/>
      </c>
      <c r="M60" s="48">
        <f>C27*(1+C29)^10</f>
        <v/>
      </c>
    </row>
    <row r="61" ht="15" customHeight="1">
      <c r="B61" s="7" t="inlineStr">
        <is>
          <t>Interim NOI</t>
        </is>
      </c>
      <c r="D61" s="48">
        <f>C50*(1+C35)^(1-1)</f>
        <v/>
      </c>
      <c r="E61" s="48">
        <f>C50*(1+C35)^(2-1)</f>
        <v/>
      </c>
      <c r="F61" s="48">
        <f>C50*(1+C35)^(3-1)</f>
        <v/>
      </c>
      <c r="G61" s="48">
        <f>C50*(1+C35)^(4-1)</f>
        <v/>
      </c>
      <c r="H61" s="48">
        <f>C50*(1+C35)^(5-1)</f>
        <v/>
      </c>
      <c r="I61" s="48">
        <f>C50*(1+C35)^(6-1)</f>
        <v/>
      </c>
      <c r="J61" s="48">
        <f>C50*(1+C35)^(7-1)</f>
        <v/>
      </c>
      <c r="K61" s="48">
        <f>C50*(1+C35)^(8-1)</f>
        <v/>
      </c>
      <c r="L61" s="48">
        <f>C50*(1+C35)^(9-1)</f>
        <v/>
      </c>
      <c r="M61" s="48">
        <f>C50*(1+C35)^(10-1)</f>
        <v/>
      </c>
    </row>
    <row r="62" ht="15" customHeight="1">
      <c r="B62" s="7" t="inlineStr">
        <is>
          <t>Net land sale (exit year)</t>
        </is>
      </c>
      <c r="D62" s="48">
        <f>IF(1=C30,D60*(1-C33),0)</f>
        <v/>
      </c>
      <c r="E62" s="48">
        <f>IF(2=C30,E60*(1-C33),0)</f>
        <v/>
      </c>
      <c r="F62" s="48">
        <f>IF(3=C30,F60*(1-C33),0)</f>
        <v/>
      </c>
      <c r="G62" s="48">
        <f>IF(4=C30,G60*(1-C33),0)</f>
        <v/>
      </c>
      <c r="H62" s="48">
        <f>IF(5=C30,H60*(1-C33),0)</f>
        <v/>
      </c>
      <c r="I62" s="48">
        <f>IF(6=C30,I60*(1-C33),0)</f>
        <v/>
      </c>
      <c r="J62" s="48">
        <f>IF(7=C30,J60*(1-C33),0)</f>
        <v/>
      </c>
      <c r="K62" s="48">
        <f>IF(8=C30,K60*(1-C33),0)</f>
        <v/>
      </c>
      <c r="L62" s="48">
        <f>IF(9=C30,L60*(1-C33),0)</f>
        <v/>
      </c>
      <c r="M62" s="48">
        <f>IF(10=C30,M60*(1-C33),0)</f>
        <v/>
      </c>
    </row>
    <row r="63" ht="15" customHeight="1">
      <c r="B63" s="41" t="inlineStr">
        <is>
          <t>UNLEVERED PROJECT CASH FLOW</t>
        </is>
      </c>
      <c r="C63" s="50">
        <f>-C27*(1+C28)</f>
        <v/>
      </c>
      <c r="D63" s="50">
        <f>IF(1&lt;=C30,D61,0)+D62</f>
        <v/>
      </c>
      <c r="E63" s="56">
        <f>IF(2&lt;=C30,E61,0)+E62</f>
        <v/>
      </c>
      <c r="F63" s="56">
        <f>IF(3&lt;=C30,F61,0)+F62</f>
        <v/>
      </c>
      <c r="G63" s="56">
        <f>IF(4&lt;=C30,G61,0)+G62</f>
        <v/>
      </c>
      <c r="H63" s="56">
        <f>IF(5&lt;=C30,H61,0)+H62</f>
        <v/>
      </c>
      <c r="I63" s="56">
        <f>IF(6&lt;=C30,I61,0)+I62</f>
        <v/>
      </c>
      <c r="J63" s="56">
        <f>IF(7&lt;=C30,J61,0)+J62</f>
        <v/>
      </c>
      <c r="K63" s="56">
        <f>IF(8&lt;=C30,K61,0)+K62</f>
        <v/>
      </c>
      <c r="L63" s="56">
        <f>IF(9&lt;=C30,L61,0)+L62</f>
        <v/>
      </c>
      <c r="M63" s="56">
        <f>IF(10&lt;=C30,M61,0)+M62</f>
        <v/>
      </c>
    </row>
    <row r="64" ht="15" customHeight="1">
      <c r="B64" s="7" t="inlineStr">
        <is>
          <t>Loan balance (IO — constant)</t>
        </is>
      </c>
      <c r="D64" s="48">
        <f>IF(1&lt;=C30,C53,0)</f>
        <v/>
      </c>
      <c r="E64" s="48">
        <f>IF(2&lt;=C30,C53,0)</f>
        <v/>
      </c>
      <c r="F64" s="48">
        <f>IF(3&lt;=C30,C53,0)</f>
        <v/>
      </c>
      <c r="G64" s="48">
        <f>IF(4&lt;=C30,C53,0)</f>
        <v/>
      </c>
      <c r="H64" s="48">
        <f>IF(5&lt;=C30,C53,0)</f>
        <v/>
      </c>
      <c r="I64" s="48">
        <f>IF(6&lt;=C30,C53,0)</f>
        <v/>
      </c>
      <c r="J64" s="48">
        <f>IF(7&lt;=C30,C53,0)</f>
        <v/>
      </c>
      <c r="K64" s="48">
        <f>IF(8&lt;=C30,C53,0)</f>
        <v/>
      </c>
      <c r="L64" s="48">
        <f>IF(9&lt;=C30,C53,0)</f>
        <v/>
      </c>
      <c r="M64" s="48">
        <f>IF(10&lt;=C30,C53,0)</f>
        <v/>
      </c>
    </row>
    <row r="65" ht="15" customHeight="1">
      <c r="B65" s="41" t="inlineStr">
        <is>
          <t>LEVERED CASH FLOW (equity)</t>
        </is>
      </c>
      <c r="C65" s="50">
        <f>-C55</f>
        <v/>
      </c>
      <c r="D65" s="50">
        <f>IF(1&lt;=C30,D61-C54,0)+IF(1=C30,D62-C53,0)</f>
        <v/>
      </c>
      <c r="E65" s="56">
        <f>IF(2&lt;=C30,E61-C54,0)+IF(2=C30,E62-C53,0)</f>
        <v/>
      </c>
      <c r="F65" s="56">
        <f>IF(3&lt;=C30,F61-C54,0)+IF(3=C30,F62-C53,0)</f>
        <v/>
      </c>
      <c r="G65" s="56">
        <f>IF(4&lt;=C30,G61-C54,0)+IF(4=C30,G62-C53,0)</f>
        <v/>
      </c>
      <c r="H65" s="56">
        <f>IF(5&lt;=C30,H61-C54,0)+IF(5=C30,H62-C53,0)</f>
        <v/>
      </c>
      <c r="I65" s="56">
        <f>IF(6&lt;=C30,I61-C54,0)+IF(6=C30,I62-C53,0)</f>
        <v/>
      </c>
      <c r="J65" s="56">
        <f>IF(7&lt;=C30,J61-C54,0)+IF(7=C30,J62-C53,0)</f>
        <v/>
      </c>
      <c r="K65" s="56">
        <f>IF(8&lt;=C30,K61-C54,0)+IF(8=C30,K62-C53,0)</f>
        <v/>
      </c>
      <c r="L65" s="56">
        <f>IF(9&lt;=C30,L61-C54,0)+IF(9=C30,L62-C53,0)</f>
        <v/>
      </c>
      <c r="M65" s="56">
        <f>IF(10&lt;=C30,M61-C54,0)+IF(10=C30,M62-C53,0)</f>
        <v/>
      </c>
    </row>
    <row r="66"/>
    <row r="67">
      <c r="B67" s="5" t="inlineStr">
        <is>
          <t>COVERED-LAND RETURNS  —  unlevered &amp; levered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7" t="inlineStr">
        <is>
          <t>Unlevered IRR</t>
        </is>
      </c>
      <c r="C68" s="51">
        <f>IRR(C63:M63)</f>
        <v/>
      </c>
    </row>
    <row r="69" ht="15" customHeight="1">
      <c r="B69" s="7" t="inlineStr">
        <is>
          <t>Unlevered equity multiple</t>
        </is>
      </c>
      <c r="C69" s="57">
        <f>SUM(D63:M63)/-C63</f>
        <v/>
      </c>
    </row>
    <row r="70" ht="15" customHeight="1">
      <c r="B70" s="7" t="inlineStr">
        <is>
          <t>Unlevered NPV @ discount rate</t>
        </is>
      </c>
      <c r="C70" s="49">
        <f>C63+NPV(C34,D63:M63)</f>
        <v/>
      </c>
    </row>
    <row r="71" ht="15" customHeight="1">
      <c r="B71" s="7" t="inlineStr">
        <is>
          <t>Levered IRR</t>
        </is>
      </c>
      <c r="C71" s="51">
        <f>IRR(C65:M65)</f>
        <v/>
      </c>
    </row>
    <row r="72" ht="15" customHeight="1">
      <c r="B72" s="7" t="inlineStr">
        <is>
          <t>Levered equity multiple</t>
        </is>
      </c>
      <c r="C72" s="57">
        <f>SUM(D65:M65)/C55</f>
        <v/>
      </c>
    </row>
    <row r="73" ht="15" customHeight="1">
      <c r="B73" s="7" t="inlineStr">
        <is>
          <t>Interim yield on basis (NOI ÷ price)</t>
        </is>
      </c>
      <c r="C73" s="70">
        <f>C50/C27</f>
        <v/>
      </c>
    </row>
    <row r="74"/>
    <row r="75">
      <c r="B75" s="5" t="inlineStr">
        <is>
          <t>REDEVELOPMENT RESIDUAL  —  ⚠️ AE flood zone; residual runs NEGATIVE — DO NOT force positive</t>
        </is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3" t="n"/>
    </row>
    <row r="76" ht="15" customHeight="1">
      <c r="B76" s="7" t="inlineStr">
        <is>
          <t>Gross development value</t>
        </is>
      </c>
      <c r="C76" s="49">
        <f>C20*'Assumptions'!C51</f>
        <v/>
      </c>
      <c r="D76" s="16" t="inlineStr">
        <is>
          <t>units × achievable value/unit (Assumptions tab)</t>
        </is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9" t="n"/>
    </row>
    <row r="77" ht="15" customHeight="1">
      <c r="B77" s="7" t="inlineStr">
        <is>
          <t>Buildable GBA (SF)</t>
        </is>
      </c>
      <c r="C77" s="83">
        <f>C20*'Assumptions'!C53</f>
        <v/>
      </c>
      <c r="D77" s="16" t="inlineStr">
        <is>
          <t>units × GBA/unit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Hard cost</t>
        </is>
      </c>
      <c r="C78" s="48">
        <f>-C77*'Assumptions'!C52</f>
        <v/>
      </c>
      <c r="D78" s="16" t="inlineStr">
        <is>
          <t>$/GBA SF (AE-zone coastal, 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Soft cost</t>
        </is>
      </c>
      <c r="C79" s="48">
        <f>-C77*'Assumptions'!C52*'Assumptions'!C54</f>
        <v/>
      </c>
      <c r="D79" s="16" t="inlineStr">
        <is>
          <t>% of hard (Assumptions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Developer profit</t>
        </is>
      </c>
      <c r="C80" s="48">
        <f>-C76*'Assumptions'!C55</f>
        <v/>
      </c>
      <c r="D80" s="16" t="inlineStr">
        <is>
          <t>% of GDV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41" t="inlineStr">
        <is>
          <t>RESIDUAL LAND VALUE</t>
        </is>
      </c>
      <c r="C81" s="50">
        <f>C76+C78+C79+C80</f>
        <v/>
      </c>
    </row>
    <row r="82" ht="39" customHeight="1">
      <c r="B82" s="15" t="inlineStr">
        <is>
          <t>Conclusion</t>
        </is>
      </c>
      <c r="C82" s="45" t="inlineStr">
        <is>
          <t>HOLD</t>
        </is>
      </c>
      <c r="D82" s="15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9" t="n"/>
    </row>
  </sheetData>
  <mergeCells count="52">
    <mergeCell ref="B2:M2"/>
    <mergeCell ref="D12:M12"/>
    <mergeCell ref="D18:M18"/>
    <mergeCell ref="D56:M56"/>
    <mergeCell ref="D9:M9"/>
    <mergeCell ref="B67:M67"/>
    <mergeCell ref="D30:M30"/>
    <mergeCell ref="D8:M8"/>
    <mergeCell ref="D25:M25"/>
    <mergeCell ref="D15:M15"/>
    <mergeCell ref="B17:M17"/>
    <mergeCell ref="B1:M1"/>
    <mergeCell ref="D24:M24"/>
    <mergeCell ref="D82:M82"/>
    <mergeCell ref="D33:M33"/>
    <mergeCell ref="D14:M14"/>
    <mergeCell ref="D29:M29"/>
    <mergeCell ref="G41:M41"/>
    <mergeCell ref="D5:M5"/>
    <mergeCell ref="D23:M23"/>
    <mergeCell ref="G40:M40"/>
    <mergeCell ref="D79:M79"/>
    <mergeCell ref="D35:M35"/>
    <mergeCell ref="B37:M37"/>
    <mergeCell ref="D26:M26"/>
    <mergeCell ref="G43:M43"/>
    <mergeCell ref="D20:M20"/>
    <mergeCell ref="D34:M34"/>
    <mergeCell ref="D10:M10"/>
    <mergeCell ref="G42:M42"/>
    <mergeCell ref="D19:M19"/>
    <mergeCell ref="D80:M80"/>
    <mergeCell ref="D31:M31"/>
    <mergeCell ref="G39:M39"/>
    <mergeCell ref="D22:M22"/>
    <mergeCell ref="B45:M45"/>
    <mergeCell ref="D21:M21"/>
    <mergeCell ref="D6:M6"/>
    <mergeCell ref="D77:M77"/>
    <mergeCell ref="G38:M38"/>
    <mergeCell ref="B4:M4"/>
    <mergeCell ref="B75:M75"/>
    <mergeCell ref="D13:M13"/>
    <mergeCell ref="D11:M11"/>
    <mergeCell ref="D27:M27"/>
    <mergeCell ref="D76:M76"/>
    <mergeCell ref="D32:M32"/>
    <mergeCell ref="D7:M7"/>
    <mergeCell ref="D53:M53"/>
    <mergeCell ref="D78:M78"/>
    <mergeCell ref="B58:M5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acquisition underwriting for a five-asset covered-land-play assemblage on the E Sunrise Blvd hard corner at the Galleria.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3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4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4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4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3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4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4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4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4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4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15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Construction (redev)</t>
        </is>
      </c>
      <c r="D64" s="7" t="inlineStr">
        <is>
          <t>AE-coastal concrete mid/high-rise $300–450/SF defensible; HVHZ premium 8–12% (RSMeans, RLB E-Q2'25, Multifamily.loans) — model's $500/SF is conservative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Insurance</t>
        </is>
      </c>
      <c r="D65" s="7" t="inlineStr">
        <is>
          <t>coastal Broward commercial 1.2–4.5% of value; within ~1 mi of water 2–3×; South FL premiums now rolling back −11% to −17% in 2026 (Bridgeway, Artemis)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Senior debt</t>
        </is>
      </c>
      <c r="D66" s="7" t="inlineStr">
        <is>
          <t>single-tenant net-lease STNL avg 6.55–6.80% (Boulder Q1'26); stabilized 5.75–7.0%, 60–75% LTV, DSCR 1.25–1.40×, debt yield 7–10%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Covered-land cap</t>
        </is>
      </c>
      <c r="D67" s="7" t="inlineStr">
        <is>
          <t>in-place income cap ~3–5% — income covers carry, not a yield play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COLOR  &amp;  FONT LEGEND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6" t="inlineStr">
        <is>
          <t>Blue on yellow</t>
        </is>
      </c>
      <c r="D70" s="7" t="inlineStr">
        <is>
          <t>hardcoded input — the only cells to change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Black on white</t>
        </is>
      </c>
      <c r="D71" s="7" t="inlineStr">
        <is>
          <t>formula / calculation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Green</t>
        </is>
      </c>
      <c r="D72" s="7" t="inlineStr">
        <is>
          <t>public-record verified fact or cross-sheet link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Gold on navy / dark</t>
        </is>
      </c>
      <c r="D73" s="7" t="inlineStr">
        <is>
          <t>section header, total, KPI box, banner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Orange / dark red</t>
        </is>
      </c>
      <c r="D74" s="7" t="inlineStr">
        <is>
          <t>warning, flag, or excluded-from note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LIMITATIONS  &amp;  DISCLAIMERS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• Space-level rent rolls are estimated; no tenant-by-tenant lease abstracts (expirations, options, recovery type) were available. Replace with real leases in diligence.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• Publix and the office-condo units are not listed for sale; they are modeled as acquisition cases. Publix is a fee owner, so its 'rent' is a mark-to-market, not contract income.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• Property-tax reassessment is modeled to each asset's own price (FL rule); an assemblage purchase would reallocate basis and taxes across parcels.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• Returns exclude any LP/GP promote/waterfall, transfer taxes, and portfolio-level G&amp;A. This is a screening model, not a closing model.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• All figures are estimates for internal evaluation only and are not an appraisal, an offer, or investment advice. Confirm all ⚠️ REPORTED data at the county before relying on it.</t>
        </is>
      </c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</sheetData>
  <mergeCells count="72">
    <mergeCell ref="B2:M2"/>
    <mergeCell ref="D71:M71"/>
    <mergeCell ref="B11:M11"/>
    <mergeCell ref="D62:M62"/>
    <mergeCell ref="D18:M18"/>
    <mergeCell ref="D58:M58"/>
    <mergeCell ref="B23:M23"/>
    <mergeCell ref="D74:M74"/>
    <mergeCell ref="B8:M8"/>
    <mergeCell ref="B14:M14"/>
    <mergeCell ref="D25:M25"/>
    <mergeCell ref="D30:M30"/>
    <mergeCell ref="D39:M39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69:M69"/>
    <mergeCell ref="B78:M78"/>
    <mergeCell ref="B10:M10"/>
    <mergeCell ref="E49:M49"/>
    <mergeCell ref="B37:M37"/>
    <mergeCell ref="D26:M26"/>
    <mergeCell ref="D59:M59"/>
    <mergeCell ref="D60:M60"/>
    <mergeCell ref="C47:M47"/>
    <mergeCell ref="D20:M20"/>
    <mergeCell ref="B9:M9"/>
    <mergeCell ref="D34:M34"/>
    <mergeCell ref="C44:M44"/>
    <mergeCell ref="D63:M63"/>
    <mergeCell ref="D19:M19"/>
    <mergeCell ref="B55:M55"/>
    <mergeCell ref="B6:M6"/>
    <mergeCell ref="E54:M54"/>
    <mergeCell ref="D73:M73"/>
    <mergeCell ref="B77:M77"/>
    <mergeCell ref="B15:M15"/>
    <mergeCell ref="D31:M31"/>
    <mergeCell ref="D65:M65"/>
    <mergeCell ref="B5:M5"/>
    <mergeCell ref="D40:M40"/>
    <mergeCell ref="B76:M76"/>
    <mergeCell ref="B80:M80"/>
    <mergeCell ref="B36:M36"/>
    <mergeCell ref="C46:M46"/>
    <mergeCell ref="D21:M21"/>
    <mergeCell ref="E53:M53"/>
    <mergeCell ref="B41:M41"/>
    <mergeCell ref="B79:M79"/>
    <mergeCell ref="B4:M4"/>
    <mergeCell ref="E50:M50"/>
    <mergeCell ref="D27:M27"/>
    <mergeCell ref="B81:M81"/>
    <mergeCell ref="B7:M7"/>
    <mergeCell ref="D32:M32"/>
    <mergeCell ref="D61:M61"/>
    <mergeCell ref="D70:M70"/>
    <mergeCell ref="D66:M66"/>
    <mergeCell ref="D17:M17"/>
    <mergeCell ref="E52:M52"/>
    <mergeCell ref="D16:M16"/>
    <mergeCell ref="D72:M72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2026-07-30T01:49:40Z</dcterms:created>
  <dcterms:modified xsi:type="dcterms:W3CDTF">2026-07-30T01:49:42Z</dcterms:modified>
</cp:coreProperties>
</file>