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Assumptions" sheetId="2" state="visible" r:id="rId2"/>
    <sheet name="Income Valuation" sheetId="3" state="visible" r:id="rId3"/>
    <sheet name="Scenarios" sheetId="4" state="visible" r:id="rId4"/>
    <sheet name="Assemblage" sheetId="5" state="visible" r:id="rId5"/>
    <sheet name="Highest &amp; Best Use" sheetId="6" state="visible" r:id="rId6"/>
    <sheet name="Shahidi Retail" sheetId="7" state="visible" r:id="rId7"/>
    <sheet name="Publix &amp; Starbucks" sheetId="8" state="visible" r:id="rId8"/>
    <sheet name="Sunrise Plaza" sheetId="9" state="visible" r:id="rId9"/>
    <sheet name="Office Condo" sheetId="10" state="visible" r:id="rId10"/>
    <sheet name="Land" sheetId="11" state="visible" r:id="rId11"/>
    <sheet name="Notes &amp; Source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0.0%"/>
    <numFmt numFmtId="165" formatCode="0.00&quot;x&quot;"/>
    <numFmt numFmtId="166" formatCode="_(* #,##0_);_(* (#,##0);_(* &quot;-&quot;??_);_(@_)"/>
    <numFmt numFmtId="167" formatCode="_($* #,##0_);_($* (#,##0);_($* &quot;-&quot;??_);_(@_)"/>
    <numFmt numFmtId="168" formatCode="#,##0.0"/>
  </numFmts>
  <fonts count="16">
    <font>
      <name val="Calibri"/>
      <family val="2"/>
      <color theme="1"/>
      <sz val="11"/>
      <scheme val="minor"/>
    </font>
    <font>
      <name val="Arial"/>
      <b val="1"/>
      <color rgb="00C9A84C"/>
      <sz val="16"/>
    </font>
    <font>
      <name val="Arial"/>
      <color rgb="00FFFFFF"/>
      <sz val="10"/>
    </font>
    <font>
      <name val="Arial"/>
      <b val="1"/>
      <color rgb="00C9A84C"/>
      <sz val="9"/>
    </font>
    <font>
      <name val="Arial"/>
      <b val="1"/>
      <color rgb="00FFFFFF"/>
      <sz val="8"/>
    </font>
    <font>
      <name val="Arial"/>
      <color rgb="00000000"/>
      <sz val="8"/>
    </font>
    <font>
      <name val="Arial"/>
      <color rgb="000000FF"/>
      <sz val="8"/>
    </font>
    <font>
      <name val="Arial"/>
      <i val="1"/>
      <color rgb="00595959"/>
      <sz val="7"/>
    </font>
    <font>
      <name val="Arial"/>
      <color rgb="002D5016"/>
      <sz val="8"/>
    </font>
    <font>
      <name val="Arial"/>
      <color rgb="009C1B1B"/>
      <sz val="8"/>
    </font>
    <font>
      <name val="Arial"/>
      <b val="1"/>
      <color rgb="00C9A84C"/>
      <sz val="8"/>
    </font>
    <font>
      <name val="Arial"/>
      <color rgb="00008000"/>
      <sz val="8"/>
    </font>
    <font>
      <name val="Arial"/>
      <b val="1"/>
      <color rgb="00000000"/>
      <sz val="8"/>
    </font>
    <font>
      <name val="Arial"/>
      <b val="1"/>
      <color rgb="00008000"/>
      <sz val="8"/>
    </font>
    <font>
      <name val="Arial"/>
      <color rgb="00FFFFFF"/>
      <sz val="7"/>
    </font>
    <font>
      <name val="Arial"/>
      <b val="1"/>
      <color rgb="00C9A84C"/>
      <sz val="22"/>
    </font>
  </fonts>
  <fills count="8">
    <fill>
      <patternFill/>
    </fill>
    <fill>
      <patternFill patternType="gray125"/>
    </fill>
    <fill>
      <patternFill patternType="solid">
        <fgColor rgb="001F2D4E"/>
      </patternFill>
    </fill>
    <fill>
      <patternFill patternType="solid">
        <fgColor rgb="002D4159"/>
      </patternFill>
    </fill>
    <fill>
      <patternFill patternType="solid">
        <fgColor rgb="00FFF2CC"/>
      </patternFill>
    </fill>
    <fill>
      <patternFill patternType="solid">
        <fgColor rgb="00E8F5E9"/>
      </patternFill>
    </fill>
    <fill>
      <patternFill patternType="solid">
        <fgColor rgb="00FDE8D8"/>
      </patternFill>
    </fill>
    <fill>
      <patternFill patternType="solid">
        <fgColor rgb="00111B2C"/>
      </patternFill>
    </fill>
  </fills>
  <borders count="12">
    <border>
      <left/>
      <right/>
      <top/>
      <bottom/>
      <diagonal/>
    </border>
    <border>
      <left style="medium">
        <color rgb="001F2D4E"/>
      </left>
      <right style="medium">
        <color rgb="001F2D4E"/>
      </right>
      <top style="medium">
        <color rgb="001F2D4E"/>
      </top>
      <bottom style="medium">
        <color rgb="001F2D4E"/>
      </bottom>
    </border>
    <border>
      <left/>
      <right/>
      <top style="medium">
        <color rgb="001F2D4E"/>
      </top>
      <bottom/>
      <diagonal/>
    </border>
    <border>
      <left/>
      <right style="medium">
        <color rgb="001F2D4E"/>
      </right>
      <top style="medium">
        <color rgb="001F2D4E"/>
      </top>
      <bottom/>
      <diagonal/>
    </border>
    <border>
      <left/>
      <right/>
      <top style="medium">
        <color rgb="001F2D4E"/>
      </top>
      <bottom style="medium">
        <color rgb="001F2D4E"/>
      </bottom>
      <diagonal/>
    </border>
    <border>
      <left/>
      <right style="medium">
        <color rgb="001F2D4E"/>
      </right>
      <top style="medium">
        <color rgb="001F2D4E"/>
      </top>
      <bottom style="medium">
        <color rgb="001F2D4E"/>
      </bottom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 style="thin">
        <color rgb="00BFBFBF"/>
      </right>
      <top style="thin">
        <color rgb="00000000"/>
      </top>
      <bottom style="thin">
        <color rgb="00BFBFBF"/>
      </bottom>
    </border>
  </borders>
  <cellStyleXfs count="1">
    <xf numFmtId="0" fontId="0" fillId="0" borderId="0"/>
  </cellStyleXfs>
  <cellXfs count="95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left" vertical="center" wrapText="1"/>
    </xf>
    <xf numFmtId="0" fontId="14" fillId="2" borderId="1" applyAlignment="1" pivotButton="0" quotePrefix="0" xfId="0">
      <alignment horizontal="left" vertical="center" wrapText="1"/>
    </xf>
    <xf numFmtId="0" fontId="10" fillId="2" borderId="1" applyAlignment="1" pivotButton="0" quotePrefix="0" xfId="0">
      <alignment horizontal="center" vertical="center" wrapText="1"/>
    </xf>
    <xf numFmtId="167" fontId="15" fillId="7" borderId="1" applyAlignment="1" pivotButton="0" quotePrefix="0" xfId="0">
      <alignment horizontal="center" vertical="center" wrapText="1"/>
    </xf>
    <xf numFmtId="10" fontId="15" fillId="7" borderId="1" applyAlignment="1" pivotButton="0" quotePrefix="0" xfId="0">
      <alignment horizontal="center" vertical="center" wrapText="1"/>
    </xf>
    <xf numFmtId="4" fontId="15" fillId="7" borderId="1" applyAlignment="1" pivotButton="0" quotePrefix="0" xfId="0">
      <alignment horizontal="center" vertical="center" wrapText="1"/>
    </xf>
    <xf numFmtId="0" fontId="14" fillId="2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left" vertical="center"/>
    </xf>
    <xf numFmtId="0" fontId="5" fillId="0" borderId="6" applyAlignment="1" pivotButton="0" quotePrefix="0" xfId="0">
      <alignment horizontal="left" vertical="center" wrapText="1"/>
    </xf>
    <xf numFmtId="0" fontId="0" fillId="0" borderId="9" pivotButton="0" quotePrefix="0" xfId="0"/>
    <xf numFmtId="0" fontId="0" fillId="0" borderId="10" pivotButton="0" quotePrefix="0" xfId="0"/>
    <xf numFmtId="0" fontId="4" fillId="3" borderId="6" applyAlignment="1" pivotButton="0" quotePrefix="0" xfId="0">
      <alignment horizontal="left" vertical="center" wrapText="1"/>
    </xf>
    <xf numFmtId="0" fontId="4" fillId="3" borderId="6" applyAlignment="1" pivotButton="0" quotePrefix="0" xfId="0">
      <alignment horizontal="center" vertical="center" wrapText="1"/>
    </xf>
    <xf numFmtId="166" fontId="11" fillId="0" borderId="6" applyAlignment="1" pivotButton="0" quotePrefix="0" xfId="0">
      <alignment horizontal="right" vertical="center" wrapText="1"/>
    </xf>
    <xf numFmtId="164" fontId="11" fillId="0" borderId="6" applyAlignment="1" pivotButton="0" quotePrefix="0" xfId="0">
      <alignment horizontal="right" vertical="center" wrapText="1"/>
    </xf>
    <xf numFmtId="0" fontId="10" fillId="2" borderId="6" applyAlignment="1" pivotButton="0" quotePrefix="0" xfId="0">
      <alignment horizontal="left" vertical="center" wrapText="1"/>
    </xf>
    <xf numFmtId="167" fontId="10" fillId="2" borderId="6" applyAlignment="1" pivotButton="0" quotePrefix="0" xfId="0">
      <alignment horizontal="right" vertical="center" wrapText="1"/>
    </xf>
    <xf numFmtId="164" fontId="10" fillId="2" borderId="6" applyAlignment="1" pivotButton="0" quotePrefix="0" xfId="0">
      <alignment horizontal="right" vertical="center" wrapText="1"/>
    </xf>
    <xf numFmtId="0" fontId="7" fillId="0" borderId="6" applyAlignment="1" pivotButton="0" quotePrefix="0" xfId="0">
      <alignment horizontal="left" vertical="center" wrapText="1"/>
    </xf>
    <xf numFmtId="167" fontId="11" fillId="0" borderId="6" applyAlignment="1" pivotButton="0" quotePrefix="0" xfId="0">
      <alignment horizontal="right" vertical="center" wrapText="1"/>
    </xf>
    <xf numFmtId="10" fontId="11" fillId="0" borderId="6" applyAlignment="1" pivotButton="0" quotePrefix="0" xfId="0">
      <alignment horizontal="right" vertical="center" wrapText="1"/>
    </xf>
    <xf numFmtId="3" fontId="11" fillId="0" borderId="6" applyAlignment="1" pivotButton="0" quotePrefix="0" xfId="0">
      <alignment horizontal="right" vertical="center" wrapText="1"/>
    </xf>
    <xf numFmtId="4" fontId="11" fillId="0" borderId="6" applyAlignment="1" pivotButton="0" quotePrefix="0" xfId="0">
      <alignment horizontal="right" vertical="center" wrapText="1"/>
    </xf>
    <xf numFmtId="164" fontId="11" fillId="0" borderId="6" applyAlignment="1" pivotButton="0" quotePrefix="0" xfId="0">
      <alignment horizontal="center" vertical="center" wrapText="1"/>
    </xf>
    <xf numFmtId="164" fontId="11" fillId="0" borderId="6" applyAlignment="1" pivotButton="0" quotePrefix="0" xfId="0">
      <alignment horizontal="left" vertical="center" wrapText="1"/>
    </xf>
    <xf numFmtId="10" fontId="6" fillId="4" borderId="6" applyAlignment="1" pivotButton="0" quotePrefix="0" xfId="0">
      <alignment horizontal="center" vertical="center" wrapText="1"/>
    </xf>
    <xf numFmtId="0" fontId="5" fillId="0" borderId="6" applyAlignment="1" pivotButton="0" quotePrefix="0" xfId="0">
      <alignment horizontal="center" vertical="center" wrapText="1"/>
    </xf>
    <xf numFmtId="164" fontId="6" fillId="4" borderId="6" applyAlignment="1" pivotButton="0" quotePrefix="0" xfId="0">
      <alignment horizontal="center" vertical="center" wrapText="1"/>
    </xf>
    <xf numFmtId="1" fontId="6" fillId="4" borderId="6" applyAlignment="1" pivotButton="0" quotePrefix="0" xfId="0">
      <alignment horizontal="center" vertical="center" wrapText="1"/>
    </xf>
    <xf numFmtId="165" fontId="6" fillId="4" borderId="6" applyAlignment="1" pivotButton="0" quotePrefix="0" xfId="0">
      <alignment horizontal="center" vertical="center" wrapText="1"/>
    </xf>
    <xf numFmtId="4" fontId="6" fillId="4" borderId="6" applyAlignment="1" pivotButton="0" quotePrefix="0" xfId="0">
      <alignment horizontal="center" vertical="center" wrapText="1"/>
    </xf>
    <xf numFmtId="166" fontId="6" fillId="4" borderId="6" applyAlignment="1" pivotButton="0" quotePrefix="0" xfId="0">
      <alignment horizontal="center" vertical="center" wrapText="1"/>
    </xf>
    <xf numFmtId="3" fontId="6" fillId="4" borderId="6" applyAlignment="1" pivotButton="0" quotePrefix="0" xfId="0">
      <alignment horizontal="center" vertical="center" wrapText="1"/>
    </xf>
    <xf numFmtId="167" fontId="6" fillId="4" borderId="6" applyAlignment="1" pivotButton="0" quotePrefix="0" xfId="0">
      <alignment horizontal="center" vertical="center" wrapText="1"/>
    </xf>
    <xf numFmtId="166" fontId="11" fillId="0" borderId="6" applyAlignment="1" pivotButton="0" quotePrefix="0" xfId="0">
      <alignment horizontal="center" vertical="center" wrapText="1"/>
    </xf>
    <xf numFmtId="3" fontId="11" fillId="0" borderId="6" applyAlignment="1" pivotButton="0" quotePrefix="0" xfId="0">
      <alignment horizontal="center" vertical="center" wrapText="1"/>
    </xf>
    <xf numFmtId="0" fontId="9" fillId="6" borderId="6" applyAlignment="1" pivotButton="0" quotePrefix="0" xfId="0">
      <alignment horizontal="left" vertical="center" wrapText="1"/>
    </xf>
    <xf numFmtId="1" fontId="4" fillId="3" borderId="6" applyAlignment="1" pivotButton="0" quotePrefix="0" xfId="0">
      <alignment horizontal="center" vertical="center" wrapText="1"/>
    </xf>
    <xf numFmtId="0" fontId="7" fillId="0" borderId="6" applyAlignment="1" pivotButton="0" quotePrefix="0" xfId="0">
      <alignment horizontal="center" vertical="center" wrapText="1"/>
    </xf>
    <xf numFmtId="0" fontId="12" fillId="0" borderId="11" applyAlignment="1" pivotButton="0" quotePrefix="0" xfId="0">
      <alignment horizontal="left" vertical="center" wrapText="1"/>
    </xf>
    <xf numFmtId="167" fontId="12" fillId="0" borderId="6" applyAlignment="1" pivotButton="0" quotePrefix="0" xfId="0">
      <alignment horizontal="right" vertical="center" wrapText="1"/>
    </xf>
    <xf numFmtId="166" fontId="12" fillId="0" borderId="6" applyAlignment="1" pivotButton="0" quotePrefix="0" xfId="0">
      <alignment horizontal="right" vertical="center" wrapText="1"/>
    </xf>
    <xf numFmtId="167" fontId="13" fillId="0" borderId="6" applyAlignment="1" pivotButton="0" quotePrefix="0" xfId="0">
      <alignment horizontal="right" vertical="center" wrapText="1"/>
    </xf>
    <xf numFmtId="166" fontId="5" fillId="0" borderId="6" applyAlignment="1" pivotButton="0" quotePrefix="0" xfId="0">
      <alignment horizontal="right" vertical="center" wrapText="1"/>
    </xf>
    <xf numFmtId="1" fontId="11" fillId="0" borderId="6" applyAlignment="1" pivotButton="0" quotePrefix="0" xfId="0">
      <alignment horizontal="right" vertical="center" wrapText="1"/>
    </xf>
    <xf numFmtId="165" fontId="11" fillId="0" borderId="6" applyAlignment="1" pivotButton="0" quotePrefix="0" xfId="0">
      <alignment horizontal="right" vertical="center" wrapText="1"/>
    </xf>
    <xf numFmtId="10" fontId="5" fillId="0" borderId="6" applyAlignment="1" pivotButton="0" quotePrefix="0" xfId="0">
      <alignment horizontal="right" vertical="center" wrapText="1"/>
    </xf>
    <xf numFmtId="167" fontId="5" fillId="0" borderId="6" applyAlignment="1" pivotButton="0" quotePrefix="0" xfId="0">
      <alignment horizontal="right" vertical="center" wrapText="1"/>
    </xf>
    <xf numFmtId="0" fontId="12" fillId="0" borderId="6" applyAlignment="1" pivotButton="0" quotePrefix="0" xfId="0">
      <alignment horizontal="left" vertical="center" wrapText="1"/>
    </xf>
    <xf numFmtId="164" fontId="5" fillId="0" borderId="6" applyAlignment="1" pivotButton="0" quotePrefix="0" xfId="0">
      <alignment horizontal="right" vertical="center" wrapText="1"/>
    </xf>
    <xf numFmtId="165" fontId="5" fillId="0" borderId="6" applyAlignment="1" pivotButton="0" quotePrefix="0" xfId="0">
      <alignment horizontal="right" vertical="center" wrapText="1"/>
    </xf>
    <xf numFmtId="0" fontId="3" fillId="7" borderId="6" applyAlignment="1" pivotButton="0" quotePrefix="0" xfId="0">
      <alignment horizontal="left" vertical="center" wrapText="1"/>
    </xf>
    <xf numFmtId="167" fontId="3" fillId="7" borderId="6" applyAlignment="1" pivotButton="0" quotePrefix="0" xfId="0">
      <alignment horizontal="right" vertical="center" wrapText="1"/>
    </xf>
    <xf numFmtId="9" fontId="6" fillId="4" borderId="6" applyAlignment="1" pivotButton="0" quotePrefix="0" xfId="0">
      <alignment horizontal="center" vertical="center" wrapText="1"/>
    </xf>
    <xf numFmtId="168" fontId="5" fillId="0" borderId="6" applyAlignment="1" pivotButton="0" quotePrefix="0" xfId="0">
      <alignment horizontal="center" vertical="center" wrapText="1"/>
    </xf>
    <xf numFmtId="165" fontId="5" fillId="0" borderId="6" applyAlignment="1" pivotButton="0" quotePrefix="0" xfId="0">
      <alignment horizontal="center" vertical="center" wrapText="1"/>
    </xf>
    <xf numFmtId="164" fontId="5" fillId="0" borderId="6" applyAlignment="1" pivotButton="0" quotePrefix="0" xfId="0">
      <alignment horizontal="center" vertical="center" wrapText="1"/>
    </xf>
    <xf numFmtId="166" fontId="10" fillId="2" borderId="6" applyAlignment="1" pivotButton="0" quotePrefix="0" xfId="0">
      <alignment horizontal="right" vertical="center" wrapText="1"/>
    </xf>
    <xf numFmtId="164" fontId="10" fillId="2" borderId="6" applyAlignment="1" pivotButton="0" quotePrefix="0" xfId="0">
      <alignment horizontal="center" vertical="center" wrapText="1"/>
    </xf>
    <xf numFmtId="165" fontId="10" fillId="2" borderId="6" applyAlignment="1" pivotButton="0" quotePrefix="0" xfId="0">
      <alignment horizontal="center" vertical="center" wrapText="1"/>
    </xf>
    <xf numFmtId="3" fontId="5" fillId="0" borderId="6" applyAlignment="1" pivotButton="0" quotePrefix="0" xfId="0">
      <alignment horizontal="right" vertical="center" wrapText="1"/>
    </xf>
    <xf numFmtId="10" fontId="10" fillId="2" borderId="6" applyAlignment="1" pivotButton="0" quotePrefix="0" xfId="0">
      <alignment horizontal="right" vertical="center" wrapText="1"/>
    </xf>
    <xf numFmtId="3" fontId="10" fillId="2" borderId="6" applyAlignment="1" pivotButton="0" quotePrefix="0" xfId="0">
      <alignment horizontal="right" vertical="center" wrapText="1"/>
    </xf>
    <xf numFmtId="0" fontId="10" fillId="2" borderId="6" applyAlignment="1" pivotButton="0" quotePrefix="0" xfId="0">
      <alignment horizontal="center" vertical="center" wrapText="1"/>
    </xf>
    <xf numFmtId="4" fontId="5" fillId="0" borderId="6" applyAlignment="1" pivotButton="0" quotePrefix="0" xfId="0">
      <alignment horizontal="right" vertical="center" wrapText="1"/>
    </xf>
    <xf numFmtId="0" fontId="9" fillId="6" borderId="6" applyAlignment="1" pivotButton="0" quotePrefix="0" xfId="0">
      <alignment horizontal="center" vertical="center" wrapText="1"/>
    </xf>
    <xf numFmtId="0" fontId="8" fillId="5" borderId="6" applyAlignment="1" pivotButton="0" quotePrefix="0" xfId="0">
      <alignment horizontal="left" vertical="center" wrapText="1"/>
    </xf>
    <xf numFmtId="0" fontId="8" fillId="5" borderId="6" applyAlignment="1" pivotButton="0" quotePrefix="0" xfId="0">
      <alignment horizontal="center" vertical="center" wrapText="1"/>
    </xf>
    <xf numFmtId="166" fontId="8" fillId="5" borderId="6" applyAlignment="1" pivotButton="0" quotePrefix="0" xfId="0">
      <alignment horizontal="right" vertical="center" wrapText="1"/>
    </xf>
    <xf numFmtId="0" fontId="5" fillId="0" borderId="6" applyAlignment="1" pivotButton="0" quotePrefix="0" xfId="0">
      <alignment horizontal="right" vertical="center" wrapText="1"/>
    </xf>
    <xf numFmtId="3" fontId="12" fillId="0" borderId="11" applyAlignment="1" pivotButton="0" quotePrefix="0" xfId="0">
      <alignment horizontal="right" vertical="center" wrapText="1"/>
    </xf>
    <xf numFmtId="4" fontId="12" fillId="0" borderId="11" applyAlignment="1" pivotButton="0" quotePrefix="0" xfId="0">
      <alignment horizontal="right" vertical="center" wrapText="1"/>
    </xf>
    <xf numFmtId="167" fontId="12" fillId="0" borderId="11" applyAlignment="1" pivotButton="0" quotePrefix="0" xfId="0">
      <alignment horizontal="right" vertical="center" wrapText="1"/>
    </xf>
    <xf numFmtId="3" fontId="6" fillId="4" borderId="6" applyAlignment="1" pivotButton="0" quotePrefix="0" xfId="0">
      <alignment horizontal="right" vertical="center" wrapText="1"/>
    </xf>
    <xf numFmtId="4" fontId="6" fillId="4" borderId="6" applyAlignment="1" pivotButton="0" quotePrefix="0" xfId="0">
      <alignment horizontal="right" vertical="center" wrapText="1"/>
    </xf>
    <xf numFmtId="3" fontId="9" fillId="6" borderId="6" applyAlignment="1" pivotButton="0" quotePrefix="0" xfId="0">
      <alignment horizontal="right" vertical="center" wrapText="1"/>
    </xf>
    <xf numFmtId="0" fontId="9" fillId="6" borderId="6" applyAlignment="1" pivotButton="0" quotePrefix="0" xfId="0">
      <alignment horizontal="right" vertical="center" wrapText="1"/>
    </xf>
    <xf numFmtId="0" fontId="10" fillId="2" borderId="6" applyAlignment="1" pivotButton="0" quotePrefix="0" xfId="0">
      <alignment vertical="center" wrapText="1"/>
    </xf>
    <xf numFmtId="4" fontId="10" fillId="2" borderId="6" applyAlignment="1" pivotButton="0" quotePrefix="0" xfId="0">
      <alignment horizontal="right" vertical="center" wrapText="1"/>
    </xf>
    <xf numFmtId="10" fontId="6" fillId="4" borderId="6" applyAlignment="1" pivotButton="0" quotePrefix="0" xfId="0">
      <alignment horizontal="right" vertical="center" wrapText="1"/>
    </xf>
    <xf numFmtId="164" fontId="6" fillId="4" borderId="6" applyAlignment="1" pivotButton="0" quotePrefix="0" xfId="0">
      <alignment horizontal="right" vertical="center" wrapText="1"/>
    </xf>
    <xf numFmtId="167" fontId="6" fillId="4" borderId="6" applyAlignment="1" pivotButton="0" quotePrefix="0" xfId="0">
      <alignment horizontal="right" vertical="center" wrapText="1"/>
    </xf>
    <xf numFmtId="1" fontId="6" fillId="4" borderId="6" applyAlignment="1" pivotButton="0" quotePrefix="0" xfId="0">
      <alignment horizontal="right" vertical="center" wrapText="1"/>
    </xf>
    <xf numFmtId="0" fontId="4" fillId="3" borderId="6" applyAlignment="1" pivotButton="0" quotePrefix="0" xfId="0">
      <alignment horizontal="right" vertical="center" wrapText="1"/>
    </xf>
    <xf numFmtId="4" fontId="12" fillId="0" borderId="6" applyAlignment="1" pivotButton="0" quotePrefix="0" xfId="0">
      <alignment horizontal="right" vertical="center" wrapText="1"/>
    </xf>
    <xf numFmtId="165" fontId="6" fillId="4" borderId="6" applyAlignment="1" pivotButton="0" quotePrefix="0" xfId="0">
      <alignment horizontal="right" vertical="center" wrapText="1"/>
    </xf>
    <xf numFmtId="0" fontId="7" fillId="0" borderId="6" applyAlignment="1" pivotButton="0" quotePrefix="0" xfId="0">
      <alignment horizontal="right" vertical="center" wrapText="1"/>
    </xf>
    <xf numFmtId="3" fontId="3" fillId="7" borderId="6" applyAlignment="1" pivotButton="0" quotePrefix="0" xfId="0">
      <alignment horizontal="right" vertical="center" wrapText="1"/>
    </xf>
    <xf numFmtId="164" fontId="3" fillId="7" borderId="6" applyAlignment="1" pivotButton="0" quotePrefix="0" xfId="0">
      <alignment horizontal="right" vertical="center" wrapText="1"/>
    </xf>
    <xf numFmtId="0" fontId="3" fillId="7" borderId="6" applyAlignment="1" pivotButton="0" quotePrefix="0" xfId="0">
      <alignment horizontal="center" vertical="center" wrapText="1"/>
    </xf>
    <xf numFmtId="166" fontId="7" fillId="0" borderId="6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C9A84C"/>
    <outlinePr summaryBelow="1" summaryRight="1"/>
    <pageSetUpPr fitToPage="1"/>
  </sheetPr>
  <dimension ref="A1:M56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.5" customWidth="1" min="1" max="1"/>
    <col width="30" customWidth="1" min="2" max="2"/>
    <col width="17" customWidth="1" min="3" max="3"/>
    <col width="17" customWidth="1" min="4" max="4"/>
    <col width="17" customWidth="1" min="5" max="5"/>
    <col width="17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 ht="24" customHeight="1">
      <c r="B1" s="1" t="inlineStr">
        <is>
          <t>DAWN RE ENTERPRISES CORP.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3" t="n"/>
    </row>
    <row r="2" ht="20" customHeight="1">
      <c r="B2" s="4" t="inlineStr">
        <is>
          <t>E SUNRISE BLVD ASSEMBLAGE  ·  COVERED LAND PLAY  —  EXECUTIVE SUMMARY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3" t="n"/>
    </row>
    <row r="3" ht="16" customHeight="1">
      <c r="B3" s="5" t="inlineStr">
        <is>
          <t>Fort Lauderdale, FL 33304  ·  Galleria hard corner  ·  five contiguous assets, plat block 49-42-36-12  ·  prepared 2026-07-21  ·  CONFIDENTIAL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3" t="n"/>
    </row>
    <row r="4"/>
    <row r="5" ht="16" customHeight="1">
      <c r="B5" s="6" t="inlineStr">
        <is>
          <t>INCOME-BASED PRICE</t>
        </is>
      </c>
      <c r="C5" s="2" t="n"/>
      <c r="D5" s="3" t="n"/>
      <c r="E5" s="6" t="inlineStr">
        <is>
          <t>COVERED-LAND PRICE</t>
        </is>
      </c>
      <c r="F5" s="2" t="n"/>
      <c r="G5" s="3" t="n"/>
      <c r="H5" s="6" t="inlineStr">
        <is>
          <t>BLENDED IN-PLACE CAP</t>
        </is>
      </c>
      <c r="I5" s="2" t="n"/>
      <c r="J5" s="3" t="n"/>
      <c r="K5" s="6" t="inlineStr">
        <is>
          <t>LAND CONTROLLED</t>
        </is>
      </c>
      <c r="L5" s="2" t="n"/>
      <c r="M5" s="3" t="n"/>
    </row>
    <row r="6" ht="34" customHeight="1">
      <c r="B6" s="7">
        <f>'Income Valuation'!C120</f>
        <v/>
      </c>
      <c r="C6" s="2" t="n"/>
      <c r="D6" s="3" t="n"/>
      <c r="E6" s="7">
        <f>'Assemblage'!C29</f>
        <v/>
      </c>
      <c r="F6" s="2" t="n"/>
      <c r="G6" s="3" t="n"/>
      <c r="H6" s="8">
        <f>'Assemblage'!C23</f>
        <v/>
      </c>
      <c r="I6" s="2" t="n"/>
      <c r="J6" s="3" t="n"/>
      <c r="K6" s="9">
        <f>'Assemblage'!C21</f>
        <v/>
      </c>
      <c r="L6" s="2" t="n"/>
      <c r="M6" s="3" t="n"/>
    </row>
    <row r="7" ht="16" customHeight="1">
      <c r="B7" s="10" t="inlineStr">
        <is>
          <t>what the combined cash flows support</t>
        </is>
      </c>
      <c r="C7" s="2" t="n"/>
      <c r="D7" s="3" t="n"/>
      <c r="E7" s="10" t="inlineStr">
        <is>
          <t>HBU: land value + assemblage premium</t>
        </is>
      </c>
      <c r="F7" s="2" t="n"/>
      <c r="G7" s="3" t="n"/>
      <c r="H7" s="10" t="inlineStr">
        <is>
          <t>income covers carry</t>
        </is>
      </c>
      <c r="I7" s="2" t="n"/>
      <c r="J7" s="3" t="n"/>
      <c r="K7" s="10" t="inlineStr">
        <is>
          <t>acres of E Sunrise frontage</t>
        </is>
      </c>
      <c r="L7" s="2" t="n"/>
      <c r="M7" s="3" t="n"/>
    </row>
    <row r="8"/>
    <row r="9">
      <c r="B9" s="11" t="inlineStr">
        <is>
          <t>THE DEAL</t>
        </is>
      </c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3" t="n"/>
    </row>
    <row r="10" ht="15" customHeight="1">
      <c r="B10" s="12" t="inlineStr">
        <is>
          <t>Assemble the entire E Sunrise Blvd frontage at the Galleria hard corner (~60,000 vehicles/day, across from the 31.5-ac Galleria</t>
        </is>
      </c>
      <c r="C10" s="13" t="n"/>
      <c r="D10" s="13" t="n"/>
      <c r="E10" s="13" t="n"/>
      <c r="F10" s="13" t="n"/>
      <c r="G10" s="13" t="n"/>
      <c r="H10" s="13" t="n"/>
      <c r="I10" s="13" t="n"/>
      <c r="J10" s="13" t="n"/>
      <c r="K10" s="13" t="n"/>
      <c r="L10" s="13" t="n"/>
      <c r="M10" s="14" t="n"/>
    </row>
    <row r="11" ht="15" customHeight="1">
      <c r="B11" s="12" t="inlineStr">
        <is>
          <t>redevelopment and the Live Local corridor). Five contiguous assets on one plat block. Strategy: buy/value each asset off the rent it</t>
        </is>
      </c>
      <c r="C11" s="13" t="n"/>
      <c r="D11" s="13" t="n"/>
      <c r="E11" s="13" t="n"/>
      <c r="F11" s="13" t="n"/>
      <c r="G11" s="13" t="n"/>
      <c r="H11" s="13" t="n"/>
      <c r="I11" s="13" t="n"/>
      <c r="J11" s="13" t="n"/>
      <c r="K11" s="13" t="n"/>
      <c r="L11" s="13" t="n"/>
      <c r="M11" s="14" t="n"/>
    </row>
    <row r="12" ht="15" customHeight="1">
      <c r="B12" s="12" t="inlineStr">
        <is>
          <t>produces, let the in-place income cover the carry, and control ~7+ acres for eventual Live Local high-density redevelopment. The</t>
        </is>
      </c>
      <c r="C12" s="13" t="n"/>
      <c r="D12" s="13" t="n"/>
      <c r="E12" s="13" t="n"/>
      <c r="F12" s="13" t="n"/>
      <c r="G12" s="13" t="n"/>
      <c r="H12" s="13" t="n"/>
      <c r="I12" s="13" t="n"/>
      <c r="J12" s="13" t="n"/>
      <c r="K12" s="13" t="n"/>
      <c r="L12" s="13" t="n"/>
      <c r="M12" s="14" t="n"/>
    </row>
    <row r="13" ht="15" customHeight="1">
      <c r="B13" s="12" t="inlineStr">
        <is>
          <t>redevelopment residual is negative today (AE flood zone, coastal hard costs), so the disciplined play is to HOLD income-covered land.</t>
        </is>
      </c>
      <c r="C13" s="13" t="n"/>
      <c r="D13" s="13" t="n"/>
      <c r="E13" s="13" t="n"/>
      <c r="F13" s="13" t="n"/>
      <c r="G13" s="13" t="n"/>
      <c r="H13" s="13" t="n"/>
      <c r="I13" s="13" t="n"/>
      <c r="J13" s="13" t="n"/>
      <c r="K13" s="13" t="n"/>
      <c r="L13" s="13" t="n"/>
      <c r="M13" s="14" t="n"/>
    </row>
    <row r="14" ht="15" customHeight="1">
      <c r="B14" s="12" t="inlineStr">
        <is>
          <t>Publix already validated the thesis — it paid land value ($679/SF building), not income value, to control its parcel.</t>
        </is>
      </c>
      <c r="C14" s="13" t="n"/>
      <c r="D14" s="13" t="n"/>
      <c r="E14" s="13" t="n"/>
      <c r="F14" s="13" t="n"/>
      <c r="G14" s="13" t="n"/>
      <c r="H14" s="13" t="n"/>
      <c r="I14" s="13" t="n"/>
      <c r="J14" s="13" t="n"/>
      <c r="K14" s="13" t="n"/>
      <c r="L14" s="13" t="n"/>
      <c r="M14" s="14" t="n"/>
    </row>
    <row r="15"/>
    <row r="16">
      <c r="B16" s="11" t="inlineStr">
        <is>
          <t>ASSET SCORECARD  —  🟢 live links to each asset tab</t>
        </is>
      </c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3" t="n"/>
    </row>
    <row r="17" ht="15" customHeight="1">
      <c r="B17" s="15" t="inlineStr">
        <is>
          <t>Asset</t>
        </is>
      </c>
      <c r="D17" s="15" t="inlineStr">
        <is>
          <t>Address / size</t>
        </is>
      </c>
      <c r="E17" s="13" t="n"/>
      <c r="F17" s="14" t="n"/>
      <c r="G17" s="16" t="inlineStr">
        <is>
          <t>Control cost</t>
        </is>
      </c>
      <c r="H17" s="16" t="inlineStr">
        <is>
          <t>In-place NOI</t>
        </is>
      </c>
      <c r="I17" s="14" t="n"/>
      <c r="J17" s="16" t="inlineStr">
        <is>
          <t>Unlev IRR</t>
        </is>
      </c>
      <c r="K17" s="16" t="inlineStr">
        <is>
          <t>Lev IRR</t>
        </is>
      </c>
      <c r="L17" s="13" t="n"/>
      <c r="M17" s="14" t="n"/>
    </row>
    <row r="18" ht="15" customHeight="1">
      <c r="B18" s="12" t="inlineStr">
        <is>
          <t>Shahidi Retail (Galleria Plaza)</t>
        </is>
      </c>
      <c r="D18" s="12" t="inlineStr">
        <is>
          <t>2541–2595 E Sunrise · 26,272 SF retail</t>
        </is>
      </c>
      <c r="E18" s="13" t="n"/>
      <c r="F18" s="14" t="n"/>
      <c r="G18" s="17">
        <f>'Shahidi Retail'!C57</f>
        <v/>
      </c>
      <c r="H18" s="17">
        <f>'Shahidi Retail'!C122</f>
        <v/>
      </c>
      <c r="I18" s="14" t="n"/>
      <c r="J18" s="18">
        <f>'Shahidi Retail'!C117</f>
        <v/>
      </c>
      <c r="K18" s="18">
        <f>'Shahidi Retail'!C120</f>
        <v/>
      </c>
      <c r="L18" s="13" t="n"/>
      <c r="M18" s="14" t="n"/>
    </row>
    <row r="19" ht="15" customHeight="1">
      <c r="B19" s="12" t="inlineStr">
        <is>
          <t>Publix + Starbucks</t>
        </is>
      </c>
      <c r="D19" s="12" t="inlineStr">
        <is>
          <t>2501–2519 E Sunrise · 36,822 SF grocery + pad</t>
        </is>
      </c>
      <c r="E19" s="13" t="n"/>
      <c r="F19" s="14" t="n"/>
      <c r="G19" s="17">
        <f>'Publix &amp; Starbucks'!C44</f>
        <v/>
      </c>
      <c r="H19" s="17">
        <f>'Publix &amp; Starbucks'!C109</f>
        <v/>
      </c>
      <c r="I19" s="14" t="n"/>
      <c r="J19" s="18">
        <f>'Publix &amp; Starbucks'!C104</f>
        <v/>
      </c>
      <c r="K19" s="18">
        <f>'Publix &amp; Starbucks'!C107</f>
        <v/>
      </c>
      <c r="L19" s="13" t="n"/>
      <c r="M19" s="14" t="n"/>
    </row>
    <row r="20" ht="15" customHeight="1">
      <c r="B20" s="12" t="inlineStr">
        <is>
          <t>Sunrise Plaza (Kar Luen)</t>
        </is>
      </c>
      <c r="D20" s="12" t="inlineStr">
        <is>
          <t>2465–2485 E Sunrise · 25,105 SF retail</t>
        </is>
      </c>
      <c r="E20" s="13" t="n"/>
      <c r="F20" s="14" t="n"/>
      <c r="G20" s="17">
        <f>'Sunrise Plaza'!C47</f>
        <v/>
      </c>
      <c r="H20" s="17">
        <f>'Sunrise Plaza'!C112</f>
        <v/>
      </c>
      <c r="I20" s="14" t="n"/>
      <c r="J20" s="18">
        <f>'Sunrise Plaza'!C107</f>
        <v/>
      </c>
      <c r="K20" s="18">
        <f>'Sunrise Plaza'!C110</f>
        <v/>
      </c>
      <c r="L20" s="13" t="n"/>
      <c r="M20" s="14" t="n"/>
    </row>
    <row r="21" ht="15" customHeight="1">
      <c r="B21" s="12" t="inlineStr">
        <is>
          <t>Galleria Corporate Centre</t>
        </is>
      </c>
      <c r="D21" s="12" t="inlineStr">
        <is>
          <t>2455 E Sunrise · 168,807 SF office condo</t>
        </is>
      </c>
      <c r="E21" s="13" t="n"/>
      <c r="F21" s="14" t="n"/>
      <c r="G21" s="17">
        <f>'Office Condo'!I97</f>
        <v/>
      </c>
      <c r="H21" s="17">
        <f>'Office Condo'!C78</f>
        <v/>
      </c>
      <c r="I21" s="14" t="n"/>
      <c r="J21" s="18">
        <f>'Office Condo'!C73</f>
        <v/>
      </c>
      <c r="K21" s="18">
        <f>'Office Condo'!C76</f>
        <v/>
      </c>
      <c r="L21" s="13" t="n"/>
      <c r="M21" s="14" t="n"/>
    </row>
    <row r="22" ht="15" customHeight="1">
      <c r="B22" s="12" t="inlineStr">
        <is>
          <t>1040 Bayview (land)</t>
        </is>
      </c>
      <c r="D22" s="12" t="inlineStr">
        <is>
          <t>1040 Bayview Dr · 2.39 ac · 259 units entitled</t>
        </is>
      </c>
      <c r="E22" s="13" t="n"/>
      <c r="F22" s="14" t="n"/>
      <c r="G22" s="17">
        <f>'Land'!E40</f>
        <v/>
      </c>
      <c r="H22" s="17">
        <f>'Land'!C47</f>
        <v/>
      </c>
      <c r="I22" s="14" t="n"/>
      <c r="J22" s="18">
        <f>'Land'!C65</f>
        <v/>
      </c>
      <c r="K22" s="18">
        <f>'Land'!C68</f>
        <v/>
      </c>
      <c r="L22" s="13" t="n"/>
      <c r="M22" s="14" t="n"/>
    </row>
    <row r="23" ht="15" customHeight="1">
      <c r="B23" s="19" t="inlineStr">
        <is>
          <t>ASSEMBLAGE (pre-premium)</t>
        </is>
      </c>
      <c r="D23" s="19" t="inlineStr">
        <is>
          <t>5 assets · ~7+ ac · 341,501 SF bldg</t>
        </is>
      </c>
      <c r="E23" s="13" t="n"/>
      <c r="F23" s="14" t="n"/>
      <c r="G23" s="20">
        <f>'Assemblage'!C17</f>
        <v/>
      </c>
      <c r="H23" s="20">
        <f>'Assemblage'!D17</f>
        <v/>
      </c>
      <c r="I23" s="14" t="n"/>
      <c r="J23" s="21">
        <f>'Income Valuation'!C90</f>
        <v/>
      </c>
      <c r="K23" s="21">
        <f>'Income Valuation'!C92</f>
        <v/>
      </c>
      <c r="L23" s="13" t="n"/>
      <c r="M23" s="14" t="n"/>
    </row>
    <row r="24" ht="15" customHeight="1">
      <c r="B24" s="22" t="inlineStr">
        <is>
          <t>Portfolio IRR (unlev / lev) = consolidated cash-flow IRR at the income price (Income Valuation tab)</t>
        </is>
      </c>
      <c r="C24" s="13" t="n"/>
      <c r="D24" s="13" t="n"/>
      <c r="E24" s="13" t="n"/>
      <c r="F24" s="13" t="n"/>
      <c r="G24" s="13" t="n"/>
      <c r="H24" s="13" t="n"/>
      <c r="I24" s="13" t="n"/>
      <c r="J24" s="13" t="n"/>
      <c r="K24" s="13" t="n"/>
      <c r="L24" s="13" t="n"/>
      <c r="M24" s="14" t="n"/>
    </row>
    <row r="25"/>
    <row r="26">
      <c r="B26" s="11" t="inlineStr">
        <is>
          <t>CAPITAL, VALUATION  &amp;  COVERED-LAND MATH</t>
        </is>
      </c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3" t="n"/>
    </row>
    <row r="27" ht="27" customHeight="1">
      <c r="B27" s="12" t="inlineStr">
        <is>
          <t>① Income-based price (assemblage cash flows)</t>
        </is>
      </c>
      <c r="C27" s="23">
        <f>'Income Valuation'!C120</f>
        <v/>
      </c>
      <c r="D27" s="22" t="inlineStr">
        <is>
          <t>direct cap on consolidated in-place NOI</t>
        </is>
      </c>
      <c r="E27" s="13" t="n"/>
      <c r="F27" s="13" t="n"/>
      <c r="G27" s="13" t="n"/>
      <c r="H27" s="13" t="n"/>
      <c r="I27" s="13" t="n"/>
      <c r="J27" s="13" t="n"/>
      <c r="K27" s="13" t="n"/>
      <c r="L27" s="13" t="n"/>
      <c r="M27" s="14" t="n"/>
    </row>
    <row r="28" ht="15" customHeight="1">
      <c r="B28" s="12" t="inlineStr">
        <is>
          <t>② Sum of the parts (priced independently)</t>
        </is>
      </c>
      <c r="C28" s="23">
        <f>'Highest &amp; Best Use'!C11</f>
        <v/>
      </c>
      <c r="D28" s="22" t="inlineStr">
        <is>
          <t>each component on its own</t>
        </is>
      </c>
      <c r="E28" s="13" t="n"/>
      <c r="F28" s="13" t="n"/>
      <c r="G28" s="13" t="n"/>
      <c r="H28" s="13" t="n"/>
      <c r="I28" s="13" t="n"/>
      <c r="J28" s="13" t="n"/>
      <c r="K28" s="13" t="n"/>
      <c r="L28" s="13" t="n"/>
      <c r="M28" s="14" t="n"/>
    </row>
    <row r="29" ht="15" customHeight="1">
      <c r="B29" s="12" t="inlineStr">
        <is>
          <t>③ Covered-land / HBU price (assembled)</t>
        </is>
      </c>
      <c r="C29" s="23">
        <f>'Assemblage'!C29</f>
        <v/>
      </c>
      <c r="D29" s="22" t="inlineStr">
        <is>
          <t>sum of parts + assemblage premium</t>
        </is>
      </c>
      <c r="E29" s="13" t="n"/>
      <c r="F29" s="13" t="n"/>
      <c r="G29" s="13" t="n"/>
      <c r="H29" s="13" t="n"/>
      <c r="I29" s="13" t="n"/>
      <c r="J29" s="13" t="n"/>
      <c r="K29" s="13" t="n"/>
      <c r="L29" s="13" t="n"/>
      <c r="M29" s="14" t="n"/>
    </row>
    <row r="30" ht="27" customHeight="1">
      <c r="B30" s="12" t="inlineStr">
        <is>
          <t>Premium over income value (dirt + optionality)</t>
        </is>
      </c>
      <c r="C30" s="23">
        <f>'Income Valuation'!C122</f>
        <v/>
      </c>
      <c r="D30" s="22" t="inlineStr">
        <is>
          <t>③ − ① = the land / Live Local option cost</t>
        </is>
      </c>
      <c r="E30" s="13" t="n"/>
      <c r="F30" s="13" t="n"/>
      <c r="G30" s="13" t="n"/>
      <c r="H30" s="13" t="n"/>
      <c r="I30" s="13" t="n"/>
      <c r="J30" s="13" t="n"/>
      <c r="K30" s="13" t="n"/>
      <c r="L30" s="13" t="n"/>
      <c r="M30" s="14" t="n"/>
    </row>
    <row r="31" ht="15" customHeight="1">
      <c r="B31" s="12" t="inlineStr">
        <is>
          <t>Office condo FULL BUY-OUT (both owners)</t>
        </is>
      </c>
      <c r="C31" s="23">
        <f>'Office Condo'!I97</f>
        <v/>
      </c>
      <c r="D31" s="22" t="inlineStr">
        <is>
          <t>Main St 57.4% + Intl Sunrise 42.6% + premium</t>
        </is>
      </c>
      <c r="E31" s="13" t="n"/>
      <c r="F31" s="13" t="n"/>
      <c r="G31" s="13" t="n"/>
      <c r="H31" s="13" t="n"/>
      <c r="I31" s="13" t="n"/>
      <c r="J31" s="13" t="n"/>
      <c r="K31" s="13" t="n"/>
      <c r="L31" s="13" t="n"/>
      <c r="M31" s="14" t="n"/>
    </row>
    <row r="32" ht="27" customHeight="1">
      <c r="B32" s="12" t="inlineStr">
        <is>
          <t>Land — fragmented vs. assembled (plottage)</t>
        </is>
      </c>
      <c r="C32" s="23">
        <f>'Highest &amp; Best Use'!C39</f>
        <v/>
      </c>
      <c r="D32" s="22" t="inlineStr">
        <is>
          <t>assembled land worth this much more than the parts</t>
        </is>
      </c>
      <c r="E32" s="13" t="n"/>
      <c r="F32" s="13" t="n"/>
      <c r="G32" s="13" t="n"/>
      <c r="H32" s="13" t="n"/>
      <c r="I32" s="13" t="n"/>
      <c r="J32" s="13" t="n"/>
      <c r="K32" s="13" t="n"/>
      <c r="L32" s="13" t="n"/>
      <c r="M32" s="14" t="n"/>
    </row>
    <row r="33" ht="15" customHeight="1">
      <c r="B33" s="12" t="inlineStr">
        <is>
          <t>Summed control cost (pre-premium)</t>
        </is>
      </c>
      <c r="C33" s="23">
        <f>'Assemblage'!C17</f>
        <v/>
      </c>
    </row>
    <row r="34" ht="15" customHeight="1">
      <c r="B34" s="12" t="inlineStr">
        <is>
          <t>Total equity required (all assets, HBU)</t>
        </is>
      </c>
      <c r="C34" s="23">
        <f>'Assemblage'!C36</f>
        <v/>
      </c>
    </row>
    <row r="35" ht="15" customHeight="1">
      <c r="B35" s="12" t="inlineStr">
        <is>
          <t>Total in-place NOI</t>
        </is>
      </c>
      <c r="C35" s="23">
        <f>'Assemblage'!D17</f>
        <v/>
      </c>
      <c r="D35" s="22" t="inlineStr">
        <is>
          <t>covers debt service + taxes during hold</t>
        </is>
      </c>
      <c r="E35" s="13" t="n"/>
      <c r="F35" s="13" t="n"/>
      <c r="G35" s="13" t="n"/>
      <c r="H35" s="13" t="n"/>
      <c r="I35" s="13" t="n"/>
      <c r="J35" s="13" t="n"/>
      <c r="K35" s="13" t="n"/>
      <c r="L35" s="13" t="n"/>
      <c r="M35" s="14" t="n"/>
    </row>
    <row r="36" ht="15" customHeight="1">
      <c r="B36" s="12" t="inlineStr">
        <is>
          <t>Blended in-place cap</t>
        </is>
      </c>
      <c r="C36" s="24">
        <f>'Assemblage'!C23</f>
        <v/>
      </c>
      <c r="D36" s="22" t="inlineStr">
        <is>
          <t>covered-land ~3–5% range</t>
        </is>
      </c>
      <c r="E36" s="13" t="n"/>
      <c r="F36" s="13" t="n"/>
      <c r="G36" s="13" t="n"/>
      <c r="H36" s="13" t="n"/>
      <c r="I36" s="13" t="n"/>
      <c r="J36" s="13" t="n"/>
      <c r="K36" s="13" t="n"/>
      <c r="L36" s="13" t="n"/>
      <c r="M36" s="14" t="n"/>
    </row>
    <row r="37" ht="15" customHeight="1">
      <c r="B37" s="12" t="inlineStr">
        <is>
          <t>Total land assembled (SF)</t>
        </is>
      </c>
      <c r="C37" s="25">
        <f>'Assemblage'!F17</f>
        <v/>
      </c>
    </row>
    <row r="38" ht="15" customHeight="1">
      <c r="B38" s="12" t="inlineStr">
        <is>
          <t>Blended land basis ($/SF)</t>
        </is>
      </c>
      <c r="C38" s="26">
        <f>'Assemblage'!C22</f>
        <v/>
      </c>
      <c r="D38" s="22" t="inlineStr">
        <is>
          <t>vs. subject comps $228–255/SF</t>
        </is>
      </c>
      <c r="E38" s="13" t="n"/>
      <c r="F38" s="13" t="n"/>
      <c r="G38" s="13" t="n"/>
      <c r="H38" s="13" t="n"/>
      <c r="I38" s="13" t="n"/>
      <c r="J38" s="13" t="n"/>
      <c r="K38" s="13" t="n"/>
      <c r="L38" s="13" t="n"/>
      <c r="M38" s="14" t="n"/>
    </row>
    <row r="39" ht="15" customHeight="1">
      <c r="B39" s="12" t="inlineStr">
        <is>
          <t>Total land value</t>
        </is>
      </c>
      <c r="C39" s="23">
        <f>'Assemblage'!G17</f>
        <v/>
      </c>
    </row>
    <row r="40" ht="15" customHeight="1">
      <c r="B40" s="12" t="inlineStr">
        <is>
          <t>Redevelopment residual (Live Local)</t>
        </is>
      </c>
      <c r="C40" s="23">
        <f>'Land'!C78</f>
        <v/>
      </c>
      <c r="D40" s="22" t="inlineStr">
        <is>
          <t>NEGATIVE → hold, do not redevelop yet</t>
        </is>
      </c>
      <c r="E40" s="13" t="n"/>
      <c r="F40" s="13" t="n"/>
      <c r="G40" s="13" t="n"/>
      <c r="H40" s="13" t="n"/>
      <c r="I40" s="13" t="n"/>
      <c r="J40" s="13" t="n"/>
      <c r="K40" s="13" t="n"/>
      <c r="L40" s="13" t="n"/>
      <c r="M40" s="14" t="n"/>
    </row>
    <row r="41"/>
    <row r="42">
      <c r="B42" s="11" t="inlineStr">
        <is>
          <t>RETURNS AT THE INCOME PRICE  &amp;  SCENARIO RANGE</t>
        </is>
      </c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3" t="n"/>
    </row>
    <row r="43" ht="15" customHeight="1">
      <c r="B43" s="12" t="inlineStr">
        <is>
          <t>Portfolio unlevered / levered IRR (base)</t>
        </is>
      </c>
      <c r="C43" s="18">
        <f>'Income Valuation'!C92</f>
        <v/>
      </c>
      <c r="D43" s="22" t="inlineStr">
        <is>
          <t>levered; unlevered on Income Valuation tab</t>
        </is>
      </c>
      <c r="E43" s="13" t="n"/>
      <c r="F43" s="13" t="n"/>
      <c r="G43" s="13" t="n"/>
      <c r="H43" s="13" t="n"/>
      <c r="I43" s="13" t="n"/>
      <c r="J43" s="13" t="n"/>
      <c r="K43" s="13" t="n"/>
      <c r="L43" s="13" t="n"/>
      <c r="M43" s="14" t="n"/>
    </row>
    <row r="44" ht="15" customHeight="1">
      <c r="B44" s="12" t="inlineStr">
        <is>
          <t>Levered IRR — downside / base / upside</t>
        </is>
      </c>
      <c r="C44" s="18">
        <f>'Scenarios'!G22</f>
        <v/>
      </c>
      <c r="D44" s="27">
        <f>'Income Valuation'!C92</f>
        <v/>
      </c>
      <c r="E44" s="28">
        <f>'Scenarios'!G24</f>
        <v/>
      </c>
      <c r="F44" s="22" t="inlineStr">
        <is>
          <t>recession → plan → tailwind (see Scenarios tab)</t>
        </is>
      </c>
      <c r="G44" s="13" t="n"/>
      <c r="H44" s="13" t="n"/>
      <c r="I44" s="13" t="n"/>
      <c r="J44" s="13" t="n"/>
      <c r="K44" s="13" t="n"/>
      <c r="L44" s="13" t="n"/>
      <c r="M44" s="14" t="n"/>
    </row>
    <row r="45" ht="15" customHeight="1">
      <c r="B45" s="12" t="inlineStr">
        <is>
          <t>Avg cash-on-cash (base, levered)</t>
        </is>
      </c>
      <c r="C45" s="18">
        <f>'Income Valuation'!C96</f>
        <v/>
      </c>
      <c r="D45" s="22" t="inlineStr">
        <is>
          <t>current yield on equity</t>
        </is>
      </c>
      <c r="E45" s="13" t="n"/>
      <c r="F45" s="13" t="n"/>
      <c r="G45" s="13" t="n"/>
      <c r="H45" s="13" t="n"/>
      <c r="I45" s="13" t="n"/>
      <c r="J45" s="13" t="n"/>
      <c r="K45" s="13" t="n"/>
      <c r="L45" s="13" t="n"/>
      <c r="M45" s="14" t="n"/>
    </row>
    <row r="46" ht="15" customHeight="1">
      <c r="B46" s="12" t="inlineStr">
        <is>
          <t>Break-even exit cap (return of capital)</t>
        </is>
      </c>
      <c r="C46" s="24">
        <f>'Income Valuation'!C116</f>
        <v/>
      </c>
      <c r="D46" s="22" t="inlineStr">
        <is>
          <t>downside guardrail; underwritten exit 6.75%</t>
        </is>
      </c>
      <c r="E46" s="13" t="n"/>
      <c r="F46" s="13" t="n"/>
      <c r="G46" s="13" t="n"/>
      <c r="H46" s="13" t="n"/>
      <c r="I46" s="13" t="n"/>
      <c r="J46" s="13" t="n"/>
      <c r="K46" s="13" t="n"/>
      <c r="L46" s="13" t="n"/>
      <c r="M46" s="14" t="n"/>
    </row>
    <row r="47" ht="15" customHeight="1">
      <c r="B47" s="12" t="inlineStr">
        <is>
          <t>Total equity (income price) / LTC</t>
        </is>
      </c>
      <c r="C47" s="23">
        <f>'Income Valuation'!C84</f>
        <v/>
      </c>
      <c r="D47" s="22" t="inlineStr">
        <is>
          <t>see Sources &amp; Uses on Income Valuation tab</t>
        </is>
      </c>
      <c r="E47" s="13" t="n"/>
      <c r="F47" s="13" t="n"/>
      <c r="G47" s="13" t="n"/>
      <c r="H47" s="13" t="n"/>
      <c r="I47" s="13" t="n"/>
      <c r="J47" s="13" t="n"/>
      <c r="K47" s="13" t="n"/>
      <c r="L47" s="13" t="n"/>
      <c r="M47" s="14" t="n"/>
    </row>
    <row r="48"/>
    <row r="49">
      <c r="B49" s="11" t="inlineStr">
        <is>
          <t>RECOMMENDATION</t>
        </is>
      </c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3" t="n"/>
    </row>
    <row r="50" ht="15" customHeight="1">
      <c r="B50" s="12" t="inlineStr">
        <is>
          <t>ACQUIRE &amp; HOLD as a covered land play. Pursue the acquirable parcels (Shahidi, Sunrise Plaza, the two office-condo owners, and</t>
        </is>
      </c>
      <c r="C50" s="13" t="n"/>
      <c r="D50" s="13" t="n"/>
      <c r="E50" s="13" t="n"/>
      <c r="F50" s="13" t="n"/>
      <c r="G50" s="13" t="n"/>
      <c r="H50" s="13" t="n"/>
      <c r="I50" s="13" t="n"/>
      <c r="J50" s="13" t="n"/>
      <c r="K50" s="13" t="n"/>
      <c r="L50" s="13" t="n"/>
      <c r="M50" s="14" t="n"/>
    </row>
    <row r="51" ht="15" customHeight="1">
      <c r="B51" s="12" t="inlineStr">
        <is>
          <t>the Bayview land); structure Publix as a SALE-LEASEBACK — acquire the fee and lease it back during entitlement. The blended in-place income covers the</t>
        </is>
      </c>
      <c r="C51" s="13" t="n"/>
      <c r="D51" s="13" t="n"/>
      <c r="E51" s="13" t="n"/>
      <c r="F51" s="13" t="n"/>
      <c r="G51" s="13" t="n"/>
      <c r="H51" s="13" t="n"/>
      <c r="I51" s="13" t="n"/>
      <c r="J51" s="13" t="n"/>
      <c r="K51" s="13" t="n"/>
      <c r="L51" s="13" t="n"/>
      <c r="M51" s="14" t="n"/>
    </row>
    <row r="52" ht="15" customHeight="1">
      <c r="B52" s="12" t="inlineStr">
        <is>
          <t>carry, individual assets deliver value-add / income returns in their own right, and the assemblage banks ~7+ acres of the Galleria</t>
        </is>
      </c>
      <c r="C52" s="13" t="n"/>
      <c r="D52" s="13" t="n"/>
      <c r="E52" s="13" t="n"/>
      <c r="F52" s="13" t="n"/>
      <c r="G52" s="13" t="n"/>
      <c r="H52" s="13" t="n"/>
      <c r="I52" s="13" t="n"/>
      <c r="J52" s="13" t="n"/>
      <c r="K52" s="13" t="n"/>
      <c r="L52" s="13" t="n"/>
      <c r="M52" s="14" t="n"/>
    </row>
    <row r="53" ht="15" customHeight="1">
      <c r="B53" s="12" t="inlineStr">
        <is>
          <t>hard corner for Live Local density once coastal hard costs and achievable rents make redevelopment pencil. Do not underwrite the</t>
        </is>
      </c>
      <c r="C53" s="13" t="n"/>
      <c r="D53" s="13" t="n"/>
      <c r="E53" s="13" t="n"/>
      <c r="F53" s="13" t="n"/>
      <c r="G53" s="13" t="n"/>
      <c r="H53" s="13" t="n"/>
      <c r="I53" s="13" t="n"/>
      <c r="J53" s="13" t="n"/>
      <c r="K53" s="13" t="n"/>
      <c r="L53" s="13" t="n"/>
      <c r="M53" s="14" t="n"/>
    </row>
    <row r="54" ht="15" customHeight="1">
      <c r="B54" s="12" t="inlineStr">
        <is>
          <t>redevelopment as accretive today — the residual is negative. The return is optionality on the dirt, paid for by the rent.</t>
        </is>
      </c>
      <c r="C54" s="13" t="n"/>
      <c r="D54" s="13" t="n"/>
      <c r="E54" s="13" t="n"/>
      <c r="F54" s="13" t="n"/>
      <c r="G54" s="13" t="n"/>
      <c r="H54" s="13" t="n"/>
      <c r="I54" s="13" t="n"/>
      <c r="J54" s="13" t="n"/>
      <c r="K54" s="13" t="n"/>
      <c r="L54" s="13" t="n"/>
      <c r="M54" s="14" t="n"/>
    </row>
    <row r="55"/>
    <row r="56" ht="15" customHeight="1">
      <c r="B56" s="22" t="inlineStr">
        <is>
          <t>Confidence flags</t>
        </is>
      </c>
      <c r="D56" s="22" t="inlineStr">
        <is>
          <t>✅ Shahidi &amp; Publix = BCPA-verified · ⚠️ Sunrise Plaza, Office, Land = reported (BCPA blocked in build env — verify at bcpa.net) · 🔶 all rents/caps modeled</t>
        </is>
      </c>
      <c r="E56" s="13" t="n"/>
      <c r="F56" s="13" t="n"/>
      <c r="G56" s="13" t="n"/>
      <c r="H56" s="13" t="n"/>
      <c r="I56" s="13" t="n"/>
      <c r="J56" s="13" t="n"/>
      <c r="K56" s="13" t="n"/>
      <c r="L56" s="13" t="n"/>
      <c r="M56" s="14" t="n"/>
    </row>
  </sheetData>
  <mergeCells count="68">
    <mergeCell ref="B2:M2"/>
    <mergeCell ref="B11:M11"/>
    <mergeCell ref="H20:I20"/>
    <mergeCell ref="B42:M42"/>
    <mergeCell ref="F44:M44"/>
    <mergeCell ref="D56:M56"/>
    <mergeCell ref="K22:M22"/>
    <mergeCell ref="B14:M14"/>
    <mergeCell ref="D30:M30"/>
    <mergeCell ref="D17:F17"/>
    <mergeCell ref="B1:M1"/>
    <mergeCell ref="B13:M13"/>
    <mergeCell ref="B53:M53"/>
    <mergeCell ref="D38:M38"/>
    <mergeCell ref="H7:J7"/>
    <mergeCell ref="E6:G6"/>
    <mergeCell ref="D29:M29"/>
    <mergeCell ref="H21:I21"/>
    <mergeCell ref="B10:M10"/>
    <mergeCell ref="D35:M35"/>
    <mergeCell ref="D18:F18"/>
    <mergeCell ref="K23:M23"/>
    <mergeCell ref="B9:M9"/>
    <mergeCell ref="K17:M17"/>
    <mergeCell ref="B49:M49"/>
    <mergeCell ref="E7:G7"/>
    <mergeCell ref="B6:D6"/>
    <mergeCell ref="K7:M7"/>
    <mergeCell ref="H17:I17"/>
    <mergeCell ref="B24:M24"/>
    <mergeCell ref="B5:D5"/>
    <mergeCell ref="K19:M19"/>
    <mergeCell ref="D31:M31"/>
    <mergeCell ref="D46:M46"/>
    <mergeCell ref="D23:F23"/>
    <mergeCell ref="D40:M40"/>
    <mergeCell ref="K6:M6"/>
    <mergeCell ref="D36:M36"/>
    <mergeCell ref="H5:J5"/>
    <mergeCell ref="B51:M51"/>
    <mergeCell ref="D45:M45"/>
    <mergeCell ref="H19:I19"/>
    <mergeCell ref="K18:M18"/>
    <mergeCell ref="B26:M26"/>
    <mergeCell ref="B50:M50"/>
    <mergeCell ref="H22:I22"/>
    <mergeCell ref="B7:D7"/>
    <mergeCell ref="D20:F20"/>
    <mergeCell ref="D27:M27"/>
    <mergeCell ref="B16:M16"/>
    <mergeCell ref="D19:F19"/>
    <mergeCell ref="B54:M54"/>
    <mergeCell ref="D43:M43"/>
    <mergeCell ref="D32:M32"/>
    <mergeCell ref="B3:M3"/>
    <mergeCell ref="E5:G5"/>
    <mergeCell ref="K5:M5"/>
    <mergeCell ref="H18:I18"/>
    <mergeCell ref="D22:F22"/>
    <mergeCell ref="K21:M21"/>
    <mergeCell ref="H23:I23"/>
    <mergeCell ref="D47:M47"/>
    <mergeCell ref="K20:M20"/>
    <mergeCell ref="D21:F21"/>
    <mergeCell ref="B52:M52"/>
    <mergeCell ref="B12:M12"/>
    <mergeCell ref="D28:M28"/>
    <mergeCell ref="H6:J6"/>
  </mergeCells>
  <printOptions horizontalCentered="1"/>
  <pageMargins left="0.3" right="0.3" top="0.4" bottom="0.4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tabColor rgb="00C9A84C"/>
    <outlinePr summaryBelow="1" summaryRight="1"/>
    <pageSetUpPr fitToPage="1"/>
  </sheetPr>
  <dimension ref="A1:M133"/>
  <sheetViews>
    <sheetView showGridLines="0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.5" customWidth="1" min="1" max="1"/>
    <col width="42" customWidth="1" min="2" max="2"/>
    <col width="14" customWidth="1" min="3" max="3"/>
    <col width="10" customWidth="1" min="4" max="4"/>
    <col width="14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 ht="26" customHeight="1">
      <c r="B1" s="1" t="inlineStr">
        <is>
          <t>ASSUMPTIONS  —  CONTROL PANEL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3" t="n"/>
    </row>
    <row r="2" ht="31" customHeight="1">
      <c r="B2" s="4" t="inlineStr">
        <is>
          <t>The single input surface. GLOBAL drivers first, then a block per asset (price · rents · occupancy · OPERATING EXPENSES · caps · debt). Every blue cell drives the model by live link — change one and price, IRR, DSCR, and value all recalculate.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3" t="n"/>
    </row>
    <row r="3"/>
    <row r="4">
      <c r="B4" s="11" t="inlineStr">
        <is>
          <t>GLOBAL — VALUATION &amp; HOLD  (→ Income Valuation)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3" t="n"/>
    </row>
    <row r="5" ht="15" customHeight="1">
      <c r="B5" s="15" t="inlineStr">
        <is>
          <t>Driver</t>
        </is>
      </c>
      <c r="C5" s="16" t="inlineStr">
        <is>
          <t>Input</t>
        </is>
      </c>
      <c r="D5" s="16" t="inlineStr">
        <is>
          <t>Flag</t>
        </is>
      </c>
      <c r="E5" s="15" t="inlineStr">
        <is>
          <t>Drives / note</t>
        </is>
      </c>
      <c r="F5" s="13" t="n"/>
      <c r="G5" s="13" t="n"/>
      <c r="H5" s="13" t="n"/>
      <c r="I5" s="13" t="n"/>
      <c r="J5" s="13" t="n"/>
      <c r="K5" s="13" t="n"/>
      <c r="L5" s="13" t="n"/>
      <c r="M5" s="14" t="n"/>
    </row>
    <row r="6" ht="15" customHeight="1">
      <c r="B6" s="12" t="inlineStr">
        <is>
          <t>Blended going-in cap (as-is)</t>
        </is>
      </c>
      <c r="C6" s="29" t="n">
        <v>0.065</v>
      </c>
      <c r="D6" s="30" t="inlineStr">
        <is>
          <t>🔶</t>
        </is>
      </c>
      <c r="E6" s="22" t="inlineStr">
        <is>
          <t>income price = as-is NOI ÷ this</t>
        </is>
      </c>
      <c r="F6" s="13" t="n"/>
      <c r="G6" s="13" t="n"/>
      <c r="H6" s="13" t="n"/>
      <c r="I6" s="13" t="n"/>
      <c r="J6" s="13" t="n"/>
      <c r="K6" s="13" t="n"/>
      <c r="L6" s="13" t="n"/>
      <c r="M6" s="14" t="n"/>
    </row>
    <row r="7" ht="15" customHeight="1">
      <c r="B7" s="12" t="inlineStr">
        <is>
          <t>Blended stabilized / exit cap</t>
        </is>
      </c>
      <c r="C7" s="29" t="n">
        <v>0.0675</v>
      </c>
      <c r="D7" s="30" t="inlineStr">
        <is>
          <t>🔶</t>
        </is>
      </c>
      <c r="E7" s="22" t="inlineStr">
        <is>
          <t>reversion &amp; stabilized value</t>
        </is>
      </c>
      <c r="F7" s="13" t="n"/>
      <c r="G7" s="13" t="n"/>
      <c r="H7" s="13" t="n"/>
      <c r="I7" s="13" t="n"/>
      <c r="J7" s="13" t="n"/>
      <c r="K7" s="13" t="n"/>
      <c r="L7" s="13" t="n"/>
      <c r="M7" s="14" t="n"/>
    </row>
    <row r="8" ht="15" customHeight="1">
      <c r="B8" s="12" t="inlineStr">
        <is>
          <t>Target unlevered yield (DCF discount)</t>
        </is>
      </c>
      <c r="C8" s="31" t="n">
        <v>0.08500000000000001</v>
      </c>
      <c r="D8" s="30" t="inlineStr">
        <is>
          <t>🔶</t>
        </is>
      </c>
      <c r="E8" s="22" t="inlineStr">
        <is>
          <t>DCF value; NPV hurdle</t>
        </is>
      </c>
      <c r="F8" s="13" t="n"/>
      <c r="G8" s="13" t="n"/>
      <c r="H8" s="13" t="n"/>
      <c r="I8" s="13" t="n"/>
      <c r="J8" s="13" t="n"/>
      <c r="K8" s="13" t="n"/>
      <c r="L8" s="13" t="n"/>
      <c r="M8" s="14" t="n"/>
    </row>
    <row r="9" ht="15" customHeight="1">
      <c r="B9" s="12" t="inlineStr">
        <is>
          <t>Blended NOI growth</t>
        </is>
      </c>
      <c r="C9" s="31" t="n">
        <v>0.025</v>
      </c>
      <c r="D9" s="30" t="inlineStr">
        <is>
          <t>🔶</t>
        </is>
      </c>
      <c r="E9" s="22" t="inlineStr">
        <is>
          <t>reversion &amp; sensitivities</t>
        </is>
      </c>
      <c r="F9" s="13" t="n"/>
      <c r="G9" s="13" t="n"/>
      <c r="H9" s="13" t="n"/>
      <c r="I9" s="13" t="n"/>
      <c r="J9" s="13" t="n"/>
      <c r="K9" s="13" t="n"/>
      <c r="L9" s="13" t="n"/>
      <c r="M9" s="14" t="n"/>
    </row>
    <row r="10" ht="15" customHeight="1">
      <c r="B10" s="12" t="inlineStr">
        <is>
          <t>Hold period (yrs)</t>
        </is>
      </c>
      <c r="C10" s="32" t="n">
        <v>5</v>
      </c>
      <c r="D10" s="30" t="inlineStr">
        <is>
          <t>🔶</t>
        </is>
      </c>
      <c r="E10" s="22" t="inlineStr">
        <is>
          <t>exit year for all assets</t>
        </is>
      </c>
      <c r="F10" s="13" t="n"/>
      <c r="G10" s="13" t="n"/>
      <c r="H10" s="13" t="n"/>
      <c r="I10" s="13" t="n"/>
      <c r="J10" s="13" t="n"/>
      <c r="K10" s="13" t="n"/>
      <c r="L10" s="13" t="n"/>
      <c r="M10" s="14" t="n"/>
    </row>
    <row r="11" ht="15" customHeight="1">
      <c r="B11" s="12" t="inlineStr">
        <is>
          <t>Cost of sale at exit</t>
        </is>
      </c>
      <c r="C11" s="31" t="n">
        <v>0.02</v>
      </c>
      <c r="D11" s="30" t="inlineStr">
        <is>
          <t>🔶</t>
        </is>
      </c>
      <c r="E11" s="22" t="inlineStr">
        <is>
          <t>net reversion</t>
        </is>
      </c>
      <c r="F11" s="13" t="n"/>
      <c r="G11" s="13" t="n"/>
      <c r="H11" s="13" t="n"/>
      <c r="I11" s="13" t="n"/>
      <c r="J11" s="13" t="n"/>
      <c r="K11" s="13" t="n"/>
      <c r="L11" s="13" t="n"/>
      <c r="M11" s="14" t="n"/>
    </row>
    <row r="12">
      <c r="B12" s="11" t="inlineStr">
        <is>
          <t>GLOBAL — SENIOR FINANCING  (→ Income Valuation)</t>
        </is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3" t="n"/>
    </row>
    <row r="13" ht="15" customHeight="1">
      <c r="B13" s="15" t="inlineStr">
        <is>
          <t>Driver</t>
        </is>
      </c>
      <c r="C13" s="16" t="inlineStr">
        <is>
          <t>Input</t>
        </is>
      </c>
      <c r="D13" s="16" t="inlineStr">
        <is>
          <t>Flag</t>
        </is>
      </c>
      <c r="E13" s="15" t="inlineStr">
        <is>
          <t>Drives / note</t>
        </is>
      </c>
      <c r="F13" s="13" t="n"/>
      <c r="G13" s="13" t="n"/>
      <c r="H13" s="13" t="n"/>
      <c r="I13" s="13" t="n"/>
      <c r="J13" s="13" t="n"/>
      <c r="K13" s="13" t="n"/>
      <c r="L13" s="13" t="n"/>
      <c r="M13" s="14" t="n"/>
    </row>
    <row r="14" ht="15" customHeight="1">
      <c r="B14" s="12" t="inlineStr">
        <is>
          <t>Max senior LTV</t>
        </is>
      </c>
      <c r="C14" s="31" t="n">
        <v>0.6</v>
      </c>
      <c r="D14" s="30" t="inlineStr">
        <is>
          <t>🔶</t>
        </is>
      </c>
      <c r="E14" s="22" t="inlineStr">
        <is>
          <t>debt sizing constraint 1</t>
        </is>
      </c>
      <c r="F14" s="13" t="n"/>
      <c r="G14" s="13" t="n"/>
      <c r="H14" s="13" t="n"/>
      <c r="I14" s="13" t="n"/>
      <c r="J14" s="13" t="n"/>
      <c r="K14" s="13" t="n"/>
      <c r="L14" s="13" t="n"/>
      <c r="M14" s="14" t="n"/>
    </row>
    <row r="15" ht="15" customHeight="1">
      <c r="B15" s="12" t="inlineStr">
        <is>
          <t>Min DSCR</t>
        </is>
      </c>
      <c r="C15" s="33" t="n">
        <v>1.3</v>
      </c>
      <c r="D15" s="30" t="inlineStr">
        <is>
          <t>🔶</t>
        </is>
      </c>
      <c r="E15" s="22" t="inlineStr">
        <is>
          <t>debt sizing constraint 2</t>
        </is>
      </c>
      <c r="F15" s="13" t="n"/>
      <c r="G15" s="13" t="n"/>
      <c r="H15" s="13" t="n"/>
      <c r="I15" s="13" t="n"/>
      <c r="J15" s="13" t="n"/>
      <c r="K15" s="13" t="n"/>
      <c r="L15" s="13" t="n"/>
      <c r="M15" s="14" t="n"/>
    </row>
    <row r="16" ht="15" customHeight="1">
      <c r="B16" s="12" t="inlineStr">
        <is>
          <t>Min debt yield</t>
        </is>
      </c>
      <c r="C16" s="31" t="n">
        <v>0.08500000000000001</v>
      </c>
      <c r="D16" s="30" t="inlineStr">
        <is>
          <t>🔶</t>
        </is>
      </c>
      <c r="E16" s="22" t="inlineStr">
        <is>
          <t>debt sizing constraint 3</t>
        </is>
      </c>
      <c r="F16" s="13" t="n"/>
      <c r="G16" s="13" t="n"/>
      <c r="H16" s="13" t="n"/>
      <c r="I16" s="13" t="n"/>
      <c r="J16" s="13" t="n"/>
      <c r="K16" s="13" t="n"/>
      <c r="L16" s="13" t="n"/>
      <c r="M16" s="14" t="n"/>
    </row>
    <row r="17" ht="15" customHeight="1">
      <c r="B17" s="12" t="inlineStr">
        <is>
          <t>Senior rate</t>
        </is>
      </c>
      <c r="C17" s="29" t="n">
        <v>0.065</v>
      </c>
      <c r="D17" s="30" t="inlineStr">
        <is>
          <t>🔶</t>
        </is>
      </c>
      <c r="E17" s="22" t="inlineStr">
        <is>
          <t>debt service</t>
        </is>
      </c>
      <c r="F17" s="13" t="n"/>
      <c r="G17" s="13" t="n"/>
      <c r="H17" s="13" t="n"/>
      <c r="I17" s="13" t="n"/>
      <c r="J17" s="13" t="n"/>
      <c r="K17" s="13" t="n"/>
      <c r="L17" s="13" t="n"/>
      <c r="M17" s="14" t="n"/>
    </row>
    <row r="18" ht="15" customHeight="1">
      <c r="B18" s="12" t="inlineStr">
        <is>
          <t>Amortization (yrs)</t>
        </is>
      </c>
      <c r="C18" s="32" t="n">
        <v>30</v>
      </c>
      <c r="D18" s="30" t="inlineStr">
        <is>
          <t>🔶</t>
        </is>
      </c>
      <c r="E18" s="22" t="inlineStr">
        <is>
          <t>mortgage constant</t>
        </is>
      </c>
      <c r="F18" s="13" t="n"/>
      <c r="G18" s="13" t="n"/>
      <c r="H18" s="13" t="n"/>
      <c r="I18" s="13" t="n"/>
      <c r="J18" s="13" t="n"/>
      <c r="K18" s="13" t="n"/>
      <c r="L18" s="13" t="n"/>
      <c r="M18" s="14" t="n"/>
    </row>
    <row r="19">
      <c r="B19" s="11" t="inlineStr">
        <is>
          <t>GLOBAL — ACQUISITION COSTS  (→ Income Valuation Sources &amp; Uses)</t>
        </is>
      </c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3" t="n"/>
    </row>
    <row r="20" ht="15" customHeight="1">
      <c r="B20" s="15" t="inlineStr">
        <is>
          <t>Driver</t>
        </is>
      </c>
      <c r="C20" s="16" t="inlineStr">
        <is>
          <t>Input</t>
        </is>
      </c>
      <c r="D20" s="16" t="inlineStr">
        <is>
          <t>Flag</t>
        </is>
      </c>
      <c r="E20" s="15" t="inlineStr">
        <is>
          <t>Drives / note</t>
        </is>
      </c>
      <c r="F20" s="13" t="n"/>
      <c r="G20" s="13" t="n"/>
      <c r="H20" s="13" t="n"/>
      <c r="I20" s="13" t="n"/>
      <c r="J20" s="13" t="n"/>
      <c r="K20" s="13" t="n"/>
      <c r="L20" s="13" t="n"/>
      <c r="M20" s="14" t="n"/>
    </row>
    <row r="21" ht="15" customHeight="1">
      <c r="B21" s="12" t="inlineStr">
        <is>
          <t>Doc-stamp / transfer tax (% price)</t>
        </is>
      </c>
      <c r="C21" s="29" t="n">
        <v>0.007</v>
      </c>
      <c r="D21" s="30" t="inlineStr">
        <is>
          <t>🔶</t>
        </is>
      </c>
      <c r="E21" s="22" t="inlineStr">
        <is>
          <t>FL Broward $0.70/$100</t>
        </is>
      </c>
      <c r="F21" s="13" t="n"/>
      <c r="G21" s="13" t="n"/>
      <c r="H21" s="13" t="n"/>
      <c r="I21" s="13" t="n"/>
      <c r="J21" s="13" t="n"/>
      <c r="K21" s="13" t="n"/>
      <c r="L21" s="13" t="n"/>
      <c r="M21" s="14" t="n"/>
    </row>
    <row r="22" ht="15" customHeight="1">
      <c r="B22" s="12" t="inlineStr">
        <is>
          <t>Title insurance (% price)</t>
        </is>
      </c>
      <c r="C22" s="29" t="n">
        <v>0.005</v>
      </c>
      <c r="D22" s="30" t="inlineStr">
        <is>
          <t>🔶</t>
        </is>
      </c>
      <c r="E22" s="22" t="inlineStr">
        <is>
          <t>closing cost</t>
        </is>
      </c>
      <c r="F22" s="13" t="n"/>
      <c r="G22" s="13" t="n"/>
      <c r="H22" s="13" t="n"/>
      <c r="I22" s="13" t="n"/>
      <c r="J22" s="13" t="n"/>
      <c r="K22" s="13" t="n"/>
      <c r="L22" s="13" t="n"/>
      <c r="M22" s="14" t="n"/>
    </row>
    <row r="23" ht="15" customHeight="1">
      <c r="B23" s="12" t="inlineStr">
        <is>
          <t>Legal &amp; due diligence (% price)</t>
        </is>
      </c>
      <c r="C23" s="29" t="n">
        <v>0.004</v>
      </c>
      <c r="D23" s="30" t="inlineStr">
        <is>
          <t>🔶</t>
        </is>
      </c>
      <c r="E23" s="22" t="inlineStr">
        <is>
          <t>closing cost</t>
        </is>
      </c>
      <c r="F23" s="13" t="n"/>
      <c r="G23" s="13" t="n"/>
      <c r="H23" s="13" t="n"/>
      <c r="I23" s="13" t="n"/>
      <c r="J23" s="13" t="n"/>
      <c r="K23" s="13" t="n"/>
      <c r="L23" s="13" t="n"/>
      <c r="M23" s="14" t="n"/>
    </row>
    <row r="24" ht="15" customHeight="1">
      <c r="B24" s="12" t="inlineStr">
        <is>
          <t>Loan origination (% loan)</t>
        </is>
      </c>
      <c r="C24" s="29" t="n">
        <v>0.01</v>
      </c>
      <c r="D24" s="30" t="inlineStr">
        <is>
          <t>🔶</t>
        </is>
      </c>
      <c r="E24" s="22" t="inlineStr">
        <is>
          <t>financing cost → equity</t>
        </is>
      </c>
      <c r="F24" s="13" t="n"/>
      <c r="G24" s="13" t="n"/>
      <c r="H24" s="13" t="n"/>
      <c r="I24" s="13" t="n"/>
      <c r="J24" s="13" t="n"/>
      <c r="K24" s="13" t="n"/>
      <c r="L24" s="13" t="n"/>
      <c r="M24" s="14" t="n"/>
    </row>
    <row r="25">
      <c r="B25" s="11" t="inlineStr">
        <is>
          <t>GLOBAL — ASSEMBLAGE PREMIUM  (→ Assemblage / covered-land price)</t>
        </is>
      </c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3" t="n"/>
    </row>
    <row r="26" ht="15" customHeight="1">
      <c r="B26" s="15" t="inlineStr">
        <is>
          <t>Driver</t>
        </is>
      </c>
      <c r="C26" s="16" t="inlineStr">
        <is>
          <t>Input</t>
        </is>
      </c>
      <c r="D26" s="16" t="inlineStr">
        <is>
          <t>Flag</t>
        </is>
      </c>
      <c r="E26" s="15" t="inlineStr">
        <is>
          <t>Drives / note</t>
        </is>
      </c>
      <c r="F26" s="13" t="n"/>
      <c r="G26" s="13" t="n"/>
      <c r="H26" s="13" t="n"/>
      <c r="I26" s="13" t="n"/>
      <c r="J26" s="13" t="n"/>
      <c r="K26" s="13" t="n"/>
      <c r="L26" s="13" t="n"/>
      <c r="M26" s="14" t="n"/>
    </row>
    <row r="27" ht="15" customHeight="1">
      <c r="B27" s="12" t="inlineStr">
        <is>
          <t>Assemblage premium — low</t>
        </is>
      </c>
      <c r="C27" s="31" t="n">
        <v>0.15</v>
      </c>
      <c r="D27" s="30" t="inlineStr">
        <is>
          <t>🔶</t>
        </is>
      </c>
      <c r="E27" s="22" t="inlineStr">
        <is>
          <t>control-cost premium</t>
        </is>
      </c>
      <c r="F27" s="13" t="n"/>
      <c r="G27" s="13" t="n"/>
      <c r="H27" s="13" t="n"/>
      <c r="I27" s="13" t="n"/>
      <c r="J27" s="13" t="n"/>
      <c r="K27" s="13" t="n"/>
      <c r="L27" s="13" t="n"/>
      <c r="M27" s="14" t="n"/>
    </row>
    <row r="28" ht="15" customHeight="1">
      <c r="B28" s="12" t="inlineStr">
        <is>
          <t>Assemblage premium — base</t>
        </is>
      </c>
      <c r="C28" s="31" t="n">
        <v>0.2</v>
      </c>
      <c r="D28" s="30" t="inlineStr">
        <is>
          <t>🔶</t>
        </is>
      </c>
      <c r="E28" s="22" t="inlineStr">
        <is>
          <t>headline covered-land price</t>
        </is>
      </c>
      <c r="F28" s="13" t="n"/>
      <c r="G28" s="13" t="n"/>
      <c r="H28" s="13" t="n"/>
      <c r="I28" s="13" t="n"/>
      <c r="J28" s="13" t="n"/>
      <c r="K28" s="13" t="n"/>
      <c r="L28" s="13" t="n"/>
      <c r="M28" s="14" t="n"/>
    </row>
    <row r="29" ht="15" customHeight="1">
      <c r="B29" s="12" t="inlineStr">
        <is>
          <t>Assemblage premium — high</t>
        </is>
      </c>
      <c r="C29" s="31" t="n">
        <v>0.25</v>
      </c>
      <c r="D29" s="30" t="inlineStr">
        <is>
          <t>🔶</t>
        </is>
      </c>
      <c r="E29" s="22" t="inlineStr">
        <is>
          <t>aggressive case</t>
        </is>
      </c>
      <c r="F29" s="13" t="n"/>
      <c r="G29" s="13" t="n"/>
      <c r="H29" s="13" t="n"/>
      <c r="I29" s="13" t="n"/>
      <c r="J29" s="13" t="n"/>
      <c r="K29" s="13" t="n"/>
      <c r="L29" s="13" t="n"/>
      <c r="M29" s="14" t="n"/>
    </row>
    <row r="30">
      <c r="B30" s="11" t="inlineStr">
        <is>
          <t>GLOBAL — LAND &amp; REDEVELOPMENT (1040 Bayview)  (→ Land tab)</t>
        </is>
      </c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3" t="n"/>
    </row>
    <row r="31" ht="15" customHeight="1">
      <c r="B31" s="15" t="inlineStr">
        <is>
          <t>Driver</t>
        </is>
      </c>
      <c r="C31" s="16" t="inlineStr">
        <is>
          <t>Input</t>
        </is>
      </c>
      <c r="D31" s="16" t="inlineStr">
        <is>
          <t>Flag</t>
        </is>
      </c>
      <c r="E31" s="15" t="inlineStr">
        <is>
          <t>Drives / note</t>
        </is>
      </c>
      <c r="F31" s="13" t="n"/>
      <c r="G31" s="13" t="n"/>
      <c r="H31" s="13" t="n"/>
      <c r="I31" s="13" t="n"/>
      <c r="J31" s="13" t="n"/>
      <c r="K31" s="13" t="n"/>
      <c r="L31" s="13" t="n"/>
      <c r="M31" s="14" t="n"/>
    </row>
    <row r="32" ht="15" customHeight="1">
      <c r="B32" s="12" t="inlineStr">
        <is>
          <t>Entitlement lift (% uplift post-Live Local approval)</t>
        </is>
      </c>
      <c r="C32" s="31" t="n">
        <v>0.3</v>
      </c>
      <c r="D32" s="30" t="inlineStr">
        <is>
          <t>🔶</t>
        </is>
      </c>
      <c r="E32" s="22" t="inlineStr">
        <is>
          <t>assembled land value bump once entitled</t>
        </is>
      </c>
      <c r="F32" s="13" t="n"/>
      <c r="G32" s="13" t="n"/>
      <c r="H32" s="13" t="n"/>
      <c r="I32" s="13" t="n"/>
      <c r="J32" s="13" t="n"/>
      <c r="K32" s="13" t="n"/>
      <c r="L32" s="13" t="n"/>
      <c r="M32" s="14" t="n"/>
    </row>
    <row r="33" ht="15" customHeight="1">
      <c r="B33" s="12" t="inlineStr">
        <is>
          <t>Land value — low ($/SF)</t>
        </is>
      </c>
      <c r="C33" s="34" t="n">
        <v>64</v>
      </c>
      <c r="D33" s="30" t="inlineStr">
        <is>
          <t>🔶</t>
        </is>
      </c>
      <c r="E33" s="22" t="inlineStr">
        <is>
          <t>BCPA-implied floor</t>
        </is>
      </c>
      <c r="F33" s="13" t="n"/>
      <c r="G33" s="13" t="n"/>
      <c r="H33" s="13" t="n"/>
      <c r="I33" s="13" t="n"/>
      <c r="J33" s="13" t="n"/>
      <c r="K33" s="13" t="n"/>
      <c r="L33" s="13" t="n"/>
      <c r="M33" s="14" t="n"/>
    </row>
    <row r="34" ht="15" customHeight="1">
      <c r="B34" s="12" t="inlineStr">
        <is>
          <t>Land value — base ($/SF)</t>
        </is>
      </c>
      <c r="C34" s="34" t="n">
        <v>125</v>
      </c>
      <c r="D34" s="30" t="inlineStr">
        <is>
          <t>🔶</t>
        </is>
      </c>
      <c r="E34" s="22" t="inlineStr">
        <is>
          <t>mid-block corridor</t>
        </is>
      </c>
      <c r="F34" s="13" t="n"/>
      <c r="G34" s="13" t="n"/>
      <c r="H34" s="13" t="n"/>
      <c r="I34" s="13" t="n"/>
      <c r="J34" s="13" t="n"/>
      <c r="K34" s="13" t="n"/>
      <c r="L34" s="13" t="n"/>
      <c r="M34" s="14" t="n"/>
    </row>
    <row r="35" ht="15" customHeight="1">
      <c r="B35" s="12" t="inlineStr">
        <is>
          <t>Land value — high ($/SF)</t>
        </is>
      </c>
      <c r="C35" s="34" t="n">
        <v>200</v>
      </c>
      <c r="D35" s="30" t="inlineStr">
        <is>
          <t>🔶</t>
        </is>
      </c>
      <c r="E35" s="22" t="inlineStr">
        <is>
          <t>toward hard-corner comps</t>
        </is>
      </c>
      <c r="F35" s="13" t="n"/>
      <c r="G35" s="13" t="n"/>
      <c r="H35" s="13" t="n"/>
      <c r="I35" s="13" t="n"/>
      <c r="J35" s="13" t="n"/>
      <c r="K35" s="13" t="n"/>
      <c r="L35" s="13" t="n"/>
      <c r="M35" s="14" t="n"/>
    </row>
    <row r="36" ht="15" customHeight="1">
      <c r="B36" s="12" t="inlineStr">
        <is>
          <t>Per entitled unit — low ($)</t>
        </is>
      </c>
      <c r="C36" s="35" t="n">
        <v>40000</v>
      </c>
      <c r="D36" s="30" t="inlineStr">
        <is>
          <t>🔶</t>
        </is>
      </c>
      <c r="E36" s="22" t="inlineStr">
        <is>
          <t>259 units</t>
        </is>
      </c>
      <c r="F36" s="13" t="n"/>
      <c r="G36" s="13" t="n"/>
      <c r="H36" s="13" t="n"/>
      <c r="I36" s="13" t="n"/>
      <c r="J36" s="13" t="n"/>
      <c r="K36" s="13" t="n"/>
      <c r="L36" s="13" t="n"/>
      <c r="M36" s="14" t="n"/>
    </row>
    <row r="37" ht="15" customHeight="1">
      <c r="B37" s="12" t="inlineStr">
        <is>
          <t>Per entitled unit — base ($)</t>
        </is>
      </c>
      <c r="C37" s="35" t="n">
        <v>55000</v>
      </c>
      <c r="D37" s="30" t="inlineStr">
        <is>
          <t>🔶</t>
        </is>
      </c>
      <c r="E37" s="22" t="inlineStr">
        <is>
          <t>entitled-land value</t>
        </is>
      </c>
      <c r="F37" s="13" t="n"/>
      <c r="G37" s="13" t="n"/>
      <c r="H37" s="13" t="n"/>
      <c r="I37" s="13" t="n"/>
      <c r="J37" s="13" t="n"/>
      <c r="K37" s="13" t="n"/>
      <c r="L37" s="13" t="n"/>
      <c r="M37" s="14" t="n"/>
    </row>
    <row r="38" ht="15" customHeight="1">
      <c r="B38" s="12" t="inlineStr">
        <is>
          <t>Per entitled unit — high ($)</t>
        </is>
      </c>
      <c r="C38" s="35" t="n">
        <v>70000</v>
      </c>
      <c r="D38" s="30" t="inlineStr">
        <is>
          <t>🔶</t>
        </is>
      </c>
      <c r="E38" s="22" t="inlineStr">
        <is>
          <t>strong entitlement</t>
        </is>
      </c>
      <c r="F38" s="13" t="n"/>
      <c r="G38" s="13" t="n"/>
      <c r="H38" s="13" t="n"/>
      <c r="I38" s="13" t="n"/>
      <c r="J38" s="13" t="n"/>
      <c r="K38" s="13" t="n"/>
      <c r="L38" s="13" t="n"/>
      <c r="M38" s="14" t="n"/>
    </row>
    <row r="39" ht="15" customHeight="1">
      <c r="B39" s="12" t="inlineStr">
        <is>
          <t>Achievable value per unit ($)</t>
        </is>
      </c>
      <c r="C39" s="35" t="n">
        <v>600000</v>
      </c>
      <c r="D39" s="30" t="inlineStr">
        <is>
          <t>🔶</t>
        </is>
      </c>
      <c r="E39" s="22" t="inlineStr">
        <is>
          <t>sellout / cap'd rental</t>
        </is>
      </c>
      <c r="F39" s="13" t="n"/>
      <c r="G39" s="13" t="n"/>
      <c r="H39" s="13" t="n"/>
      <c r="I39" s="13" t="n"/>
      <c r="J39" s="13" t="n"/>
      <c r="K39" s="13" t="n"/>
      <c r="L39" s="13" t="n"/>
      <c r="M39" s="14" t="n"/>
    </row>
    <row r="40" ht="15" customHeight="1">
      <c r="B40" s="12" t="inlineStr">
        <is>
          <t>Hard cost ($/GBA SF)</t>
        </is>
      </c>
      <c r="C40" s="34" t="n">
        <v>500</v>
      </c>
      <c r="D40" s="30" t="inlineStr">
        <is>
          <t>🔶</t>
        </is>
      </c>
      <c r="E40" s="22" t="inlineStr">
        <is>
          <t>AE-zone coastal</t>
        </is>
      </c>
      <c r="F40" s="13" t="n"/>
      <c r="G40" s="13" t="n"/>
      <c r="H40" s="13" t="n"/>
      <c r="I40" s="13" t="n"/>
      <c r="J40" s="13" t="n"/>
      <c r="K40" s="13" t="n"/>
      <c r="L40" s="13" t="n"/>
      <c r="M40" s="14" t="n"/>
    </row>
    <row r="41" ht="15" customHeight="1">
      <c r="B41" s="12" t="inlineStr">
        <is>
          <t>GBA per unit (SF)</t>
        </is>
      </c>
      <c r="C41" s="36" t="n">
        <v>950</v>
      </c>
      <c r="D41" s="30" t="inlineStr">
        <is>
          <t>🔶</t>
        </is>
      </c>
      <c r="E41" s="22" t="inlineStr">
        <is>
          <t>gross buildable/unit</t>
        </is>
      </c>
      <c r="F41" s="13" t="n"/>
      <c r="G41" s="13" t="n"/>
      <c r="H41" s="13" t="n"/>
      <c r="I41" s="13" t="n"/>
      <c r="J41" s="13" t="n"/>
      <c r="K41" s="13" t="n"/>
      <c r="L41" s="13" t="n"/>
      <c r="M41" s="14" t="n"/>
    </row>
    <row r="42" ht="15" customHeight="1">
      <c r="B42" s="12" t="inlineStr">
        <is>
          <t>Soft cost (% hard)</t>
        </is>
      </c>
      <c r="C42" s="31" t="n">
        <v>0.2</v>
      </c>
      <c r="D42" s="30" t="inlineStr">
        <is>
          <t>🔶</t>
        </is>
      </c>
      <c r="E42" s="22" t="inlineStr">
        <is>
          <t>A&amp;E, financing, fees</t>
        </is>
      </c>
      <c r="F42" s="13" t="n"/>
      <c r="G42" s="13" t="n"/>
      <c r="H42" s="13" t="n"/>
      <c r="I42" s="13" t="n"/>
      <c r="J42" s="13" t="n"/>
      <c r="K42" s="13" t="n"/>
      <c r="L42" s="13" t="n"/>
      <c r="M42" s="14" t="n"/>
    </row>
    <row r="43" ht="15" customHeight="1">
      <c r="B43" s="12" t="inlineStr">
        <is>
          <t>Developer profit (% GDV)</t>
        </is>
      </c>
      <c r="C43" s="31" t="n">
        <v>0.15</v>
      </c>
      <c r="D43" s="30" t="inlineStr">
        <is>
          <t>🔶</t>
        </is>
      </c>
      <c r="E43" s="22" t="inlineStr">
        <is>
          <t>required margin</t>
        </is>
      </c>
      <c r="F43" s="13" t="n"/>
      <c r="G43" s="13" t="n"/>
      <c r="H43" s="13" t="n"/>
      <c r="I43" s="13" t="n"/>
      <c r="J43" s="13" t="n"/>
      <c r="K43" s="13" t="n"/>
      <c r="L43" s="13" t="n"/>
      <c r="M43" s="14" t="n"/>
    </row>
    <row r="44"/>
    <row r="45">
      <c r="B45" s="11" t="inlineStr">
        <is>
          <t>PER-ASSET INPUTS  —  value drivers &amp; OPERATING EXPENSES  (each asset tab reads these)</t>
        </is>
      </c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3" t="n"/>
    </row>
    <row r="46" ht="15" customHeight="1">
      <c r="B46" s="15" t="inlineStr">
        <is>
          <t>Shahidi Retail (Galleria Plaza) — NNN retail  ✅ verified parcel</t>
        </is>
      </c>
      <c r="C46" s="13" t="n"/>
      <c r="D46" s="13" t="n"/>
      <c r="E46" s="13" t="n"/>
      <c r="F46" s="13" t="n"/>
      <c r="G46" s="13" t="n"/>
      <c r="H46" s="13" t="n"/>
      <c r="I46" s="13" t="n"/>
      <c r="J46" s="13" t="n"/>
      <c r="K46" s="13" t="n"/>
      <c r="L46" s="13" t="n"/>
      <c r="M46" s="14" t="n"/>
    </row>
    <row r="47" ht="15" customHeight="1">
      <c r="B47" s="12" t="inlineStr">
        <is>
          <t xml:space="preserve">   Purchase price / basis</t>
        </is>
      </c>
      <c r="C47" s="37" t="n">
        <v>17100000</v>
      </c>
    </row>
    <row r="48" ht="15" customHeight="1">
      <c r="B48" s="12" t="inlineStr">
        <is>
          <t xml:space="preserve">   Land (SF)</t>
        </is>
      </c>
      <c r="C48" s="36" t="n">
        <v>67080</v>
      </c>
    </row>
    <row r="49" ht="15" customHeight="1">
      <c r="B49" s="12" t="inlineStr">
        <is>
          <t xml:space="preserve">   Land value ($/SF)</t>
        </is>
      </c>
      <c r="C49" s="34" t="n">
        <v>254.92</v>
      </c>
    </row>
    <row r="50" ht="15" customHeight="1">
      <c r="B50" s="12" t="inlineStr">
        <is>
          <t xml:space="preserve">   Market rent ($/SF NNN)</t>
        </is>
      </c>
      <c r="C50" s="34" t="n">
        <v>55</v>
      </c>
    </row>
    <row r="51" ht="15" customHeight="1">
      <c r="B51" s="12" t="inlineStr">
        <is>
          <t xml:space="preserve">   In-place occupancy</t>
        </is>
      </c>
      <c r="C51" s="31" t="n">
        <v>0.8317</v>
      </c>
    </row>
    <row r="52" ht="15" customHeight="1">
      <c r="B52" s="12" t="inlineStr">
        <is>
          <t xml:space="preserve">   Stabilized occupancy</t>
        </is>
      </c>
      <c r="C52" s="31" t="n">
        <v>0.95</v>
      </c>
    </row>
    <row r="53" ht="15" customHeight="1">
      <c r="B53" s="12" t="inlineStr">
        <is>
          <t xml:space="preserve">   Insurance ($/yr)</t>
        </is>
      </c>
      <c r="C53" s="35" t="n">
        <v>65000</v>
      </c>
    </row>
    <row r="54" ht="15" customHeight="1">
      <c r="B54" s="12" t="inlineStr">
        <is>
          <t xml:space="preserve">   CAM ($/yr, recoverable)</t>
        </is>
      </c>
      <c r="C54" s="35" t="n">
        <v>55000</v>
      </c>
    </row>
    <row r="55" ht="15" customHeight="1">
      <c r="B55" s="12" t="inlineStr">
        <is>
          <t xml:space="preserve">   Repairs &amp; maintenance ($/yr)</t>
        </is>
      </c>
      <c r="C55" s="35" t="n">
        <v>40000</v>
      </c>
    </row>
    <row r="56" ht="15" customHeight="1">
      <c r="B56" s="12" t="inlineStr">
        <is>
          <t xml:space="preserve">   Management fee (% EGR)</t>
        </is>
      </c>
      <c r="C56" s="31" t="n">
        <v>0.04</v>
      </c>
    </row>
    <row r="57" ht="15" customHeight="1">
      <c r="B57" s="12" t="inlineStr">
        <is>
          <t xml:space="preserve">   Going-in cap</t>
        </is>
      </c>
      <c r="C57" s="29" t="n">
        <v>0.06</v>
      </c>
    </row>
    <row r="58" ht="15" customHeight="1">
      <c r="B58" s="12" t="inlineStr">
        <is>
          <t xml:space="preserve">   Exit cap</t>
        </is>
      </c>
      <c r="C58" s="29" t="n">
        <v>0.06</v>
      </c>
    </row>
    <row r="59" ht="15" customHeight="1">
      <c r="B59" s="12" t="inlineStr">
        <is>
          <t xml:space="preserve">   Senior LTV</t>
        </is>
      </c>
      <c r="C59" s="31" t="n">
        <v>0.65</v>
      </c>
    </row>
    <row r="60" ht="15" customHeight="1">
      <c r="B60" s="12" t="inlineStr">
        <is>
          <t xml:space="preserve">   Senior rate</t>
        </is>
      </c>
      <c r="C60" s="29" t="n">
        <v>0.0675</v>
      </c>
    </row>
    <row r="61"/>
    <row r="62" ht="15" customHeight="1">
      <c r="B62" s="15" t="inlineStr">
        <is>
          <t>Publix + Starbucks — SALE-LEASEBACK (acquire fee, lease back during entitlement)  ✅ verified parcel</t>
        </is>
      </c>
      <c r="C62" s="13" t="n"/>
      <c r="D62" s="13" t="n"/>
      <c r="E62" s="13" t="n"/>
      <c r="F62" s="13" t="n"/>
      <c r="G62" s="13" t="n"/>
      <c r="H62" s="13" t="n"/>
      <c r="I62" s="13" t="n"/>
      <c r="J62" s="13" t="n"/>
      <c r="K62" s="13" t="n"/>
      <c r="L62" s="13" t="n"/>
      <c r="M62" s="14" t="n"/>
    </row>
    <row r="63" ht="15" customHeight="1">
      <c r="B63" s="12" t="inlineStr">
        <is>
          <t xml:space="preserve">   SLB acquisition price (fee)</t>
        </is>
      </c>
      <c r="C63" s="37" t="n">
        <v>25000000</v>
      </c>
    </row>
    <row r="64" ht="15" customHeight="1">
      <c r="B64" s="12" t="inlineStr">
        <is>
          <t xml:space="preserve">   Land (SF)</t>
        </is>
      </c>
      <c r="C64" s="36" t="n">
        <v>109791</v>
      </c>
    </row>
    <row r="65" ht="15" customHeight="1">
      <c r="B65" s="12" t="inlineStr">
        <is>
          <t xml:space="preserve">   Land value ($/SF)</t>
        </is>
      </c>
      <c r="C65" s="34" t="n">
        <v>227.75</v>
      </c>
    </row>
    <row r="66" ht="15" customHeight="1">
      <c r="B66" s="12" t="inlineStr">
        <is>
          <t xml:space="preserve">   Publix leaseback rent ($/SF NNN)</t>
        </is>
      </c>
      <c r="C66" s="34" t="n">
        <v>22</v>
      </c>
    </row>
    <row r="67" ht="15" customHeight="1">
      <c r="B67" s="12" t="inlineStr">
        <is>
          <t xml:space="preserve">   Publix leaseback SF</t>
        </is>
      </c>
      <c r="C67" s="36" t="n">
        <v>34622</v>
      </c>
    </row>
    <row r="68" ht="15" customHeight="1">
      <c r="B68" s="12" t="inlineStr">
        <is>
          <t xml:space="preserve">   Starbucks pad rent ($/SF NNN)</t>
        </is>
      </c>
      <c r="C68" s="34" t="n">
        <v>60</v>
      </c>
    </row>
    <row r="69" ht="15" customHeight="1">
      <c r="B69" s="12" t="inlineStr">
        <is>
          <t xml:space="preserve">   Starbucks pad SF</t>
        </is>
      </c>
      <c r="C69" s="36" t="n">
        <v>2200</v>
      </c>
    </row>
    <row r="70" ht="15" customHeight="1">
      <c r="B70" s="12" t="inlineStr">
        <is>
          <t xml:space="preserve">   Leaseback term / entitlement (yrs)</t>
        </is>
      </c>
      <c r="C70" s="32" t="n">
        <v>4</v>
      </c>
    </row>
    <row r="71" ht="15" customHeight="1">
      <c r="B71" s="12" t="inlineStr">
        <is>
          <t xml:space="preserve">   In-place occupancy</t>
        </is>
      </c>
      <c r="C71" s="31" t="n">
        <v>1</v>
      </c>
    </row>
    <row r="72" ht="15" customHeight="1">
      <c r="B72" s="12" t="inlineStr">
        <is>
          <t xml:space="preserve">   Stabilized occupancy</t>
        </is>
      </c>
      <c r="C72" s="31" t="n">
        <v>1</v>
      </c>
    </row>
    <row r="73" ht="15" customHeight="1">
      <c r="B73" s="12" t="inlineStr">
        <is>
          <t xml:space="preserve">   Insurance ($/yr)</t>
        </is>
      </c>
      <c r="C73" s="35" t="n">
        <v>45000</v>
      </c>
    </row>
    <row r="74" ht="15" customHeight="1">
      <c r="B74" s="12" t="inlineStr">
        <is>
          <t xml:space="preserve">   CAM ($/yr, recoverable)</t>
        </is>
      </c>
      <c r="C74" s="35" t="n">
        <v>35000</v>
      </c>
    </row>
    <row r="75" ht="15" customHeight="1">
      <c r="B75" s="12" t="inlineStr">
        <is>
          <t xml:space="preserve">   Repairs &amp; maintenance ($/yr)</t>
        </is>
      </c>
      <c r="C75" s="35" t="n">
        <v>25000</v>
      </c>
    </row>
    <row r="76" ht="15" customHeight="1">
      <c r="B76" s="12" t="inlineStr">
        <is>
          <t xml:space="preserve">   Management fee (% EGR)</t>
        </is>
      </c>
      <c r="C76" s="31" t="n">
        <v>0.02</v>
      </c>
    </row>
    <row r="77" ht="15" customHeight="1">
      <c r="B77" s="12" t="inlineStr">
        <is>
          <t xml:space="preserve">   Going-in cap (reference)</t>
        </is>
      </c>
      <c r="C77" s="29" t="n">
        <v>0.06</v>
      </c>
    </row>
    <row r="78" ht="15" customHeight="1">
      <c r="B78" s="12" t="inlineStr">
        <is>
          <t xml:space="preserve">   Exit cap</t>
        </is>
      </c>
      <c r="C78" s="29" t="n">
        <v>0.0625</v>
      </c>
    </row>
    <row r="79" ht="15" customHeight="1">
      <c r="B79" s="12" t="inlineStr">
        <is>
          <t xml:space="preserve">   Senior LTV (covered-land, conservative)</t>
        </is>
      </c>
      <c r="C79" s="31" t="n">
        <v>0.45</v>
      </c>
    </row>
    <row r="80" ht="15" customHeight="1">
      <c r="B80" s="12" t="inlineStr">
        <is>
          <t xml:space="preserve">   Senior rate</t>
        </is>
      </c>
      <c r="C80" s="29" t="n">
        <v>0.0625</v>
      </c>
    </row>
    <row r="81"/>
    <row r="82" ht="15" customHeight="1">
      <c r="B82" s="15" t="inlineStr">
        <is>
          <t>Sunrise Plaza (Kar Luen) — value-add retail  ⚠️ reported parcel</t>
        </is>
      </c>
      <c r="C82" s="13" t="n"/>
      <c r="D82" s="13" t="n"/>
      <c r="E82" s="13" t="n"/>
      <c r="F82" s="13" t="n"/>
      <c r="G82" s="13" t="n"/>
      <c r="H82" s="13" t="n"/>
      <c r="I82" s="13" t="n"/>
      <c r="J82" s="13" t="n"/>
      <c r="K82" s="13" t="n"/>
      <c r="L82" s="13" t="n"/>
      <c r="M82" s="14" t="n"/>
    </row>
    <row r="83" ht="15" customHeight="1">
      <c r="B83" s="12" t="inlineStr">
        <is>
          <t xml:space="preserve">   Purchase price / basis</t>
        </is>
      </c>
      <c r="C83" s="37" t="n">
        <v>8500000</v>
      </c>
    </row>
    <row r="84" ht="15" customHeight="1">
      <c r="B84" s="12" t="inlineStr">
        <is>
          <t xml:space="preserve">   Land (SF)</t>
        </is>
      </c>
      <c r="C84" s="36" t="n">
        <v>30928</v>
      </c>
    </row>
    <row r="85" ht="15" customHeight="1">
      <c r="B85" s="12" t="inlineStr">
        <is>
          <t xml:space="preserve">   Land value ($/SF)</t>
        </is>
      </c>
      <c r="C85" s="34" t="n">
        <v>248</v>
      </c>
    </row>
    <row r="86" ht="15" customHeight="1">
      <c r="B86" s="12" t="inlineStr">
        <is>
          <t xml:space="preserve">   Market rent ($/SF NNN)</t>
        </is>
      </c>
      <c r="C86" s="34" t="n">
        <v>34</v>
      </c>
    </row>
    <row r="87" ht="15" customHeight="1">
      <c r="B87" s="12" t="inlineStr">
        <is>
          <t xml:space="preserve">   In-place occupancy</t>
        </is>
      </c>
      <c r="C87" s="31" t="n">
        <v>0.801</v>
      </c>
    </row>
    <row r="88" ht="15" customHeight="1">
      <c r="B88" s="12" t="inlineStr">
        <is>
          <t xml:space="preserve">   Stabilized occupancy</t>
        </is>
      </c>
      <c r="C88" s="31" t="n">
        <v>0.95</v>
      </c>
    </row>
    <row r="89" ht="15" customHeight="1">
      <c r="B89" s="12" t="inlineStr">
        <is>
          <t xml:space="preserve">   Insurance ($/yr)</t>
        </is>
      </c>
      <c r="C89" s="35" t="n">
        <v>40000</v>
      </c>
    </row>
    <row r="90" ht="15" customHeight="1">
      <c r="B90" s="12" t="inlineStr">
        <is>
          <t xml:space="preserve">   CAM ($/yr, recoverable)</t>
        </is>
      </c>
      <c r="C90" s="35" t="n">
        <v>40000</v>
      </c>
    </row>
    <row r="91" ht="15" customHeight="1">
      <c r="B91" s="12" t="inlineStr">
        <is>
          <t xml:space="preserve">   Repairs &amp; maintenance ($/yr)</t>
        </is>
      </c>
      <c r="C91" s="35" t="n">
        <v>30000</v>
      </c>
    </row>
    <row r="92" ht="15" customHeight="1">
      <c r="B92" s="12" t="inlineStr">
        <is>
          <t xml:space="preserve">   Management fee (% EGR)</t>
        </is>
      </c>
      <c r="C92" s="31" t="n">
        <v>0.04</v>
      </c>
    </row>
    <row r="93" ht="15" customHeight="1">
      <c r="B93" s="12" t="inlineStr">
        <is>
          <t xml:space="preserve">   Going-in cap</t>
        </is>
      </c>
      <c r="C93" s="29" t="n">
        <v>0.075</v>
      </c>
    </row>
    <row r="94" ht="15" customHeight="1">
      <c r="B94" s="12" t="inlineStr">
        <is>
          <t xml:space="preserve">   Exit cap</t>
        </is>
      </c>
      <c r="C94" s="29" t="n">
        <v>0.0775</v>
      </c>
    </row>
    <row r="95" ht="15" customHeight="1">
      <c r="B95" s="12" t="inlineStr">
        <is>
          <t xml:space="preserve">   Senior LTV</t>
        </is>
      </c>
      <c r="C95" s="31" t="n">
        <v>0.6</v>
      </c>
    </row>
    <row r="96" ht="15" customHeight="1">
      <c r="B96" s="12" t="inlineStr">
        <is>
          <t xml:space="preserve">   Senior rate</t>
        </is>
      </c>
      <c r="C96" s="29" t="n">
        <v>0.075</v>
      </c>
    </row>
    <row r="97"/>
    <row r="98" ht="15" customHeight="1">
      <c r="B98" s="15" t="inlineStr">
        <is>
          <t>Galleria Corporate Centre — office, Modified Gross  ⚠️ reported parcel</t>
        </is>
      </c>
      <c r="C98" s="13" t="n"/>
      <c r="D98" s="13" t="n"/>
      <c r="E98" s="13" t="n"/>
      <c r="F98" s="13" t="n"/>
      <c r="G98" s="13" t="n"/>
      <c r="H98" s="13" t="n"/>
      <c r="I98" s="13" t="n"/>
      <c r="J98" s="13" t="n"/>
      <c r="K98" s="13" t="n"/>
      <c r="L98" s="13" t="n"/>
      <c r="M98" s="14" t="n"/>
    </row>
    <row r="99" ht="15" customHeight="1">
      <c r="B99" s="12" t="inlineStr">
        <is>
          <t xml:space="preserve">   Acquisition basis</t>
        </is>
      </c>
      <c r="C99" s="37" t="n">
        <v>21700000</v>
      </c>
    </row>
    <row r="100" ht="15" customHeight="1">
      <c r="B100" s="12" t="inlineStr">
        <is>
          <t xml:space="preserve">   Market rent ($/SF MG)</t>
        </is>
      </c>
      <c r="C100" s="34" t="n">
        <v>26</v>
      </c>
    </row>
    <row r="101" ht="15" customHeight="1">
      <c r="B101" s="12" t="inlineStr">
        <is>
          <t xml:space="preserve">   In-place occupancy</t>
        </is>
      </c>
      <c r="C101" s="31" t="n">
        <v>0.85</v>
      </c>
    </row>
    <row r="102" ht="15" customHeight="1">
      <c r="B102" s="12" t="inlineStr">
        <is>
          <t xml:space="preserve">   Stabilized occupancy</t>
        </is>
      </c>
      <c r="C102" s="31" t="n">
        <v>0.88</v>
      </c>
    </row>
    <row r="103" ht="15" customHeight="1">
      <c r="B103" s="12" t="inlineStr">
        <is>
          <t xml:space="preserve">   Office opex ex-taxes ($/SF, landlord)</t>
        </is>
      </c>
      <c r="C103" s="34" t="n">
        <v>8</v>
      </c>
    </row>
    <row r="104" ht="15" customHeight="1">
      <c r="B104" s="12" t="inlineStr">
        <is>
          <t xml:space="preserve">   Management fee (% EGR)</t>
        </is>
      </c>
      <c r="C104" s="31" t="n">
        <v>0.03</v>
      </c>
    </row>
    <row r="105" ht="15" customHeight="1">
      <c r="B105" s="12" t="inlineStr">
        <is>
          <t xml:space="preserve">   Going-in cap</t>
        </is>
      </c>
      <c r="C105" s="29" t="n">
        <v>0.08</v>
      </c>
    </row>
    <row r="106" ht="15" customHeight="1">
      <c r="B106" s="12" t="inlineStr">
        <is>
          <t xml:space="preserve">   Exit cap</t>
        </is>
      </c>
      <c r="C106" s="29" t="n">
        <v>0.0825</v>
      </c>
    </row>
    <row r="107" ht="15" customHeight="1">
      <c r="B107" s="12" t="inlineStr">
        <is>
          <t xml:space="preserve">   Senior LTV</t>
        </is>
      </c>
      <c r="C107" s="31" t="n">
        <v>0.55</v>
      </c>
    </row>
    <row r="108" ht="15" customHeight="1">
      <c r="B108" s="12" t="inlineStr">
        <is>
          <t xml:space="preserve">   Senior rate</t>
        </is>
      </c>
      <c r="C108" s="29" t="n">
        <v>0.075</v>
      </c>
    </row>
    <row r="109"/>
    <row r="110" ht="15" customHeight="1">
      <c r="B110" s="15" t="inlineStr">
        <is>
          <t>1040 Bayview — covered land (interim office)  ⚠️ reported parcel</t>
        </is>
      </c>
      <c r="C110" s="13" t="n"/>
      <c r="D110" s="13" t="n"/>
      <c r="E110" s="13" t="n"/>
      <c r="F110" s="13" t="n"/>
      <c r="G110" s="13" t="n"/>
      <c r="H110" s="13" t="n"/>
      <c r="I110" s="13" t="n"/>
      <c r="J110" s="13" t="n"/>
      <c r="K110" s="13" t="n"/>
      <c r="L110" s="13" t="n"/>
      <c r="M110" s="14" t="n"/>
    </row>
    <row r="111" ht="15" customHeight="1">
      <c r="B111" s="12" t="inlineStr">
        <is>
          <t xml:space="preserve">   Acquisition basis (entitled land)</t>
        </is>
      </c>
      <c r="C111" s="37" t="n">
        <v>13000000</v>
      </c>
    </row>
    <row r="112" ht="15" customHeight="1">
      <c r="B112" s="12" t="inlineStr">
        <is>
          <t xml:space="preserve">   Interim office occupancy</t>
        </is>
      </c>
      <c r="C112" s="31" t="n">
        <v>0.72</v>
      </c>
    </row>
    <row r="113" ht="15" customHeight="1">
      <c r="B113" s="12" t="inlineStr">
        <is>
          <t xml:space="preserve">   Interim office rent ($/SF MG)</t>
        </is>
      </c>
      <c r="C113" s="34" t="n">
        <v>23</v>
      </c>
    </row>
    <row r="114" ht="15" customHeight="1">
      <c r="B114" s="12" t="inlineStr">
        <is>
          <t xml:space="preserve">   Interim office opex ($/SF)</t>
        </is>
      </c>
      <c r="C114" s="34" t="n">
        <v>8</v>
      </c>
    </row>
    <row r="115" ht="15" customHeight="1">
      <c r="B115" s="12" t="inlineStr">
        <is>
          <t xml:space="preserve">   Management fee (% EGR)</t>
        </is>
      </c>
      <c r="C115" s="31" t="n">
        <v>0.03</v>
      </c>
    </row>
    <row r="116" ht="15" customHeight="1">
      <c r="B116" s="12" t="inlineStr">
        <is>
          <t xml:space="preserve">   Land loan LTV</t>
        </is>
      </c>
      <c r="C116" s="31" t="n">
        <v>0.4</v>
      </c>
    </row>
    <row r="117" ht="15" customHeight="1">
      <c r="B117" s="12" t="inlineStr">
        <is>
          <t xml:space="preserve">   Land loan rate</t>
        </is>
      </c>
      <c r="C117" s="29" t="n">
        <v>0.08500000000000001</v>
      </c>
    </row>
    <row r="118"/>
    <row r="119">
      <c r="B119" s="11" t="inlineStr">
        <is>
          <t>DATA-GAP REGISTER  —  reported figures to verify at BCPA (shown live from source)</t>
        </is>
      </c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3" t="n"/>
    </row>
    <row r="120" ht="15" customHeight="1">
      <c r="B120" s="15" t="inlineStr">
        <is>
          <t>Figure</t>
        </is>
      </c>
      <c r="C120" s="16" t="inlineStr">
        <is>
          <t>Current</t>
        </is>
      </c>
      <c r="D120" s="16" t="inlineStr">
        <is>
          <t>Flag</t>
        </is>
      </c>
      <c r="E120" s="15" t="inlineStr">
        <is>
          <t>Lives on</t>
        </is>
      </c>
      <c r="F120" s="13" t="n"/>
      <c r="G120" s="13" t="n"/>
      <c r="H120" s="13" t="n"/>
      <c r="I120" s="13" t="n"/>
      <c r="J120" s="13" t="n"/>
      <c r="K120" s="13" t="n"/>
      <c r="L120" s="13" t="n"/>
      <c r="M120" s="14" t="n"/>
    </row>
    <row r="121" ht="15" customHeight="1">
      <c r="B121" s="12" t="inlineStr">
        <is>
          <t>Sunrise Plaza — value / basis</t>
        </is>
      </c>
      <c r="C121" s="38">
        <f>'Assumptions'!C83</f>
        <v/>
      </c>
      <c r="D121" s="30" t="inlineStr">
        <is>
          <t>⚠️</t>
        </is>
      </c>
      <c r="E121" s="22" t="inlineStr">
        <is>
          <t>Assumptions · Sunrise block</t>
        </is>
      </c>
      <c r="F121" s="13" t="n"/>
      <c r="G121" s="13" t="n"/>
      <c r="H121" s="13" t="n"/>
      <c r="I121" s="13" t="n"/>
      <c r="J121" s="13" t="n"/>
      <c r="K121" s="13" t="n"/>
      <c r="L121" s="13" t="n"/>
      <c r="M121" s="14" t="n"/>
    </row>
    <row r="122" ht="15" customHeight="1">
      <c r="B122" s="12" t="inlineStr">
        <is>
          <t>Sunrise Plaza — building SF</t>
        </is>
      </c>
      <c r="C122" s="39">
        <f>'Sunrise Plaza'!C27</f>
        <v/>
      </c>
      <c r="D122" s="30" t="inlineStr">
        <is>
          <t>⚠️</t>
        </is>
      </c>
      <c r="E122" s="22" t="inlineStr">
        <is>
          <t>Sunrise Plaza tab</t>
        </is>
      </c>
      <c r="F122" s="13" t="n"/>
      <c r="G122" s="13" t="n"/>
      <c r="H122" s="13" t="n"/>
      <c r="I122" s="13" t="n"/>
      <c r="J122" s="13" t="n"/>
      <c r="K122" s="13" t="n"/>
      <c r="L122" s="13" t="n"/>
      <c r="M122" s="14" t="n"/>
    </row>
    <row r="123" ht="15" customHeight="1">
      <c r="B123" s="12" t="inlineStr">
        <is>
          <t>Sunrise Plaza — land SF</t>
        </is>
      </c>
      <c r="C123" s="39">
        <f>'Assumptions'!C84</f>
        <v/>
      </c>
      <c r="D123" s="30" t="inlineStr">
        <is>
          <t>⚠️</t>
        </is>
      </c>
      <c r="E123" s="22" t="inlineStr">
        <is>
          <t>Assumptions · Sunrise block</t>
        </is>
      </c>
      <c r="F123" s="13" t="n"/>
      <c r="G123" s="13" t="n"/>
      <c r="H123" s="13" t="n"/>
      <c r="I123" s="13" t="n"/>
      <c r="J123" s="13" t="n"/>
      <c r="K123" s="13" t="n"/>
      <c r="L123" s="13" t="n"/>
      <c r="M123" s="14" t="n"/>
    </row>
    <row r="124" ht="15" customHeight="1">
      <c r="B124" s="12" t="inlineStr">
        <is>
          <t>Office — building SF</t>
        </is>
      </c>
      <c r="C124" s="39">
        <f>'Office Condo'!C17</f>
        <v/>
      </c>
      <c r="D124" s="30" t="inlineStr">
        <is>
          <t>⚠️</t>
        </is>
      </c>
      <c r="E124" s="22" t="inlineStr">
        <is>
          <t>Office Condo tab</t>
        </is>
      </c>
      <c r="F124" s="13" t="n"/>
      <c r="G124" s="13" t="n"/>
      <c r="H124" s="13" t="n"/>
      <c r="I124" s="13" t="n"/>
      <c r="J124" s="13" t="n"/>
      <c r="K124" s="13" t="n"/>
      <c r="L124" s="13" t="n"/>
      <c r="M124" s="14" t="n"/>
    </row>
    <row r="125" ht="15" customHeight="1">
      <c r="B125" s="12" t="inlineStr">
        <is>
          <t>Office — Main St Fund SF (57.4%)</t>
        </is>
      </c>
      <c r="C125" s="39">
        <f>'Office Condo'!D90</f>
        <v/>
      </c>
      <c r="D125" s="30" t="inlineStr">
        <is>
          <t>⚠️</t>
        </is>
      </c>
      <c r="E125" s="22" t="inlineStr">
        <is>
          <t>Office Condo tab</t>
        </is>
      </c>
      <c r="F125" s="13" t="n"/>
      <c r="G125" s="13" t="n"/>
      <c r="H125" s="13" t="n"/>
      <c r="I125" s="13" t="n"/>
      <c r="J125" s="13" t="n"/>
      <c r="K125" s="13" t="n"/>
      <c r="L125" s="13" t="n"/>
      <c r="M125" s="14" t="n"/>
    </row>
    <row r="126" ht="15" customHeight="1">
      <c r="B126" s="12" t="inlineStr">
        <is>
          <t>Office — Intl Sunrise SF (42.6%)</t>
        </is>
      </c>
      <c r="C126" s="39">
        <f>'Office Condo'!D91</f>
        <v/>
      </c>
      <c r="D126" s="30" t="inlineStr">
        <is>
          <t>⚠️</t>
        </is>
      </c>
      <c r="E126" s="22" t="inlineStr">
        <is>
          <t>Office Condo tab</t>
        </is>
      </c>
      <c r="F126" s="13" t="n"/>
      <c r="G126" s="13" t="n"/>
      <c r="H126" s="13" t="n"/>
      <c r="I126" s="13" t="n"/>
      <c r="J126" s="13" t="n"/>
      <c r="K126" s="13" t="n"/>
      <c r="L126" s="13" t="n"/>
      <c r="M126" s="14" t="n"/>
    </row>
    <row r="127" ht="15" customHeight="1">
      <c r="B127" s="12" t="inlineStr">
        <is>
          <t>Office — acquisition basis</t>
        </is>
      </c>
      <c r="C127" s="38">
        <f>'Assumptions'!C99</f>
        <v/>
      </c>
      <c r="D127" s="30" t="inlineStr">
        <is>
          <t>🔶</t>
        </is>
      </c>
      <c r="E127" s="22" t="inlineStr">
        <is>
          <t>Assumptions · Office block</t>
        </is>
      </c>
      <c r="F127" s="13" t="n"/>
      <c r="G127" s="13" t="n"/>
      <c r="H127" s="13" t="n"/>
      <c r="I127" s="13" t="n"/>
      <c r="J127" s="13" t="n"/>
      <c r="K127" s="13" t="n"/>
      <c r="L127" s="13" t="n"/>
      <c r="M127" s="14" t="n"/>
    </row>
    <row r="128" ht="15" customHeight="1">
      <c r="B128" s="12" t="inlineStr">
        <is>
          <t>1040 Bayview — land SF</t>
        </is>
      </c>
      <c r="C128" s="39">
        <f>'Land'!C15</f>
        <v/>
      </c>
      <c r="D128" s="30" t="inlineStr">
        <is>
          <t>⚠️</t>
        </is>
      </c>
      <c r="E128" s="22" t="inlineStr">
        <is>
          <t>Land tab</t>
        </is>
      </c>
      <c r="F128" s="13" t="n"/>
      <c r="G128" s="13" t="n"/>
      <c r="H128" s="13" t="n"/>
      <c r="I128" s="13" t="n"/>
      <c r="J128" s="13" t="n"/>
      <c r="K128" s="13" t="n"/>
      <c r="L128" s="13" t="n"/>
      <c r="M128" s="14" t="n"/>
    </row>
    <row r="129" ht="15" customHeight="1">
      <c r="B129" s="12" t="inlineStr">
        <is>
          <t>1040 Bayview — office SF</t>
        </is>
      </c>
      <c r="C129" s="39">
        <f>'Land'!C16</f>
        <v/>
      </c>
      <c r="D129" s="30" t="inlineStr">
        <is>
          <t>⚠️</t>
        </is>
      </c>
      <c r="E129" s="22" t="inlineStr">
        <is>
          <t>Land tab</t>
        </is>
      </c>
      <c r="F129" s="13" t="n"/>
      <c r="G129" s="13" t="n"/>
      <c r="H129" s="13" t="n"/>
      <c r="I129" s="13" t="n"/>
      <c r="J129" s="13" t="n"/>
      <c r="K129" s="13" t="n"/>
      <c r="L129" s="13" t="n"/>
      <c r="M129" s="14" t="n"/>
    </row>
    <row r="130" ht="15" customHeight="1">
      <c r="B130" s="12" t="inlineStr">
        <is>
          <t>1040 Bayview — entitled units</t>
        </is>
      </c>
      <c r="C130" s="39">
        <f>'Land'!C17</f>
        <v/>
      </c>
      <c r="D130" s="30" t="inlineStr">
        <is>
          <t>⚠️</t>
        </is>
      </c>
      <c r="E130" s="22" t="inlineStr">
        <is>
          <t>Land tab</t>
        </is>
      </c>
      <c r="F130" s="13" t="n"/>
      <c r="G130" s="13" t="n"/>
      <c r="H130" s="13" t="n"/>
      <c r="I130" s="13" t="n"/>
      <c r="J130" s="13" t="n"/>
      <c r="K130" s="13" t="n"/>
      <c r="L130" s="13" t="n"/>
      <c r="M130" s="14" t="n"/>
    </row>
    <row r="131" ht="15" customHeight="1">
      <c r="B131" s="12" t="inlineStr">
        <is>
          <t>1040 Bayview — BCPA value</t>
        </is>
      </c>
      <c r="C131" s="38">
        <f>'Land'!C18</f>
        <v/>
      </c>
      <c r="D131" s="30" t="inlineStr">
        <is>
          <t>⚠️</t>
        </is>
      </c>
      <c r="E131" s="22" t="inlineStr">
        <is>
          <t>Land tab</t>
        </is>
      </c>
      <c r="F131" s="13" t="n"/>
      <c r="G131" s="13" t="n"/>
      <c r="H131" s="13" t="n"/>
      <c r="I131" s="13" t="n"/>
      <c r="J131" s="13" t="n"/>
      <c r="K131" s="13" t="n"/>
      <c r="L131" s="13" t="n"/>
      <c r="M131" s="14" t="n"/>
    </row>
    <row r="132"/>
    <row r="133" ht="39" customHeight="1">
      <c r="B133" s="40" t="inlineStr">
        <is>
          <t>How to use</t>
        </is>
      </c>
      <c r="D133" s="40" t="inlineStr">
        <is>
          <t>Everything you tune is on THIS tab: global drivers up top, then a block per asset (price · rents · occupancy · operating expenses · caps · debt). Standard modeling params (rent/expense growth, TI/LC, reserves, closing detail) remain blue on each asset tab. ⚠️ = reported, verify at bcpa.net. Change any blue cell → the model recalculates.</t>
        </is>
      </c>
      <c r="E133" s="13" t="n"/>
      <c r="F133" s="13" t="n"/>
      <c r="G133" s="13" t="n"/>
      <c r="H133" s="13" t="n"/>
      <c r="I133" s="13" t="n"/>
      <c r="J133" s="13" t="n"/>
      <c r="K133" s="13" t="n"/>
      <c r="L133" s="13" t="n"/>
      <c r="M133" s="14" t="n"/>
    </row>
  </sheetData>
  <mergeCells count="62">
    <mergeCell ref="B2:M2"/>
    <mergeCell ref="E29:M29"/>
    <mergeCell ref="E128:M128"/>
    <mergeCell ref="E10:M10"/>
    <mergeCell ref="E28:M28"/>
    <mergeCell ref="B98:M98"/>
    <mergeCell ref="E13:M13"/>
    <mergeCell ref="E40:M40"/>
    <mergeCell ref="E9:M9"/>
    <mergeCell ref="E31:M31"/>
    <mergeCell ref="B1:M1"/>
    <mergeCell ref="B119:M119"/>
    <mergeCell ref="E34:M34"/>
    <mergeCell ref="B82:M82"/>
    <mergeCell ref="D133:M133"/>
    <mergeCell ref="E6:M6"/>
    <mergeCell ref="E15:M15"/>
    <mergeCell ref="E11:M11"/>
    <mergeCell ref="B19:M19"/>
    <mergeCell ref="E27:M27"/>
    <mergeCell ref="E36:M36"/>
    <mergeCell ref="E26:M26"/>
    <mergeCell ref="E124:M124"/>
    <mergeCell ref="E131:M131"/>
    <mergeCell ref="B30:M30"/>
    <mergeCell ref="E120:M120"/>
    <mergeCell ref="E16:M16"/>
    <mergeCell ref="E32:M32"/>
    <mergeCell ref="E7:M7"/>
    <mergeCell ref="E125:M125"/>
    <mergeCell ref="E41:M41"/>
    <mergeCell ref="E37:M37"/>
    <mergeCell ref="B45:M45"/>
    <mergeCell ref="E22:M22"/>
    <mergeCell ref="E18:M18"/>
    <mergeCell ref="B110:M110"/>
    <mergeCell ref="E21:M21"/>
    <mergeCell ref="B4:M4"/>
    <mergeCell ref="E43:M43"/>
    <mergeCell ref="E121:M121"/>
    <mergeCell ref="E130:M130"/>
    <mergeCell ref="B62:M62"/>
    <mergeCell ref="E24:M24"/>
    <mergeCell ref="B25:M25"/>
    <mergeCell ref="E33:M33"/>
    <mergeCell ref="E122:M122"/>
    <mergeCell ref="E129:M129"/>
    <mergeCell ref="E5:M5"/>
    <mergeCell ref="E23:M23"/>
    <mergeCell ref="E42:M42"/>
    <mergeCell ref="B46:M46"/>
    <mergeCell ref="E14:M14"/>
    <mergeCell ref="E127:M127"/>
    <mergeCell ref="E123:M123"/>
    <mergeCell ref="E17:M17"/>
    <mergeCell ref="E39:M39"/>
    <mergeCell ref="E8:M8"/>
    <mergeCell ref="E126:M126"/>
    <mergeCell ref="E35:M35"/>
    <mergeCell ref="B12:M12"/>
    <mergeCell ref="E20:M20"/>
    <mergeCell ref="E38:M38"/>
  </mergeCells>
  <printOptions horizontalCentered="1"/>
  <pageMargins left="0.3" right="0.3" top="0.4" bottom="0.4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tabColor rgb="00C9A84C"/>
    <outlinePr summaryBelow="1" summaryRight="1"/>
    <pageSetUpPr fitToPage="1"/>
  </sheetPr>
  <dimension ref="A1:M141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.5" customWidth="1" min="1" max="1"/>
    <col width="36" customWidth="1" min="2" max="2"/>
    <col width="14" customWidth="1" min="3" max="3"/>
    <col width="13" customWidth="1" min="4" max="4"/>
    <col width="14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</cols>
  <sheetData>
    <row r="1" ht="26" customHeight="1">
      <c r="B1" s="1" t="inlineStr">
        <is>
          <t>ASSEMBLAGE — INCOME VALUATION  (CONSOLIDATED CASH FLOWS)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3" t="n"/>
    </row>
    <row r="2" ht="31" customHeight="1">
      <c r="B2" s="4" t="inlineStr">
        <is>
          <t>Combine every asset's cash flow → value the block on the income it produces (as-is + stabilized + DCF) → contrast with the covered-land / highest-and-best-use price. Portfolio returns run off consolidated cash flows.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3" t="n"/>
    </row>
    <row r="3"/>
    <row r="4">
      <c r="B4" s="11" t="inlineStr">
        <is>
          <t>HOW THIS DIFFERS FROM THE HBU ASSEMBLAGE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3" t="n"/>
    </row>
    <row r="5" ht="15" customHeight="1">
      <c r="B5" s="12" t="inlineStr">
        <is>
          <t>The Assemblage tab prices the block on a highest-and-best-use / covered-land basis (land value + assemblage premium to control every</t>
        </is>
      </c>
      <c r="C5" s="13" t="n"/>
      <c r="D5" s="13" t="n"/>
      <c r="E5" s="13" t="n"/>
      <c r="F5" s="13" t="n"/>
      <c r="G5" s="13" t="n"/>
      <c r="H5" s="13" t="n"/>
      <c r="I5" s="13" t="n"/>
      <c r="J5" s="13" t="n"/>
      <c r="K5" s="13" t="n"/>
      <c r="L5" s="13" t="n"/>
      <c r="M5" s="14" t="n"/>
    </row>
    <row r="6" ht="15" customHeight="1">
      <c r="B6" s="12" t="inlineStr">
        <is>
          <t>parcel). This tab prices the SAME block on the income it produces. Income-producing real estate is worth the rent it throws off — which</t>
        </is>
      </c>
      <c r="C6" s="13" t="n"/>
      <c r="D6" s="13" t="n"/>
      <c r="E6" s="13" t="n"/>
      <c r="F6" s="13" t="n"/>
      <c r="G6" s="13" t="n"/>
      <c r="H6" s="13" t="n"/>
      <c r="I6" s="13" t="n"/>
      <c r="J6" s="13" t="n"/>
      <c r="K6" s="13" t="n"/>
      <c r="L6" s="13" t="n"/>
      <c r="M6" s="14" t="n"/>
    </row>
    <row r="7" ht="15" customHeight="1">
      <c r="B7" s="12" t="inlineStr">
        <is>
          <t>is less than the land-control price. Returns are computed by consolidating the actual cash flows and running one IRR (not by averaging</t>
        </is>
      </c>
      <c r="C7" s="13" t="n"/>
      <c r="D7" s="13" t="n"/>
      <c r="E7" s="13" t="n"/>
      <c r="F7" s="13" t="n"/>
      <c r="G7" s="13" t="n"/>
      <c r="H7" s="13" t="n"/>
      <c r="I7" s="13" t="n"/>
      <c r="J7" s="13" t="n"/>
      <c r="K7" s="13" t="n"/>
      <c r="L7" s="13" t="n"/>
      <c r="M7" s="14" t="n"/>
    </row>
    <row r="8" ht="15" customHeight="1">
      <c r="B8" s="12" t="inlineStr">
        <is>
          <t>asset IRRs, which is mathematically invalid). Debt is sized to the lesser of LTV / DSCR / debt-yield, the way a lender underwrites.</t>
        </is>
      </c>
      <c r="C8" s="13" t="n"/>
      <c r="D8" s="13" t="n"/>
      <c r="E8" s="13" t="n"/>
      <c r="F8" s="13" t="n"/>
      <c r="G8" s="13" t="n"/>
      <c r="H8" s="13" t="n"/>
      <c r="I8" s="13" t="n"/>
      <c r="J8" s="13" t="n"/>
      <c r="K8" s="13" t="n"/>
      <c r="L8" s="13" t="n"/>
      <c r="M8" s="14" t="n"/>
    </row>
    <row r="9"/>
    <row r="10">
      <c r="B10" s="11" t="inlineStr">
        <is>
          <t>CONSOLIDATED CASH FLOW  —  10-year annual  (🟢 links to each asset tab)</t>
        </is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3" t="n"/>
    </row>
    <row r="11" ht="15" customHeight="1">
      <c r="B11" s="15" t="inlineStr">
        <is>
          <t>Year</t>
        </is>
      </c>
      <c r="D11" s="41" t="n">
        <v>1</v>
      </c>
      <c r="E11" s="41" t="n">
        <v>2</v>
      </c>
      <c r="F11" s="41" t="n">
        <v>3</v>
      </c>
      <c r="G11" s="41" t="n">
        <v>4</v>
      </c>
      <c r="H11" s="41" t="n">
        <v>5</v>
      </c>
      <c r="I11" s="41" t="n">
        <v>6</v>
      </c>
      <c r="J11" s="41" t="n">
        <v>7</v>
      </c>
      <c r="K11" s="41" t="n">
        <v>8</v>
      </c>
      <c r="L11" s="41" t="n">
        <v>9</v>
      </c>
      <c r="M11" s="41" t="n">
        <v>10</v>
      </c>
    </row>
    <row r="12" ht="15" customHeight="1">
      <c r="B12" s="22" t="inlineStr">
        <is>
          <t>Year ending</t>
        </is>
      </c>
      <c r="D12" s="42" t="inlineStr">
        <is>
          <t>Dec-2027</t>
        </is>
      </c>
      <c r="E12" s="42" t="inlineStr">
        <is>
          <t>Dec-2028</t>
        </is>
      </c>
      <c r="F12" s="42" t="inlineStr">
        <is>
          <t>Dec-2029</t>
        </is>
      </c>
      <c r="G12" s="42" t="inlineStr">
        <is>
          <t>Dec-2030</t>
        </is>
      </c>
      <c r="H12" s="42" t="inlineStr">
        <is>
          <t>Dec-2031</t>
        </is>
      </c>
      <c r="I12" s="42" t="inlineStr">
        <is>
          <t>Dec-2032</t>
        </is>
      </c>
      <c r="J12" s="42" t="inlineStr">
        <is>
          <t>Dec-2033</t>
        </is>
      </c>
      <c r="K12" s="42" t="inlineStr">
        <is>
          <t>Dec-2034</t>
        </is>
      </c>
      <c r="L12" s="42" t="inlineStr">
        <is>
          <t>Dec-2035</t>
        </is>
      </c>
      <c r="M12" s="42" t="inlineStr">
        <is>
          <t>Dec-2036</t>
        </is>
      </c>
    </row>
    <row r="13" ht="15" customHeight="1">
      <c r="B13" s="15" t="inlineStr">
        <is>
          <t>NET OPERATING INCOME by asset</t>
        </is>
      </c>
      <c r="C13" s="13" t="n"/>
      <c r="D13" s="13" t="n"/>
      <c r="E13" s="13" t="n"/>
      <c r="F13" s="13" t="n"/>
      <c r="G13" s="13" t="n"/>
      <c r="H13" s="13" t="n"/>
      <c r="I13" s="13" t="n"/>
      <c r="J13" s="13" t="n"/>
      <c r="K13" s="13" t="n"/>
      <c r="L13" s="13" t="n"/>
      <c r="M13" s="14" t="n"/>
    </row>
    <row r="14" ht="15" customHeight="1">
      <c r="B14" s="12" t="inlineStr">
        <is>
          <t xml:space="preserve">  Shahidi Retail (Galleria Plaza)</t>
        </is>
      </c>
      <c r="D14" s="23">
        <f>'Shahidi Retail'!D100</f>
        <v/>
      </c>
      <c r="E14" s="17">
        <f>'Shahidi Retail'!E100</f>
        <v/>
      </c>
      <c r="F14" s="17">
        <f>'Shahidi Retail'!F100</f>
        <v/>
      </c>
      <c r="G14" s="17">
        <f>'Shahidi Retail'!G100</f>
        <v/>
      </c>
      <c r="H14" s="17">
        <f>'Shahidi Retail'!H100</f>
        <v/>
      </c>
      <c r="I14" s="17">
        <f>'Shahidi Retail'!I100</f>
        <v/>
      </c>
      <c r="J14" s="17">
        <f>'Shahidi Retail'!J100</f>
        <v/>
      </c>
      <c r="K14" s="17">
        <f>'Shahidi Retail'!K100</f>
        <v/>
      </c>
      <c r="L14" s="17">
        <f>'Shahidi Retail'!L100</f>
        <v/>
      </c>
      <c r="M14" s="17">
        <f>'Shahidi Retail'!M100</f>
        <v/>
      </c>
    </row>
    <row r="15" ht="15" customHeight="1">
      <c r="B15" s="12" t="inlineStr">
        <is>
          <t xml:space="preserve">  Publix + Starbucks</t>
        </is>
      </c>
      <c r="D15" s="23">
        <f>'Publix &amp; Starbucks'!D87</f>
        <v/>
      </c>
      <c r="E15" s="17">
        <f>'Publix &amp; Starbucks'!E87</f>
        <v/>
      </c>
      <c r="F15" s="17">
        <f>'Publix &amp; Starbucks'!F87</f>
        <v/>
      </c>
      <c r="G15" s="17">
        <f>'Publix &amp; Starbucks'!G87</f>
        <v/>
      </c>
      <c r="H15" s="17">
        <f>'Publix &amp; Starbucks'!H87</f>
        <v/>
      </c>
      <c r="I15" s="17">
        <f>'Publix &amp; Starbucks'!I87</f>
        <v/>
      </c>
      <c r="J15" s="17">
        <f>'Publix &amp; Starbucks'!J87</f>
        <v/>
      </c>
      <c r="K15" s="17">
        <f>'Publix &amp; Starbucks'!K87</f>
        <v/>
      </c>
      <c r="L15" s="17">
        <f>'Publix &amp; Starbucks'!L87</f>
        <v/>
      </c>
      <c r="M15" s="17">
        <f>'Publix &amp; Starbucks'!M87</f>
        <v/>
      </c>
    </row>
    <row r="16" ht="15" customHeight="1">
      <c r="B16" s="12" t="inlineStr">
        <is>
          <t xml:space="preserve">  Sunrise Plaza (Kar Luen)</t>
        </is>
      </c>
      <c r="D16" s="23">
        <f>'Sunrise Plaza'!D90</f>
        <v/>
      </c>
      <c r="E16" s="17">
        <f>'Sunrise Plaza'!E90</f>
        <v/>
      </c>
      <c r="F16" s="17">
        <f>'Sunrise Plaza'!F90</f>
        <v/>
      </c>
      <c r="G16" s="17">
        <f>'Sunrise Plaza'!G90</f>
        <v/>
      </c>
      <c r="H16" s="17">
        <f>'Sunrise Plaza'!H90</f>
        <v/>
      </c>
      <c r="I16" s="17">
        <f>'Sunrise Plaza'!I90</f>
        <v/>
      </c>
      <c r="J16" s="17">
        <f>'Sunrise Plaza'!J90</f>
        <v/>
      </c>
      <c r="K16" s="17">
        <f>'Sunrise Plaza'!K90</f>
        <v/>
      </c>
      <c r="L16" s="17">
        <f>'Sunrise Plaza'!L90</f>
        <v/>
      </c>
      <c r="M16" s="17">
        <f>'Sunrise Plaza'!M90</f>
        <v/>
      </c>
    </row>
    <row r="17" ht="15" customHeight="1">
      <c r="B17" s="12" t="inlineStr">
        <is>
          <t xml:space="preserve">  Galleria Corporate Centre (office)</t>
        </is>
      </c>
      <c r="D17" s="23">
        <f>'Office Condo'!D61</f>
        <v/>
      </c>
      <c r="E17" s="17">
        <f>'Office Condo'!E61</f>
        <v/>
      </c>
      <c r="F17" s="17">
        <f>'Office Condo'!F61</f>
        <v/>
      </c>
      <c r="G17" s="17">
        <f>'Office Condo'!G61</f>
        <v/>
      </c>
      <c r="H17" s="17">
        <f>'Office Condo'!H61</f>
        <v/>
      </c>
      <c r="I17" s="17">
        <f>'Office Condo'!I61</f>
        <v/>
      </c>
      <c r="J17" s="17">
        <f>'Office Condo'!J61</f>
        <v/>
      </c>
      <c r="K17" s="17">
        <f>'Office Condo'!K61</f>
        <v/>
      </c>
      <c r="L17" s="17">
        <f>'Office Condo'!L61</f>
        <v/>
      </c>
      <c r="M17" s="17">
        <f>'Office Condo'!M61</f>
        <v/>
      </c>
    </row>
    <row r="18" ht="15" customHeight="1">
      <c r="B18" s="12" t="inlineStr">
        <is>
          <t xml:space="preserve">  1040 Bayview (interim office)</t>
        </is>
      </c>
      <c r="D18" s="23">
        <f>'Land'!D58</f>
        <v/>
      </c>
      <c r="E18" s="17">
        <f>'Land'!E58</f>
        <v/>
      </c>
      <c r="F18" s="17">
        <f>'Land'!F58</f>
        <v/>
      </c>
      <c r="G18" s="17">
        <f>'Land'!G58</f>
        <v/>
      </c>
      <c r="H18" s="17">
        <f>'Land'!H58</f>
        <v/>
      </c>
      <c r="I18" s="17">
        <f>'Land'!I58</f>
        <v/>
      </c>
      <c r="J18" s="17">
        <f>'Land'!J58</f>
        <v/>
      </c>
      <c r="K18" s="17">
        <f>'Land'!K58</f>
        <v/>
      </c>
      <c r="L18" s="17">
        <f>'Land'!L58</f>
        <v/>
      </c>
      <c r="M18" s="17">
        <f>'Land'!M58</f>
        <v/>
      </c>
    </row>
    <row r="19" ht="15" customHeight="1">
      <c r="B19" s="43" t="inlineStr">
        <is>
          <t>Consolidated NOI</t>
        </is>
      </c>
      <c r="D19" s="44">
        <f>SUM(D14:D18)</f>
        <v/>
      </c>
      <c r="E19" s="45">
        <f>SUM(E14:E18)</f>
        <v/>
      </c>
      <c r="F19" s="45">
        <f>SUM(F14:F18)</f>
        <v/>
      </c>
      <c r="G19" s="45">
        <f>SUM(G14:G18)</f>
        <v/>
      </c>
      <c r="H19" s="45">
        <f>SUM(H14:H18)</f>
        <v/>
      </c>
      <c r="I19" s="45">
        <f>SUM(I14:I18)</f>
        <v/>
      </c>
      <c r="J19" s="45">
        <f>SUM(J14:J18)</f>
        <v/>
      </c>
      <c r="K19" s="45">
        <f>SUM(K14:K18)</f>
        <v/>
      </c>
      <c r="L19" s="45">
        <f>SUM(L14:L18)</f>
        <v/>
      </c>
      <c r="M19" s="45">
        <f>SUM(M14:M18)</f>
        <v/>
      </c>
    </row>
    <row r="20" ht="15" customHeight="1">
      <c r="B20" s="12" t="inlineStr">
        <is>
          <t>Less: consolidated capital (reserves + leasing)</t>
        </is>
      </c>
      <c r="D20" s="17">
        <f>-('Shahidi Retail'!D104+'Publix &amp; Starbucks'!D91+'Sunrise Plaza'!D94+'Office Condo'!D62)</f>
        <v/>
      </c>
      <c r="E20" s="17">
        <f>-('Shahidi Retail'!E104+'Publix &amp; Starbucks'!E91+'Sunrise Plaza'!E94+'Office Condo'!E62)</f>
        <v/>
      </c>
      <c r="F20" s="17">
        <f>-('Shahidi Retail'!F104+'Publix &amp; Starbucks'!F91+'Sunrise Plaza'!F94+'Office Condo'!F62)</f>
        <v/>
      </c>
      <c r="G20" s="17">
        <f>-('Shahidi Retail'!G104+'Publix &amp; Starbucks'!G91+'Sunrise Plaza'!G94+'Office Condo'!G62)</f>
        <v/>
      </c>
      <c r="H20" s="17">
        <f>-('Shahidi Retail'!H104+'Publix &amp; Starbucks'!H91+'Sunrise Plaza'!H94+'Office Condo'!H62)</f>
        <v/>
      </c>
      <c r="I20" s="17">
        <f>-('Shahidi Retail'!I104+'Publix &amp; Starbucks'!I91+'Sunrise Plaza'!I94+'Office Condo'!I62)</f>
        <v/>
      </c>
      <c r="J20" s="17">
        <f>-('Shahidi Retail'!J104+'Publix &amp; Starbucks'!J91+'Sunrise Plaza'!J94+'Office Condo'!J62)</f>
        <v/>
      </c>
      <c r="K20" s="17">
        <f>-('Shahidi Retail'!K104+'Publix &amp; Starbucks'!K91+'Sunrise Plaza'!K94+'Office Condo'!K62)</f>
        <v/>
      </c>
      <c r="L20" s="17">
        <f>-('Shahidi Retail'!L104+'Publix &amp; Starbucks'!L91+'Sunrise Plaza'!L94+'Office Condo'!L62)</f>
        <v/>
      </c>
      <c r="M20" s="17">
        <f>-('Shahidi Retail'!M104+'Publix &amp; Starbucks'!M91+'Sunrise Plaza'!M94+'Office Condo'!M62)</f>
        <v/>
      </c>
    </row>
    <row r="21" ht="15" customHeight="1">
      <c r="B21" s="43" t="inlineStr">
        <is>
          <t>Consolidated unlevered operating CF</t>
        </is>
      </c>
      <c r="D21" s="44">
        <f>D19+D20</f>
        <v/>
      </c>
      <c r="E21" s="45">
        <f>E19+E20</f>
        <v/>
      </c>
      <c r="F21" s="45">
        <f>F19+F20</f>
        <v/>
      </c>
      <c r="G21" s="45">
        <f>G19+G20</f>
        <v/>
      </c>
      <c r="H21" s="45">
        <f>H19+H20</f>
        <v/>
      </c>
      <c r="I21" s="45">
        <f>I19+I20</f>
        <v/>
      </c>
      <c r="J21" s="45">
        <f>J19+J20</f>
        <v/>
      </c>
      <c r="K21" s="45">
        <f>K19+K20</f>
        <v/>
      </c>
      <c r="L21" s="45">
        <f>L19+L20</f>
        <v/>
      </c>
      <c r="M21" s="45">
        <f>M19+M20</f>
        <v/>
      </c>
    </row>
    <row r="22" ht="15" customHeight="1">
      <c r="B22" s="12" t="inlineStr">
        <is>
          <t>Consolidated reversion (net sale, exit yr)</t>
        </is>
      </c>
      <c r="D22" s="17">
        <f>'Shahidi Retail'!D108+'Publix &amp; Starbucks'!D95+'Sunrise Plaza'!D98+'Office Condo'!D66+'Land'!D59</f>
        <v/>
      </c>
      <c r="E22" s="17">
        <f>'Shahidi Retail'!E108+'Publix &amp; Starbucks'!E95+'Sunrise Plaza'!E98+'Office Condo'!E66+'Land'!E59</f>
        <v/>
      </c>
      <c r="F22" s="17">
        <f>'Shahidi Retail'!F108+'Publix &amp; Starbucks'!F95+'Sunrise Plaza'!F98+'Office Condo'!F66+'Land'!F59</f>
        <v/>
      </c>
      <c r="G22" s="17">
        <f>'Shahidi Retail'!G108+'Publix &amp; Starbucks'!G95+'Sunrise Plaza'!G98+'Office Condo'!G66+'Land'!G59</f>
        <v/>
      </c>
      <c r="H22" s="17">
        <f>'Shahidi Retail'!H108+'Publix &amp; Starbucks'!H95+'Sunrise Plaza'!H98+'Office Condo'!H66+'Land'!H59</f>
        <v/>
      </c>
      <c r="I22" s="17">
        <f>'Shahidi Retail'!I108+'Publix &amp; Starbucks'!I95+'Sunrise Plaza'!I98+'Office Condo'!I66+'Land'!I59</f>
        <v/>
      </c>
      <c r="J22" s="17">
        <f>'Shahidi Retail'!J108+'Publix &amp; Starbucks'!J95+'Sunrise Plaza'!J98+'Office Condo'!J66+'Land'!J59</f>
        <v/>
      </c>
      <c r="K22" s="17">
        <f>'Shahidi Retail'!K108+'Publix &amp; Starbucks'!K95+'Sunrise Plaza'!K98+'Office Condo'!K66+'Land'!K59</f>
        <v/>
      </c>
      <c r="L22" s="17">
        <f>'Shahidi Retail'!L108+'Publix &amp; Starbucks'!L95+'Sunrise Plaza'!L98+'Office Condo'!L66+'Land'!L59</f>
        <v/>
      </c>
      <c r="M22" s="17">
        <f>'Shahidi Retail'!M108+'Publix &amp; Starbucks'!M95+'Sunrise Plaza'!M98+'Office Condo'!M66+'Land'!M59</f>
        <v/>
      </c>
    </row>
    <row r="23"/>
    <row r="24">
      <c r="B24" s="11" t="inlineStr">
        <is>
          <t>AS-IS  vs.  STABILIZED NOI  (going-in vs. lease-up complete)</t>
        </is>
      </c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3" t="n"/>
    </row>
    <row r="25" ht="15" customHeight="1">
      <c r="B25" s="43" t="inlineStr">
        <is>
          <t>Consolidated AS-IS in-place NOI</t>
        </is>
      </c>
      <c r="C25" s="46">
        <f>'Shahidi Retail'!C122+'Publix &amp; Starbucks'!C110+'Sunrise Plaza'!C113+'Office Condo'!C79+'Land'!C47</f>
        <v/>
      </c>
      <c r="D25" s="22" t="inlineStr">
        <is>
          <t>current occupancy, no lease-up (going-in)</t>
        </is>
      </c>
      <c r="E25" s="13" t="n"/>
      <c r="F25" s="13" t="n"/>
      <c r="G25" s="13" t="n"/>
      <c r="H25" s="13" t="n"/>
      <c r="I25" s="13" t="n"/>
      <c r="J25" s="13" t="n"/>
      <c r="K25" s="13" t="n"/>
      <c r="L25" s="13" t="n"/>
      <c r="M25" s="14" t="n"/>
    </row>
    <row r="26" ht="15" customHeight="1">
      <c r="B26" s="43" t="inlineStr">
        <is>
          <t>Consolidated STABILIZED NOI (lease-up complete)</t>
        </is>
      </c>
      <c r="C26" s="46">
        <f>'Shahidi Retail'!C124+'Publix &amp; Starbucks'!C112+'Sunrise Plaza'!C115+'Office Condo'!C81+'Land'!C47</f>
        <v/>
      </c>
      <c r="D26" s="22" t="inlineStr">
        <is>
          <t>post lease-up (Shahidi to 95%, Sunrise to 95%, office to 88%)</t>
        </is>
      </c>
      <c r="E26" s="13" t="n"/>
      <c r="F26" s="13" t="n"/>
      <c r="G26" s="13" t="n"/>
      <c r="H26" s="13" t="n"/>
      <c r="I26" s="13" t="n"/>
      <c r="J26" s="13" t="n"/>
      <c r="K26" s="13" t="n"/>
      <c r="L26" s="13" t="n"/>
      <c r="M26" s="14" t="n"/>
    </row>
    <row r="27" ht="15" customHeight="1">
      <c r="B27" s="12" t="inlineStr">
        <is>
          <t>Value creation (lease-up NOI gain)</t>
        </is>
      </c>
      <c r="C27" s="47">
        <f>C26-C25</f>
        <v/>
      </c>
    </row>
    <row r="28"/>
    <row r="29">
      <c r="B29" s="11" t="inlineStr">
        <is>
          <t>INCOME-VALUATION ASSUMPTIONS  —  🟢 linked from the Assumptions control tab (adjust there)</t>
        </is>
      </c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3" t="n"/>
    </row>
    <row r="30" ht="15" customHeight="1">
      <c r="B30" s="12" t="inlineStr">
        <is>
          <t>Blended going-in cap (as-is)</t>
        </is>
      </c>
      <c r="C30" s="24">
        <f>'Assumptions'!C6</f>
        <v/>
      </c>
      <c r="D30" s="22" t="inlineStr">
        <is>
          <t>🟢 Assumptions tab</t>
        </is>
      </c>
      <c r="E30" s="13" t="n"/>
      <c r="F30" s="13" t="n"/>
      <c r="G30" s="13" t="n"/>
      <c r="H30" s="13" t="n"/>
      <c r="I30" s="13" t="n"/>
      <c r="J30" s="13" t="n"/>
      <c r="K30" s="13" t="n"/>
      <c r="L30" s="13" t="n"/>
      <c r="M30" s="14" t="n"/>
    </row>
    <row r="31" ht="15" customHeight="1">
      <c r="B31" s="12" t="inlineStr">
        <is>
          <t>Blended stabilized / exit cap</t>
        </is>
      </c>
      <c r="C31" s="24">
        <f>'Assumptions'!C7</f>
        <v/>
      </c>
      <c r="D31" s="22" t="inlineStr">
        <is>
          <t>🟢 Assumptions tab</t>
        </is>
      </c>
      <c r="E31" s="13" t="n"/>
      <c r="F31" s="13" t="n"/>
      <c r="G31" s="13" t="n"/>
      <c r="H31" s="13" t="n"/>
      <c r="I31" s="13" t="n"/>
      <c r="J31" s="13" t="n"/>
      <c r="K31" s="13" t="n"/>
      <c r="L31" s="13" t="n"/>
      <c r="M31" s="14" t="n"/>
    </row>
    <row r="32" ht="15" customHeight="1">
      <c r="B32" s="12" t="inlineStr">
        <is>
          <t>Target unlevered yield (DCF discount)</t>
        </is>
      </c>
      <c r="C32" s="18">
        <f>'Assumptions'!C8</f>
        <v/>
      </c>
      <c r="D32" s="22" t="inlineStr">
        <is>
          <t>🟢 Assumptions tab</t>
        </is>
      </c>
      <c r="E32" s="13" t="n"/>
      <c r="F32" s="13" t="n"/>
      <c r="G32" s="13" t="n"/>
      <c r="H32" s="13" t="n"/>
      <c r="I32" s="13" t="n"/>
      <c r="J32" s="13" t="n"/>
      <c r="K32" s="13" t="n"/>
      <c r="L32" s="13" t="n"/>
      <c r="M32" s="14" t="n"/>
    </row>
    <row r="33" ht="15" customHeight="1">
      <c r="B33" s="12" t="inlineStr">
        <is>
          <t>Blended NOI growth</t>
        </is>
      </c>
      <c r="C33" s="18">
        <f>'Assumptions'!C9</f>
        <v/>
      </c>
      <c r="D33" s="22" t="inlineStr">
        <is>
          <t>🟢 Assumptions tab</t>
        </is>
      </c>
      <c r="E33" s="13" t="n"/>
      <c r="F33" s="13" t="n"/>
      <c r="G33" s="13" t="n"/>
      <c r="H33" s="13" t="n"/>
      <c r="I33" s="13" t="n"/>
      <c r="J33" s="13" t="n"/>
      <c r="K33" s="13" t="n"/>
      <c r="L33" s="13" t="n"/>
      <c r="M33" s="14" t="n"/>
    </row>
    <row r="34" ht="15" customHeight="1">
      <c r="B34" s="12" t="inlineStr">
        <is>
          <t>Hold period (yrs)</t>
        </is>
      </c>
      <c r="C34" s="48">
        <f>'Assumptions'!C10</f>
        <v/>
      </c>
      <c r="D34" s="22" t="inlineStr">
        <is>
          <t>🟢 Assumptions tab</t>
        </is>
      </c>
      <c r="E34" s="13" t="n"/>
      <c r="F34" s="13" t="n"/>
      <c r="G34" s="13" t="n"/>
      <c r="H34" s="13" t="n"/>
      <c r="I34" s="13" t="n"/>
      <c r="J34" s="13" t="n"/>
      <c r="K34" s="13" t="n"/>
      <c r="L34" s="13" t="n"/>
      <c r="M34" s="14" t="n"/>
    </row>
    <row r="35" ht="15" customHeight="1">
      <c r="B35" s="12" t="inlineStr">
        <is>
          <t>Cost of sale at exit</t>
        </is>
      </c>
      <c r="C35" s="18">
        <f>'Assumptions'!C11</f>
        <v/>
      </c>
      <c r="D35" s="22" t="inlineStr">
        <is>
          <t>🟢 Assumptions tab</t>
        </is>
      </c>
      <c r="E35" s="13" t="n"/>
      <c r="F35" s="13" t="n"/>
      <c r="G35" s="13" t="n"/>
      <c r="H35" s="13" t="n"/>
      <c r="I35" s="13" t="n"/>
      <c r="J35" s="13" t="n"/>
      <c r="K35" s="13" t="n"/>
      <c r="L35" s="13" t="n"/>
      <c r="M35" s="14" t="n"/>
    </row>
    <row r="36" ht="15" customHeight="1">
      <c r="B36" s="12" t="inlineStr">
        <is>
          <t>Doc-stamp / transfer tax (% price)</t>
        </is>
      </c>
      <c r="C36" s="24">
        <f>'Assumptions'!C21</f>
        <v/>
      </c>
      <c r="D36" s="22" t="inlineStr">
        <is>
          <t>🟢 Assumptions tab</t>
        </is>
      </c>
      <c r="E36" s="13" t="n"/>
      <c r="F36" s="13" t="n"/>
      <c r="G36" s="13" t="n"/>
      <c r="H36" s="13" t="n"/>
      <c r="I36" s="13" t="n"/>
      <c r="J36" s="13" t="n"/>
      <c r="K36" s="13" t="n"/>
      <c r="L36" s="13" t="n"/>
      <c r="M36" s="14" t="n"/>
    </row>
    <row r="37" ht="15" customHeight="1">
      <c r="B37" s="12" t="inlineStr">
        <is>
          <t>Title insurance (% price)</t>
        </is>
      </c>
      <c r="C37" s="24">
        <f>'Assumptions'!C22</f>
        <v/>
      </c>
      <c r="D37" s="22" t="inlineStr">
        <is>
          <t>🟢 Assumptions tab</t>
        </is>
      </c>
      <c r="E37" s="13" t="n"/>
      <c r="F37" s="13" t="n"/>
      <c r="G37" s="13" t="n"/>
      <c r="H37" s="13" t="n"/>
      <c r="I37" s="13" t="n"/>
      <c r="J37" s="13" t="n"/>
      <c r="K37" s="13" t="n"/>
      <c r="L37" s="13" t="n"/>
      <c r="M37" s="14" t="n"/>
    </row>
    <row r="38" ht="15" customHeight="1">
      <c r="B38" s="12" t="inlineStr">
        <is>
          <t>Legal &amp; due diligence (% price)</t>
        </is>
      </c>
      <c r="C38" s="24">
        <f>'Assumptions'!C23</f>
        <v/>
      </c>
      <c r="D38" s="22" t="inlineStr">
        <is>
          <t>🟢 Assumptions tab</t>
        </is>
      </c>
      <c r="E38" s="13" t="n"/>
      <c r="F38" s="13" t="n"/>
      <c r="G38" s="13" t="n"/>
      <c r="H38" s="13" t="n"/>
      <c r="I38" s="13" t="n"/>
      <c r="J38" s="13" t="n"/>
      <c r="K38" s="13" t="n"/>
      <c r="L38" s="13" t="n"/>
      <c r="M38" s="14" t="n"/>
    </row>
    <row r="39" ht="15" customHeight="1">
      <c r="B39" s="12" t="inlineStr">
        <is>
          <t>Loan origination fee (% loan)</t>
        </is>
      </c>
      <c r="C39" s="24">
        <f>'Assumptions'!C24</f>
        <v/>
      </c>
      <c r="D39" s="22" t="inlineStr">
        <is>
          <t>🟢 Assumptions tab</t>
        </is>
      </c>
      <c r="E39" s="13" t="n"/>
      <c r="F39" s="13" t="n"/>
      <c r="G39" s="13" t="n"/>
      <c r="H39" s="13" t="n"/>
      <c r="I39" s="13" t="n"/>
      <c r="J39" s="13" t="n"/>
      <c r="K39" s="13" t="n"/>
      <c r="L39" s="13" t="n"/>
      <c r="M39" s="14" t="n"/>
    </row>
    <row r="40" ht="15" customHeight="1">
      <c r="B40" s="12" t="inlineStr">
        <is>
          <t>Max senior LTV</t>
        </is>
      </c>
      <c r="C40" s="18">
        <f>'Assumptions'!C14</f>
        <v/>
      </c>
      <c r="D40" s="22" t="inlineStr">
        <is>
          <t>🟢 Assumptions tab</t>
        </is>
      </c>
      <c r="E40" s="13" t="n"/>
      <c r="F40" s="13" t="n"/>
      <c r="G40" s="13" t="n"/>
      <c r="H40" s="13" t="n"/>
      <c r="I40" s="13" t="n"/>
      <c r="J40" s="13" t="n"/>
      <c r="K40" s="13" t="n"/>
      <c r="L40" s="13" t="n"/>
      <c r="M40" s="14" t="n"/>
    </row>
    <row r="41" ht="15" customHeight="1">
      <c r="B41" s="12" t="inlineStr">
        <is>
          <t>Min DSCR (sizing constraint)</t>
        </is>
      </c>
      <c r="C41" s="49">
        <f>'Assumptions'!C15</f>
        <v/>
      </c>
      <c r="D41" s="22" t="inlineStr">
        <is>
          <t>🟢 Assumptions tab</t>
        </is>
      </c>
      <c r="E41" s="13" t="n"/>
      <c r="F41" s="13" t="n"/>
      <c r="G41" s="13" t="n"/>
      <c r="H41" s="13" t="n"/>
      <c r="I41" s="13" t="n"/>
      <c r="J41" s="13" t="n"/>
      <c r="K41" s="13" t="n"/>
      <c r="L41" s="13" t="n"/>
      <c r="M41" s="14" t="n"/>
    </row>
    <row r="42" ht="15" customHeight="1">
      <c r="B42" s="12" t="inlineStr">
        <is>
          <t>Min debt yield (sizing constraint)</t>
        </is>
      </c>
      <c r="C42" s="18">
        <f>'Assumptions'!C16</f>
        <v/>
      </c>
      <c r="D42" s="22" t="inlineStr">
        <is>
          <t>🟢 Assumptions tab</t>
        </is>
      </c>
      <c r="E42" s="13" t="n"/>
      <c r="F42" s="13" t="n"/>
      <c r="G42" s="13" t="n"/>
      <c r="H42" s="13" t="n"/>
      <c r="I42" s="13" t="n"/>
      <c r="J42" s="13" t="n"/>
      <c r="K42" s="13" t="n"/>
      <c r="L42" s="13" t="n"/>
      <c r="M42" s="14" t="n"/>
    </row>
    <row r="43" ht="15" customHeight="1">
      <c r="B43" s="12" t="inlineStr">
        <is>
          <t>Senior rate</t>
        </is>
      </c>
      <c r="C43" s="24">
        <f>'Assumptions'!C17</f>
        <v/>
      </c>
      <c r="D43" s="22" t="inlineStr">
        <is>
          <t>🟢 Assumptions tab</t>
        </is>
      </c>
      <c r="E43" s="13" t="n"/>
      <c r="F43" s="13" t="n"/>
      <c r="G43" s="13" t="n"/>
      <c r="H43" s="13" t="n"/>
      <c r="I43" s="13" t="n"/>
      <c r="J43" s="13" t="n"/>
      <c r="K43" s="13" t="n"/>
      <c r="L43" s="13" t="n"/>
      <c r="M43" s="14" t="n"/>
    </row>
    <row r="44" ht="15" customHeight="1">
      <c r="B44" s="12" t="inlineStr">
        <is>
          <t>Amortization (yrs)</t>
        </is>
      </c>
      <c r="C44" s="48">
        <f>'Assumptions'!C18</f>
        <v/>
      </c>
      <c r="D44" s="22" t="inlineStr">
        <is>
          <t>🟢 Assumptions tab</t>
        </is>
      </c>
      <c r="E44" s="13" t="n"/>
      <c r="F44" s="13" t="n"/>
      <c r="G44" s="13" t="n"/>
      <c r="H44" s="13" t="n"/>
      <c r="I44" s="13" t="n"/>
      <c r="J44" s="13" t="n"/>
      <c r="K44" s="13" t="n"/>
      <c r="L44" s="13" t="n"/>
      <c r="M44" s="14" t="n"/>
    </row>
    <row r="45"/>
    <row r="46">
      <c r="B46" s="11" t="inlineStr">
        <is>
          <t>SIZING HELPERS</t>
        </is>
      </c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3" t="n"/>
    </row>
    <row r="47" ht="15" customHeight="1">
      <c r="B47" s="12" t="inlineStr">
        <is>
          <t>Monthly rate</t>
        </is>
      </c>
      <c r="C47" s="50">
        <f>C43/12</f>
        <v/>
      </c>
    </row>
    <row r="48" ht="15" customHeight="1">
      <c r="B48" s="12" t="inlineStr">
        <is>
          <t>Mortgage constant (annual)</t>
        </is>
      </c>
      <c r="C48" s="50">
        <f>(C47/(1-(1+C47)^(-C44*12)))*12</f>
        <v/>
      </c>
      <c r="D48" s="22" t="inlineStr">
        <is>
          <t>DS ÷ loan</t>
        </is>
      </c>
      <c r="E48" s="13" t="n"/>
      <c r="F48" s="13" t="n"/>
      <c r="G48" s="13" t="n"/>
      <c r="H48" s="13" t="n"/>
      <c r="I48" s="13" t="n"/>
      <c r="J48" s="13" t="n"/>
      <c r="K48" s="13" t="n"/>
      <c r="L48" s="13" t="n"/>
      <c r="M48" s="14" t="n"/>
    </row>
    <row r="49" ht="15" customHeight="1">
      <c r="B49" s="12" t="inlineStr">
        <is>
          <t>Total transaction cost (% price)</t>
        </is>
      </c>
      <c r="C49" s="50">
        <f>C36+C37+C38</f>
        <v/>
      </c>
      <c r="D49" s="22" t="inlineStr">
        <is>
          <t>doc stamps + title + legal/DD</t>
        </is>
      </c>
      <c r="E49" s="13" t="n"/>
      <c r="F49" s="13" t="n"/>
      <c r="G49" s="13" t="n"/>
      <c r="H49" s="13" t="n"/>
      <c r="I49" s="13" t="n"/>
      <c r="J49" s="13" t="n"/>
      <c r="K49" s="13" t="n"/>
      <c r="L49" s="13" t="n"/>
      <c r="M49" s="14" t="n"/>
    </row>
    <row r="50" ht="15" customHeight="1">
      <c r="B50" s="12" t="inlineStr">
        <is>
          <t>Σ unlevered operating CF, Yr 1–hold</t>
        </is>
      </c>
      <c r="C50" s="51">
        <f>SUM(D21:INDEX(D21:M21,C34))</f>
        <v/>
      </c>
    </row>
    <row r="51" ht="15" customHeight="1">
      <c r="B51" s="12" t="inlineStr">
        <is>
          <t>Exit-year consolidated NOI</t>
        </is>
      </c>
      <c r="C51" s="51">
        <f>INDEX(D19:M19,C34)</f>
        <v/>
      </c>
    </row>
    <row r="52" ht="15" customHeight="1">
      <c r="B52" s="12" t="inlineStr">
        <is>
          <t>Base-case consolidated reversion</t>
        </is>
      </c>
      <c r="C52" s="51">
        <f>INDEX(D22:M22,C34)</f>
        <v/>
      </c>
      <c r="D52" s="22" t="inlineStr">
        <is>
          <t>sum of asset reversions</t>
        </is>
      </c>
      <c r="E52" s="13" t="n"/>
      <c r="F52" s="13" t="n"/>
      <c r="G52" s="13" t="n"/>
      <c r="H52" s="13" t="n"/>
      <c r="I52" s="13" t="n"/>
      <c r="J52" s="13" t="n"/>
      <c r="K52" s="13" t="n"/>
      <c r="L52" s="13" t="n"/>
      <c r="M52" s="14" t="n"/>
    </row>
    <row r="53"/>
    <row r="54">
      <c r="B54" s="11" t="inlineStr">
        <is>
          <t>PURCHASE PRICE ON THE BASIS OF ASSEMBLAGE CASH FLOWS</t>
        </is>
      </c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3" t="n"/>
    </row>
    <row r="55" ht="15" customHeight="1">
      <c r="B55" s="12" t="inlineStr">
        <is>
          <t>① As-is value  (as-is NOI ÷ going-in cap)</t>
        </is>
      </c>
      <c r="C55" s="51">
        <f>C25/C30</f>
        <v/>
      </c>
      <c r="D55" s="22" t="inlineStr">
        <is>
          <t>going-in income value</t>
        </is>
      </c>
      <c r="E55" s="13" t="n"/>
      <c r="F55" s="13" t="n"/>
      <c r="G55" s="13" t="n"/>
      <c r="H55" s="13" t="n"/>
      <c r="I55" s="13" t="n"/>
      <c r="J55" s="13" t="n"/>
      <c r="K55" s="13" t="n"/>
      <c r="L55" s="13" t="n"/>
      <c r="M55" s="14" t="n"/>
    </row>
    <row r="56" ht="15" customHeight="1">
      <c r="B56" s="12" t="inlineStr">
        <is>
          <t>② Stabilized value  (stab NOI ÷ exit cap)</t>
        </is>
      </c>
      <c r="C56" s="51">
        <f>C26/C31</f>
        <v/>
      </c>
      <c r="D56" s="22" t="inlineStr">
        <is>
          <t>post lease-up</t>
        </is>
      </c>
      <c r="E56" s="13" t="n"/>
      <c r="F56" s="13" t="n"/>
      <c r="G56" s="13" t="n"/>
      <c r="H56" s="13" t="n"/>
      <c r="I56" s="13" t="n"/>
      <c r="J56" s="13" t="n"/>
      <c r="K56" s="13" t="n"/>
      <c r="L56" s="13" t="n"/>
      <c r="M56" s="14" t="n"/>
    </row>
    <row r="57" ht="15" customHeight="1">
      <c r="B57" s="12" t="inlineStr">
        <is>
          <t>Valuation CF (op CF ≤ hold + reversion)</t>
        </is>
      </c>
      <c r="D57" s="51">
        <f>IF(1&lt;=C34,D21,0)+IF(1=C34,D22,0)</f>
        <v/>
      </c>
      <c r="E57" s="47">
        <f>IF(2&lt;=C34,E21,0)+IF(2=C34,E22,0)</f>
        <v/>
      </c>
      <c r="F57" s="47">
        <f>IF(3&lt;=C34,F21,0)+IF(3=C34,F22,0)</f>
        <v/>
      </c>
      <c r="G57" s="47">
        <f>IF(4&lt;=C34,G21,0)+IF(4=C34,G22,0)</f>
        <v/>
      </c>
      <c r="H57" s="47">
        <f>IF(5&lt;=C34,H21,0)+IF(5=C34,H22,0)</f>
        <v/>
      </c>
      <c r="I57" s="47">
        <f>IF(6&lt;=C34,I21,0)+IF(6=C34,I22,0)</f>
        <v/>
      </c>
      <c r="J57" s="47">
        <f>IF(7&lt;=C34,J21,0)+IF(7=C34,J22,0)</f>
        <v/>
      </c>
      <c r="K57" s="47">
        <f>IF(8&lt;=C34,K21,0)+IF(8=C34,K22,0)</f>
        <v/>
      </c>
      <c r="L57" s="47">
        <f>IF(9&lt;=C34,L21,0)+IF(9=C34,L22,0)</f>
        <v/>
      </c>
      <c r="M57" s="47">
        <f>IF(10&lt;=C34,M21,0)+IF(10=C34,M22,0)</f>
        <v/>
      </c>
    </row>
    <row r="58" ht="15" customHeight="1">
      <c r="B58" s="12" t="inlineStr">
        <is>
          <t>③ DCF value  (PV @ target unlevered yield)</t>
        </is>
      </c>
      <c r="C58" s="51">
        <f>NPV(C32,D57:M57)</f>
        <v/>
      </c>
      <c r="D58" s="22" t="inlineStr">
        <is>
          <t>price where unlevered IRR = target</t>
        </is>
      </c>
      <c r="E58" s="13" t="n"/>
      <c r="F58" s="13" t="n"/>
      <c r="G58" s="13" t="n"/>
      <c r="H58" s="13" t="n"/>
      <c r="I58" s="13" t="n"/>
      <c r="J58" s="13" t="n"/>
      <c r="K58" s="13" t="n"/>
      <c r="L58" s="13" t="n"/>
      <c r="M58" s="14" t="n"/>
    </row>
    <row r="59" ht="15" customHeight="1">
      <c r="B59" s="52" t="inlineStr">
        <is>
          <t>CONCLUDED INCOME-BASED PURCHASE PRICE</t>
        </is>
      </c>
      <c r="C59" s="51">
        <f>C55</f>
        <v/>
      </c>
      <c r="D59" s="22" t="inlineStr">
        <is>
          <t>🔶 as-is direct cap; ②/③ cross-check</t>
        </is>
      </c>
      <c r="E59" s="13" t="n"/>
      <c r="F59" s="13" t="n"/>
      <c r="G59" s="13" t="n"/>
      <c r="H59" s="13" t="n"/>
      <c r="I59" s="13" t="n"/>
      <c r="J59" s="13" t="n"/>
      <c r="K59" s="13" t="n"/>
      <c r="L59" s="13" t="n"/>
      <c r="M59" s="14" t="n"/>
    </row>
    <row r="60"/>
    <row r="61">
      <c r="B61" s="11" t="inlineStr">
        <is>
          <t>SENIOR DEBT SIZING  —  lesser of LTV / DSCR / debt-yield  (sized on as-is NOI)</t>
        </is>
      </c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3" t="n"/>
    </row>
    <row r="62" ht="15" customHeight="1">
      <c r="B62" s="12" t="inlineStr">
        <is>
          <t>Loan by max LTV</t>
        </is>
      </c>
      <c r="C62" s="51">
        <f>C59*C40</f>
        <v/>
      </c>
    </row>
    <row r="63" ht="15" customHeight="1">
      <c r="B63" s="12" t="inlineStr">
        <is>
          <t>Loan by min DSCR</t>
        </is>
      </c>
      <c r="C63" s="51">
        <f>C25/(C41*C48)</f>
        <v/>
      </c>
    </row>
    <row r="64" ht="15" customHeight="1">
      <c r="B64" s="12" t="inlineStr">
        <is>
          <t>Loan by min debt yield</t>
        </is>
      </c>
      <c r="C64" s="51">
        <f>C25/C42</f>
        <v/>
      </c>
    </row>
    <row r="65" ht="15" customHeight="1">
      <c r="B65" s="12" t="inlineStr">
        <is>
          <t>SIZED SENIOR LOAN (binding constraint)</t>
        </is>
      </c>
      <c r="C65" s="51">
        <f>MIN(C62,C63,C64)</f>
        <v/>
      </c>
      <c r="D65" s="22">
        <f>IF(C65=C62,"LTV-constrained",IF(C65=C63,"DSCR-constrained","Debt-yield-constrained"))</f>
        <v/>
      </c>
      <c r="E65" s="13" t="n"/>
      <c r="F65" s="13" t="n"/>
      <c r="G65" s="13" t="n"/>
      <c r="H65" s="13" t="n"/>
      <c r="I65" s="13" t="n"/>
      <c r="J65" s="13" t="n"/>
      <c r="K65" s="13" t="n"/>
      <c r="L65" s="13" t="n"/>
      <c r="M65" s="14" t="n"/>
    </row>
    <row r="66" ht="15" customHeight="1">
      <c r="B66" s="12" t="inlineStr">
        <is>
          <t>Annual debt service</t>
        </is>
      </c>
      <c r="C66" s="51">
        <f>C65*C48</f>
        <v/>
      </c>
    </row>
    <row r="67" ht="15" customHeight="1">
      <c r="B67" s="12" t="inlineStr">
        <is>
          <t>Loan balance at exit</t>
        </is>
      </c>
      <c r="C67" s="51">
        <f>C65*(1+C47)^(12*C34)-(C66/12)*((1+C47)^(12*C34)-1)/C47</f>
        <v/>
      </c>
    </row>
    <row r="68" ht="15" customHeight="1">
      <c r="B68" s="12" t="inlineStr">
        <is>
          <t>Equity required (at income price)</t>
        </is>
      </c>
      <c r="C68" s="51">
        <f>C59*(1+C49)+C39*C65-C65</f>
        <v/>
      </c>
    </row>
    <row r="69"/>
    <row r="70">
      <c r="B70" s="11" t="inlineStr">
        <is>
          <t>SOURCES  &amp;  USES  (at the income-based price)</t>
        </is>
      </c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3" t="n"/>
    </row>
    <row r="71" ht="15" customHeight="1">
      <c r="B71" s="15" t="inlineStr">
        <is>
          <t>USES</t>
        </is>
      </c>
      <c r="C71" s="14" t="n"/>
      <c r="E71" s="15" t="inlineStr">
        <is>
          <t>SOURCES</t>
        </is>
      </c>
      <c r="F71" s="14" t="n"/>
    </row>
    <row r="72" ht="27" customHeight="1">
      <c r="B72" s="12" t="inlineStr">
        <is>
          <t xml:space="preserve">  Purchase price</t>
        </is>
      </c>
      <c r="C72" s="51">
        <f>C59</f>
        <v/>
      </c>
      <c r="E72" s="12" t="inlineStr">
        <is>
          <t xml:space="preserve">  Senior loan (sized)</t>
        </is>
      </c>
      <c r="F72" s="51">
        <f>C65</f>
        <v/>
      </c>
    </row>
    <row r="73" ht="27" customHeight="1">
      <c r="B73" s="12" t="inlineStr">
        <is>
          <t xml:space="preserve">  Doc-stamp / transfer tax</t>
        </is>
      </c>
      <c r="C73" s="47">
        <f>C59*C36</f>
        <v/>
      </c>
      <c r="E73" s="12" t="inlineStr">
        <is>
          <t xml:space="preserve">  Sponsor equity (plug)</t>
        </is>
      </c>
      <c r="F73" s="51">
        <f>C68</f>
        <v/>
      </c>
    </row>
    <row r="74" ht="15" customHeight="1">
      <c r="B74" s="12" t="inlineStr">
        <is>
          <t xml:space="preserve">  Title insurance</t>
        </is>
      </c>
      <c r="C74" s="47">
        <f>C59*C37</f>
        <v/>
      </c>
    </row>
    <row r="75" ht="15" customHeight="1">
      <c r="B75" s="12" t="inlineStr">
        <is>
          <t xml:space="preserve">  Legal &amp; due diligence</t>
        </is>
      </c>
      <c r="C75" s="47">
        <f>C59*C38</f>
        <v/>
      </c>
    </row>
    <row r="76" ht="15" customHeight="1">
      <c r="B76" s="12" t="inlineStr">
        <is>
          <t xml:space="preserve">  Loan origination fee</t>
        </is>
      </c>
      <c r="C76" s="47">
        <f>C39*C65</f>
        <v/>
      </c>
    </row>
    <row r="77" ht="15" customHeight="1">
      <c r="B77" s="43" t="inlineStr">
        <is>
          <t>TOTAL USES</t>
        </is>
      </c>
      <c r="C77" s="44">
        <f>SUM(C72:C76)</f>
        <v/>
      </c>
      <c r="E77" s="43" t="inlineStr">
        <is>
          <t>TOTAL SOURCES</t>
        </is>
      </c>
      <c r="F77" s="44">
        <f>F72+F73</f>
        <v/>
      </c>
    </row>
    <row r="78" ht="15" customHeight="1">
      <c r="B78" s="22" t="inlineStr">
        <is>
          <t>Check (sources − uses)</t>
        </is>
      </c>
      <c r="C78" s="47">
        <f>F77-C77</f>
        <v/>
      </c>
      <c r="E78" s="22" t="inlineStr">
        <is>
          <t>Loan-to-cost (LTC)</t>
        </is>
      </c>
      <c r="F78" s="53">
        <f>F72/C77</f>
        <v/>
      </c>
    </row>
    <row r="79"/>
    <row r="80">
      <c r="B80" s="11" t="inlineStr">
        <is>
          <t>PORTFOLIO RETURNS  —  consolidated cash-flow IRR at income price vs. covered-land price</t>
        </is>
      </c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3" t="n"/>
    </row>
    <row r="81" ht="15" customHeight="1">
      <c r="B81" s="15" t="inlineStr">
        <is>
          <t>Scenario</t>
        </is>
      </c>
      <c r="C81" s="16" t="inlineStr">
        <is>
          <t>① Income price</t>
        </is>
      </c>
      <c r="E81" s="16" t="inlineStr">
        <is>
          <t>② Covered-land (HBU)</t>
        </is>
      </c>
      <c r="F81" s="14" t="n"/>
    </row>
    <row r="82" ht="15" customHeight="1">
      <c r="B82" s="12" t="inlineStr">
        <is>
          <t>Purchase price</t>
        </is>
      </c>
      <c r="C82" s="51">
        <f>C59</f>
        <v/>
      </c>
      <c r="E82" s="51">
        <f>'Assemblage'!C29</f>
        <v/>
      </c>
      <c r="F82" s="14" t="n"/>
    </row>
    <row r="83" ht="15" customHeight="1">
      <c r="B83" s="12" t="inlineStr">
        <is>
          <t>Sized senior loan</t>
        </is>
      </c>
      <c r="C83" s="51">
        <f>C65</f>
        <v/>
      </c>
      <c r="E83" s="51">
        <f>MIN('Assemblage'!C29*C40,C63,C64)</f>
        <v/>
      </c>
      <c r="F83" s="14" t="n"/>
    </row>
    <row r="84" ht="15" customHeight="1">
      <c r="B84" s="12" t="inlineStr">
        <is>
          <t>Equity required</t>
        </is>
      </c>
      <c r="C84" s="51">
        <f>C59*(1+C49)+C39*C83-C83</f>
        <v/>
      </c>
      <c r="E84" s="51">
        <f>'Assemblage'!C29*(1+C49)+C39*E83-E83</f>
        <v/>
      </c>
      <c r="F84" s="14" t="n"/>
    </row>
    <row r="85" ht="15" customHeight="1">
      <c r="B85" s="12" t="inlineStr">
        <is>
          <t>Going-in cap (as-is NOI ÷ price)</t>
        </is>
      </c>
      <c r="C85" s="50">
        <f>C25/C59</f>
        <v/>
      </c>
      <c r="E85" s="50">
        <f>C25/'Assemblage'!C29</f>
        <v/>
      </c>
      <c r="F85" s="14" t="n"/>
    </row>
    <row r="86" ht="15" customHeight="1">
      <c r="B86" s="22" t="inlineStr">
        <is>
          <t xml:space="preserve">  Unlevered CF ① (acq + valuation CF)</t>
        </is>
      </c>
      <c r="C86" s="47">
        <f>-C59*(1+C49)</f>
        <v/>
      </c>
      <c r="D86" s="47">
        <f>D57</f>
        <v/>
      </c>
      <c r="E86" s="47">
        <f>E57</f>
        <v/>
      </c>
      <c r="F86" s="47">
        <f>F57</f>
        <v/>
      </c>
      <c r="G86" s="47">
        <f>G57</f>
        <v/>
      </c>
      <c r="H86" s="47">
        <f>H57</f>
        <v/>
      </c>
      <c r="I86" s="47">
        <f>I57</f>
        <v/>
      </c>
      <c r="J86" s="47">
        <f>J57</f>
        <v/>
      </c>
      <c r="K86" s="47">
        <f>K57</f>
        <v/>
      </c>
      <c r="L86" s="47">
        <f>L57</f>
        <v/>
      </c>
      <c r="M86" s="47">
        <f>M57</f>
        <v/>
      </c>
    </row>
    <row r="87" ht="15" customHeight="1">
      <c r="B87" s="22" t="inlineStr">
        <is>
          <t xml:space="preserve">  Unlevered CF ② (acq + valuation CF)</t>
        </is>
      </c>
      <c r="C87" s="47">
        <f>-'Assemblage'!C29*(1+C49)</f>
        <v/>
      </c>
      <c r="D87" s="47">
        <f>D57</f>
        <v/>
      </c>
      <c r="E87" s="47">
        <f>E57</f>
        <v/>
      </c>
      <c r="F87" s="47">
        <f>F57</f>
        <v/>
      </c>
      <c r="G87" s="47">
        <f>G57</f>
        <v/>
      </c>
      <c r="H87" s="47">
        <f>H57</f>
        <v/>
      </c>
      <c r="I87" s="47">
        <f>I57</f>
        <v/>
      </c>
      <c r="J87" s="47">
        <f>J57</f>
        <v/>
      </c>
      <c r="K87" s="47">
        <f>K57</f>
        <v/>
      </c>
      <c r="L87" s="47">
        <f>L57</f>
        <v/>
      </c>
      <c r="M87" s="47">
        <f>M57</f>
        <v/>
      </c>
    </row>
    <row r="88" ht="15" customHeight="1">
      <c r="B88" s="22" t="inlineStr">
        <is>
          <t xml:space="preserve">  Levered CF ① (equity)</t>
        </is>
      </c>
      <c r="C88" s="47">
        <f>-C84</f>
        <v/>
      </c>
      <c r="D88" s="47">
        <f>IF(1&lt;=C34,D21-C83*C48,0)+IF(1=C34,D22-(C83*(1+C47)^(12*C34)-(C83*C48/12)*((1+C47)^(12*C34)-1)/C47),0)</f>
        <v/>
      </c>
      <c r="E88" s="47">
        <f>IF(2&lt;=C34,E21-C83*C48,0)+IF(2=C34,E22-(C83*(1+C47)^(12*C34)-(C83*C48/12)*((1+C47)^(12*C34)-1)/C47),0)</f>
        <v/>
      </c>
      <c r="F88" s="47">
        <f>IF(3&lt;=C34,F21-C83*C48,0)+IF(3=C34,F22-(C83*(1+C47)^(12*C34)-(C83*C48/12)*((1+C47)^(12*C34)-1)/C47),0)</f>
        <v/>
      </c>
      <c r="G88" s="47">
        <f>IF(4&lt;=C34,G21-C83*C48,0)+IF(4=C34,G22-(C83*(1+C47)^(12*C34)-(C83*C48/12)*((1+C47)^(12*C34)-1)/C47),0)</f>
        <v/>
      </c>
      <c r="H88" s="47">
        <f>IF(5&lt;=C34,H21-C83*C48,0)+IF(5=C34,H22-(C83*(1+C47)^(12*C34)-(C83*C48/12)*((1+C47)^(12*C34)-1)/C47),0)</f>
        <v/>
      </c>
      <c r="I88" s="47">
        <f>IF(6&lt;=C34,I21-C83*C48,0)+IF(6=C34,I22-(C83*(1+C47)^(12*C34)-(C83*C48/12)*((1+C47)^(12*C34)-1)/C47),0)</f>
        <v/>
      </c>
      <c r="J88" s="47">
        <f>IF(7&lt;=C34,J21-C83*C48,0)+IF(7=C34,J22-(C83*(1+C47)^(12*C34)-(C83*C48/12)*((1+C47)^(12*C34)-1)/C47),0)</f>
        <v/>
      </c>
      <c r="K88" s="47">
        <f>IF(8&lt;=C34,K21-C83*C48,0)+IF(8=C34,K22-(C83*(1+C47)^(12*C34)-(C83*C48/12)*((1+C47)^(12*C34)-1)/C47),0)</f>
        <v/>
      </c>
      <c r="L88" s="47">
        <f>IF(9&lt;=C34,L21-C83*C48,0)+IF(9=C34,L22-(C83*(1+C47)^(12*C34)-(C83*C48/12)*((1+C47)^(12*C34)-1)/C47),0)</f>
        <v/>
      </c>
      <c r="M88" s="47">
        <f>IF(10&lt;=C34,M21-C83*C48,0)+IF(10=C34,M22-(C83*(1+C47)^(12*C34)-(C83*C48/12)*((1+C47)^(12*C34)-1)/C47),0)</f>
        <v/>
      </c>
    </row>
    <row r="89" ht="15" customHeight="1">
      <c r="B89" s="22" t="inlineStr">
        <is>
          <t xml:space="preserve">  Levered CF ② (equity)</t>
        </is>
      </c>
      <c r="C89" s="47">
        <f>-E84</f>
        <v/>
      </c>
      <c r="D89" s="47">
        <f>IF(1&lt;=C34,D21-E83*C48,0)+IF(1=C34,D22-(E83*(1+C47)^(12*C34)-(E83*C48/12)*((1+C47)^(12*C34)-1)/C47),0)</f>
        <v/>
      </c>
      <c r="E89" s="47">
        <f>IF(2&lt;=C34,E21-E83*C48,0)+IF(2=C34,E22-(E83*(1+C47)^(12*C34)-(E83*C48/12)*((1+C47)^(12*C34)-1)/C47),0)</f>
        <v/>
      </c>
      <c r="F89" s="47">
        <f>IF(3&lt;=C34,F21-E83*C48,0)+IF(3=C34,F22-(E83*(1+C47)^(12*C34)-(E83*C48/12)*((1+C47)^(12*C34)-1)/C47),0)</f>
        <v/>
      </c>
      <c r="G89" s="47">
        <f>IF(4&lt;=C34,G21-E83*C48,0)+IF(4=C34,G22-(E83*(1+C47)^(12*C34)-(E83*C48/12)*((1+C47)^(12*C34)-1)/C47),0)</f>
        <v/>
      </c>
      <c r="H89" s="47">
        <f>IF(5&lt;=C34,H21-E83*C48,0)+IF(5=C34,H22-(E83*(1+C47)^(12*C34)-(E83*C48/12)*((1+C47)^(12*C34)-1)/C47),0)</f>
        <v/>
      </c>
      <c r="I89" s="47">
        <f>IF(6&lt;=C34,I21-E83*C48,0)+IF(6=C34,I22-(E83*(1+C47)^(12*C34)-(E83*C48/12)*((1+C47)^(12*C34)-1)/C47),0)</f>
        <v/>
      </c>
      <c r="J89" s="47">
        <f>IF(7&lt;=C34,J21-E83*C48,0)+IF(7=C34,J22-(E83*(1+C47)^(12*C34)-(E83*C48/12)*((1+C47)^(12*C34)-1)/C47),0)</f>
        <v/>
      </c>
      <c r="K89" s="47">
        <f>IF(8&lt;=C34,K21-E83*C48,0)+IF(8=C34,K22-(E83*(1+C47)^(12*C34)-(E83*C48/12)*((1+C47)^(12*C34)-1)/C47),0)</f>
        <v/>
      </c>
      <c r="L89" s="47">
        <f>IF(9&lt;=C34,L21-E83*C48,0)+IF(9=C34,L22-(E83*(1+C47)^(12*C34)-(E83*C48/12)*((1+C47)^(12*C34)-1)/C47),0)</f>
        <v/>
      </c>
      <c r="M89" s="47">
        <f>IF(10&lt;=C34,M21-E83*C48,0)+IF(10=C34,M22-(E83*(1+C47)^(12*C34)-(E83*C48/12)*((1+C47)^(12*C34)-1)/C47),0)</f>
        <v/>
      </c>
    </row>
    <row r="90" ht="15" customHeight="1">
      <c r="B90" s="12" t="inlineStr">
        <is>
          <t>Unlevered IRR</t>
        </is>
      </c>
      <c r="C90" s="53">
        <f>IRR(C86:M86)</f>
        <v/>
      </c>
      <c r="E90" s="53">
        <f>IRR(C87:M87)</f>
        <v/>
      </c>
      <c r="F90" s="14" t="n"/>
    </row>
    <row r="91" ht="15" customHeight="1">
      <c r="B91" s="12" t="inlineStr">
        <is>
          <t>Unlevered equity multiple</t>
        </is>
      </c>
      <c r="C91" s="54">
        <f>SUM(D86:M86)/-C86</f>
        <v/>
      </c>
      <c r="E91" s="54">
        <f>SUM(D87:M87)/-C87</f>
        <v/>
      </c>
      <c r="F91" s="14" t="n"/>
    </row>
    <row r="92" ht="15" customHeight="1">
      <c r="B92" s="12" t="inlineStr">
        <is>
          <t>Levered IRR</t>
        </is>
      </c>
      <c r="C92" s="53">
        <f>IRR(C88:M88)</f>
        <v/>
      </c>
      <c r="E92" s="53">
        <f>IRR(C89:M89)</f>
        <v/>
      </c>
      <c r="F92" s="14" t="n"/>
    </row>
    <row r="93" ht="15" customHeight="1">
      <c r="B93" s="12" t="inlineStr">
        <is>
          <t>Levered equity multiple</t>
        </is>
      </c>
      <c r="C93" s="54">
        <f>SUM(D88:M88)/C84</f>
        <v/>
      </c>
      <c r="E93" s="54">
        <f>SUM(D89:M89)/E84</f>
        <v/>
      </c>
      <c r="F93" s="14" t="n"/>
    </row>
    <row r="94" ht="15" customHeight="1">
      <c r="B94" s="12" t="inlineStr">
        <is>
          <t>Year-1 DSCR</t>
        </is>
      </c>
      <c r="C94" s="54">
        <f>C25/(C83*C48)</f>
        <v/>
      </c>
      <c r="E94" s="54">
        <f>C25/(E83*C48)</f>
        <v/>
      </c>
      <c r="F94" s="14" t="n"/>
    </row>
    <row r="95" ht="15" customHeight="1">
      <c r="B95" s="22" t="inlineStr">
        <is>
          <t xml:space="preserve">  Cash-on-cash ① by year (levered)</t>
        </is>
      </c>
      <c r="D95" s="53">
        <f>IF(1&lt;=C34,(D21-C83*C48)/C84,0)</f>
        <v/>
      </c>
      <c r="E95" s="53">
        <f>IF(2&lt;=C34,(E21-C83*C48)/C84,0)</f>
        <v/>
      </c>
      <c r="F95" s="53">
        <f>IF(3&lt;=C34,(F21-C83*C48)/C84,0)</f>
        <v/>
      </c>
      <c r="G95" s="53">
        <f>IF(4&lt;=C34,(G21-C83*C48)/C84,0)</f>
        <v/>
      </c>
      <c r="H95" s="53">
        <f>IF(5&lt;=C34,(H21-C83*C48)/C84,0)</f>
        <v/>
      </c>
      <c r="I95" s="53">
        <f>IF(6&lt;=C34,(I21-C83*C48)/C84,0)</f>
        <v/>
      </c>
      <c r="J95" s="53">
        <f>IF(7&lt;=C34,(J21-C83*C48)/C84,0)</f>
        <v/>
      </c>
      <c r="K95" s="53">
        <f>IF(8&lt;=C34,(K21-C83*C48)/C84,0)</f>
        <v/>
      </c>
      <c r="L95" s="53">
        <f>IF(9&lt;=C34,(L21-C83*C48)/C84,0)</f>
        <v/>
      </c>
      <c r="M95" s="53">
        <f>IF(10&lt;=C34,(M21-C83*C48)/C84,0)</f>
        <v/>
      </c>
    </row>
    <row r="96" ht="15" customHeight="1">
      <c r="B96" s="12" t="inlineStr">
        <is>
          <t>Avg cash-on-cash (Yr 1–hold)</t>
        </is>
      </c>
      <c r="C96" s="53">
        <f>SUM(D95:M95)/C34</f>
        <v/>
      </c>
      <c r="E96" s="53">
        <f>(( C50-C34*E83*C48)/C34)/E84</f>
        <v/>
      </c>
      <c r="F96" s="14" t="n"/>
    </row>
    <row r="97"/>
    <row r="98">
      <c r="B98" s="11" t="inlineStr">
        <is>
          <t>COVERED-LAND JUSTIFICATION  —  land appreciation required to make the HBU price work</t>
        </is>
      </c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3" t="n"/>
    </row>
    <row r="99" ht="15" customHeight="1">
      <c r="B99" s="12" t="inlineStr">
        <is>
          <t>Premium paid over income value</t>
        </is>
      </c>
      <c r="C99" s="51">
        <f>'Assemblage'!C29-C59</f>
        <v/>
      </c>
      <c r="D99" s="22" t="inlineStr">
        <is>
          <t>the dirt / optionality cost</t>
        </is>
      </c>
      <c r="E99" s="13" t="n"/>
      <c r="F99" s="13" t="n"/>
      <c r="G99" s="13" t="n"/>
      <c r="H99" s="13" t="n"/>
      <c r="I99" s="13" t="n"/>
      <c r="J99" s="13" t="n"/>
      <c r="K99" s="13" t="n"/>
      <c r="L99" s="13" t="n"/>
      <c r="M99" s="14" t="n"/>
    </row>
    <row r="100" ht="15" customHeight="1">
      <c r="B100" s="12" t="inlineStr">
        <is>
          <t>Land CAGR over hold to recover the premium</t>
        </is>
      </c>
      <c r="C100" s="53">
        <f>((C59+C99)/C59)^(1/C34)-1</f>
        <v/>
      </c>
      <c r="D100" s="22" t="inlineStr">
        <is>
          <t>annual land-value growth needed just to break even on the premium at exit</t>
        </is>
      </c>
      <c r="E100" s="13" t="n"/>
      <c r="F100" s="13" t="n"/>
      <c r="G100" s="13" t="n"/>
      <c r="H100" s="13" t="n"/>
      <c r="I100" s="13" t="n"/>
      <c r="J100" s="13" t="n"/>
      <c r="K100" s="13" t="n"/>
      <c r="L100" s="13" t="n"/>
      <c r="M100" s="14" t="n"/>
    </row>
    <row r="101" ht="27" customHeight="1">
      <c r="B101" s="40" t="inlineStr">
        <is>
          <t>Read</t>
        </is>
      </c>
      <c r="D101" s="40" t="inlineStr">
        <is>
          <t>At the covered-land price the income IRR is thin — the return thesis is land appreciation / redevelopment, not current yield. The premium only pencils if land compounds at ≥ the rate above over the hold.</t>
        </is>
      </c>
      <c r="E101" s="13" t="n"/>
      <c r="F101" s="13" t="n"/>
      <c r="G101" s="13" t="n"/>
      <c r="H101" s="13" t="n"/>
      <c r="I101" s="13" t="n"/>
      <c r="J101" s="13" t="n"/>
      <c r="K101" s="13" t="n"/>
      <c r="L101" s="13" t="n"/>
      <c r="M101" s="14" t="n"/>
    </row>
    <row r="102"/>
    <row r="103">
      <c r="B103" s="11" t="inlineStr">
        <is>
          <t>RETURN ATTRIBUTION  —  where the unlevered profit comes from  (at income price)</t>
        </is>
      </c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3" t="n"/>
    </row>
    <row r="104" ht="15" customHeight="1">
      <c r="B104" s="12" t="inlineStr">
        <is>
          <t>Exit-year forward NOI (grown into sale)</t>
        </is>
      </c>
      <c r="C104" s="51">
        <f>C51*(1+C33)</f>
        <v/>
      </c>
    </row>
    <row r="105" ht="15" customHeight="1">
      <c r="B105" s="12" t="inlineStr">
        <is>
          <t>Gross exit value (from consolidated reversion)</t>
        </is>
      </c>
      <c r="C105" s="51">
        <f>C52/(1-C35)</f>
        <v/>
      </c>
    </row>
    <row r="106" ht="15" customHeight="1">
      <c r="B106" s="12" t="inlineStr">
        <is>
          <t>＋ Operating cash flow (Yr 1–hold)</t>
        </is>
      </c>
      <c r="C106" s="47">
        <f>C50</f>
        <v/>
      </c>
    </row>
    <row r="107" ht="15" customHeight="1">
      <c r="B107" s="12" t="inlineStr">
        <is>
          <t>＋ Value from NOI growth / lease-up</t>
        </is>
      </c>
      <c r="C107" s="47">
        <f>(C104-C25)/C30</f>
        <v/>
      </c>
    </row>
    <row r="108" ht="15" customHeight="1">
      <c r="B108" s="12" t="inlineStr">
        <is>
          <t>＋/− Value from cap-rate movement</t>
        </is>
      </c>
      <c r="C108" s="47">
        <f>C105-C104/C30</f>
        <v/>
      </c>
    </row>
    <row r="109" ht="15" customHeight="1">
      <c r="B109" s="12" t="inlineStr">
        <is>
          <t>− Cost of sale at exit</t>
        </is>
      </c>
      <c r="C109" s="47">
        <f>-C105*C35</f>
        <v/>
      </c>
    </row>
    <row r="110" ht="15" customHeight="1">
      <c r="B110" s="12" t="inlineStr">
        <is>
          <t>− Acquisition transaction costs</t>
        </is>
      </c>
      <c r="C110" s="47">
        <f>-C59*C49</f>
        <v/>
      </c>
    </row>
    <row r="111" ht="15" customHeight="1">
      <c r="B111" s="43" t="inlineStr">
        <is>
          <t>UNLEVERED PROFIT (sum of the above)</t>
        </is>
      </c>
      <c r="C111" s="44">
        <f>C106+C107+C108+C109+C110</f>
        <v/>
      </c>
    </row>
    <row r="112" ht="15" customHeight="1">
      <c r="B112" s="22" t="inlineStr">
        <is>
          <t>Check: Σ unlevered cash flow (income scenario)</t>
        </is>
      </c>
      <c r="C112" s="47">
        <f>SUM(C86:M86)</f>
        <v/>
      </c>
      <c r="D112" s="22" t="inlineStr">
        <is>
          <t>ties to unlevered profit above</t>
        </is>
      </c>
      <c r="E112" s="13" t="n"/>
      <c r="F112" s="13" t="n"/>
      <c r="G112" s="13" t="n"/>
      <c r="H112" s="13" t="n"/>
      <c r="I112" s="13" t="n"/>
      <c r="J112" s="13" t="n"/>
      <c r="K112" s="13" t="n"/>
      <c r="L112" s="13" t="n"/>
      <c r="M112" s="14" t="n"/>
    </row>
    <row r="113"/>
    <row r="114">
      <c r="B114" s="11" t="inlineStr">
        <is>
          <t>BREAK-EVEN  —  downside guardrails (at income price)</t>
        </is>
      </c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3" t="n"/>
    </row>
    <row r="115" ht="15" customHeight="1">
      <c r="B115" s="12" t="inlineStr">
        <is>
          <t>Σ levered operating CF (Yr 1–hold)</t>
        </is>
      </c>
      <c r="C115" s="51">
        <f>C50-C34*C66</f>
        <v/>
      </c>
    </row>
    <row r="116" ht="15" customHeight="1">
      <c r="B116" s="12" t="inlineStr">
        <is>
          <t>Break-even exit cap (return of capital, 1.00x)</t>
        </is>
      </c>
      <c r="C116" s="50">
        <f>C104*(1-C35)/(C84-C115+C67)</f>
        <v/>
      </c>
      <c r="D116" s="22" t="inlineStr">
        <is>
          <t>max exit cap before levered equity &lt; 1.0x</t>
        </is>
      </c>
      <c r="E116" s="13" t="n"/>
      <c r="F116" s="13" t="n"/>
      <c r="G116" s="13" t="n"/>
      <c r="H116" s="13" t="n"/>
      <c r="I116" s="13" t="n"/>
      <c r="J116" s="13" t="n"/>
      <c r="K116" s="13" t="n"/>
      <c r="L116" s="13" t="n"/>
      <c r="M116" s="14" t="n"/>
    </row>
    <row r="117" ht="15" customHeight="1">
      <c r="B117" s="12" t="inlineStr">
        <is>
          <t>Cushion vs. underwritten exit cap</t>
        </is>
      </c>
      <c r="C117" s="50">
        <f>C116-C31</f>
        <v/>
      </c>
      <c r="D117" s="22" t="inlineStr">
        <is>
          <t>bps of exit-cap softening tolerable</t>
        </is>
      </c>
      <c r="E117" s="13" t="n"/>
      <c r="F117" s="13" t="n"/>
      <c r="G117" s="13" t="n"/>
      <c r="H117" s="13" t="n"/>
      <c r="I117" s="13" t="n"/>
      <c r="J117" s="13" t="n"/>
      <c r="K117" s="13" t="n"/>
      <c r="L117" s="13" t="n"/>
      <c r="M117" s="14" t="n"/>
    </row>
    <row r="118"/>
    <row r="119">
      <c r="B119" s="11" t="inlineStr">
        <is>
          <t>VALUATION BRIDGE  —  income basis vs. highest-and-best-use (covered land)</t>
        </is>
      </c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3" t="n"/>
    </row>
    <row r="120" ht="15" customHeight="1">
      <c r="B120" s="52" t="inlineStr">
        <is>
          <t>Income-based purchase price (this tab)</t>
        </is>
      </c>
      <c r="C120" s="51">
        <f>C59</f>
        <v/>
      </c>
      <c r="D120" s="22" t="inlineStr">
        <is>
          <t>what the combined cash flows support</t>
        </is>
      </c>
      <c r="E120" s="13" t="n"/>
      <c r="F120" s="13" t="n"/>
      <c r="G120" s="13" t="n"/>
      <c r="H120" s="13" t="n"/>
      <c r="I120" s="13" t="n"/>
      <c r="J120" s="13" t="n"/>
      <c r="K120" s="13" t="n"/>
      <c r="L120" s="13" t="n"/>
      <c r="M120" s="14" t="n"/>
    </row>
    <row r="121" ht="15" customHeight="1">
      <c r="B121" s="52" t="inlineStr">
        <is>
          <t>HBU covered-land acquisition (Assemblage tab)</t>
        </is>
      </c>
      <c r="C121" s="23">
        <f>'Assemblage'!C29</f>
        <v/>
      </c>
      <c r="D121" s="22" t="inlineStr">
        <is>
          <t>land value + 20% assemblage premium to control</t>
        </is>
      </c>
      <c r="E121" s="13" t="n"/>
      <c r="F121" s="13" t="n"/>
      <c r="G121" s="13" t="n"/>
      <c r="H121" s="13" t="n"/>
      <c r="I121" s="13" t="n"/>
      <c r="J121" s="13" t="n"/>
      <c r="K121" s="13" t="n"/>
      <c r="L121" s="13" t="n"/>
      <c r="M121" s="14" t="n"/>
    </row>
    <row r="122" ht="29" customHeight="1">
      <c r="B122" s="55" t="inlineStr">
        <is>
          <t>PREMIUM OVER INCOME VALUE (dirt + optionality)</t>
        </is>
      </c>
      <c r="C122" s="56">
        <f>C121-C120</f>
        <v/>
      </c>
    </row>
    <row r="123" ht="15" customHeight="1">
      <c r="B123" s="12" t="inlineStr">
        <is>
          <t>Premium as % of income value</t>
        </is>
      </c>
      <c r="C123" s="53">
        <f>C122/C120</f>
        <v/>
      </c>
    </row>
    <row r="124"/>
    <row r="125">
      <c r="B125" s="11" t="inlineStr">
        <is>
          <t>SENSITIVITY ①  —  income value  ($M)  ·  going-in cap (rows) × as-is NOI (cols)</t>
        </is>
      </c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3" t="n"/>
    </row>
    <row r="126" ht="15" customHeight="1">
      <c r="B126" s="16" t="inlineStr">
        <is>
          <t>Cap  ╲  NOI</t>
        </is>
      </c>
      <c r="D126" s="57" t="n">
        <v>0.9</v>
      </c>
      <c r="E126" s="57" t="n">
        <v>0.95</v>
      </c>
      <c r="F126" s="57" t="n">
        <v>1</v>
      </c>
      <c r="G126" s="57" t="n">
        <v>1.05</v>
      </c>
      <c r="H126" s="57" t="n">
        <v>1.1</v>
      </c>
    </row>
    <row r="127">
      <c r="B127" s="29" t="n">
        <v>0.06</v>
      </c>
      <c r="D127" s="58">
        <f>C25*D126/B127/1000000</f>
        <v/>
      </c>
      <c r="E127" s="58">
        <f>C25*E126/B127/1000000</f>
        <v/>
      </c>
      <c r="F127" s="58">
        <f>C25*F126/B127/1000000</f>
        <v/>
      </c>
      <c r="G127" s="58">
        <f>C25*G126/B127/1000000</f>
        <v/>
      </c>
      <c r="H127" s="58">
        <f>C25*H126/B127/1000000</f>
        <v/>
      </c>
    </row>
    <row r="128">
      <c r="B128" s="29" t="n">
        <v>0.0625</v>
      </c>
      <c r="D128" s="58">
        <f>C25*D126/B128/1000000</f>
        <v/>
      </c>
      <c r="E128" s="58">
        <f>C25*E126/B128/1000000</f>
        <v/>
      </c>
      <c r="F128" s="58">
        <f>C25*F126/B128/1000000</f>
        <v/>
      </c>
      <c r="G128" s="58">
        <f>C25*G126/B128/1000000</f>
        <v/>
      </c>
      <c r="H128" s="58">
        <f>C25*H126/B128/1000000</f>
        <v/>
      </c>
    </row>
    <row r="129">
      <c r="B129" s="29" t="n">
        <v>0.065</v>
      </c>
      <c r="D129" s="58">
        <f>C25*D126/B129/1000000</f>
        <v/>
      </c>
      <c r="E129" s="58">
        <f>C25*E126/B129/1000000</f>
        <v/>
      </c>
      <c r="F129" s="58">
        <f>C25*F126/B129/1000000</f>
        <v/>
      </c>
      <c r="G129" s="58">
        <f>C25*G126/B129/1000000</f>
        <v/>
      </c>
      <c r="H129" s="58">
        <f>C25*H126/B129/1000000</f>
        <v/>
      </c>
    </row>
    <row r="130">
      <c r="B130" s="29" t="n">
        <v>0.0675</v>
      </c>
      <c r="D130" s="58">
        <f>C25*D126/B130/1000000</f>
        <v/>
      </c>
      <c r="E130" s="58">
        <f>C25*E126/B130/1000000</f>
        <v/>
      </c>
      <c r="F130" s="58">
        <f>C25*F126/B130/1000000</f>
        <v/>
      </c>
      <c r="G130" s="58">
        <f>C25*G126/B130/1000000</f>
        <v/>
      </c>
      <c r="H130" s="58">
        <f>C25*H126/B130/1000000</f>
        <v/>
      </c>
    </row>
    <row r="131">
      <c r="B131" s="29" t="n">
        <v>0.07000000000000001</v>
      </c>
      <c r="D131" s="58">
        <f>C25*D126/B131/1000000</f>
        <v/>
      </c>
      <c r="E131" s="58">
        <f>C25*E126/B131/1000000</f>
        <v/>
      </c>
      <c r="F131" s="58">
        <f>C25*F126/B131/1000000</f>
        <v/>
      </c>
      <c r="G131" s="58">
        <f>C25*G126/B131/1000000</f>
        <v/>
      </c>
      <c r="H131" s="58">
        <f>C25*H126/B131/1000000</f>
        <v/>
      </c>
    </row>
    <row r="132"/>
    <row r="133">
      <c r="B133" s="11" t="inlineStr">
        <is>
          <t>SENSITIVITY ②  —  levered equity multiple  ·  purchase price (rows) × exit cap (cols)</t>
        </is>
      </c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3" t="n"/>
    </row>
    <row r="134" ht="15" customHeight="1">
      <c r="B134" s="16" t="inlineStr">
        <is>
          <t>Price ╲ exit cap</t>
        </is>
      </c>
      <c r="D134" s="29" t="n">
        <v>0.06</v>
      </c>
      <c r="E134" s="29" t="n">
        <v>0.065</v>
      </c>
      <c r="F134" s="29" t="n">
        <v>0.07000000000000001</v>
      </c>
      <c r="G134" s="29" t="n">
        <v>0.075</v>
      </c>
      <c r="H134" s="29" t="n">
        <v>0.08</v>
      </c>
    </row>
    <row r="135">
      <c r="B135" s="35" t="n">
        <v>65000000</v>
      </c>
      <c r="D135" s="59">
        <f>(C50-C34*(MIN(B135*C40,C63,C64)*C48)+(C51*(1+C33)/D134*(1-C35))-(MIN(B135*C40,C63,C64)*(1+C47)^(12*C34)-((MIN(B135*C40,C63,C64)*C48)/12)*((1+C47)^(12*C34)-1)/C47))/(B135*(1+C49)-MIN(B135*C40,C63,C64))</f>
        <v/>
      </c>
      <c r="E135" s="59">
        <f>(C50-C34*(MIN(B135*C40,C63,C64)*C48)+(C51*(1+C33)/E134*(1-C35))-(MIN(B135*C40,C63,C64)*(1+C47)^(12*C34)-((MIN(B135*C40,C63,C64)*C48)/12)*((1+C47)^(12*C34)-1)/C47))/(B135*(1+C49)-MIN(B135*C40,C63,C64))</f>
        <v/>
      </c>
      <c r="F135" s="59">
        <f>(C50-C34*(MIN(B135*C40,C63,C64)*C48)+(C51*(1+C33)/F134*(1-C35))-(MIN(B135*C40,C63,C64)*(1+C47)^(12*C34)-((MIN(B135*C40,C63,C64)*C48)/12)*((1+C47)^(12*C34)-1)/C47))/(B135*(1+C49)-MIN(B135*C40,C63,C64))</f>
        <v/>
      </c>
      <c r="G135" s="59">
        <f>(C50-C34*(MIN(B135*C40,C63,C64)*C48)+(C51*(1+C33)/G134*(1-C35))-(MIN(B135*C40,C63,C64)*(1+C47)^(12*C34)-((MIN(B135*C40,C63,C64)*C48)/12)*((1+C47)^(12*C34)-1)/C47))/(B135*(1+C49)-MIN(B135*C40,C63,C64))</f>
        <v/>
      </c>
      <c r="H135" s="59">
        <f>(C50-C34*(MIN(B135*C40,C63,C64)*C48)+(C51*(1+C33)/H134*(1-C35))-(MIN(B135*C40,C63,C64)*(1+C47)^(12*C34)-((MIN(B135*C40,C63,C64)*C48)/12)*((1+C47)^(12*C34)-1)/C47))/(B135*(1+C49)-MIN(B135*C40,C63,C64))</f>
        <v/>
      </c>
    </row>
    <row r="136">
      <c r="B136" s="35" t="n">
        <v>75000000</v>
      </c>
      <c r="D136" s="59">
        <f>(C50-C34*(MIN(B136*C40,C63,C64)*C48)+(C51*(1+C33)/D134*(1-C35))-(MIN(B136*C40,C63,C64)*(1+C47)^(12*C34)-((MIN(B136*C40,C63,C64)*C48)/12)*((1+C47)^(12*C34)-1)/C47))/(B136*(1+C49)-MIN(B136*C40,C63,C64))</f>
        <v/>
      </c>
      <c r="E136" s="59">
        <f>(C50-C34*(MIN(B136*C40,C63,C64)*C48)+(C51*(1+C33)/E134*(1-C35))-(MIN(B136*C40,C63,C64)*(1+C47)^(12*C34)-((MIN(B136*C40,C63,C64)*C48)/12)*((1+C47)^(12*C34)-1)/C47))/(B136*(1+C49)-MIN(B136*C40,C63,C64))</f>
        <v/>
      </c>
      <c r="F136" s="59">
        <f>(C50-C34*(MIN(B136*C40,C63,C64)*C48)+(C51*(1+C33)/F134*(1-C35))-(MIN(B136*C40,C63,C64)*(1+C47)^(12*C34)-((MIN(B136*C40,C63,C64)*C48)/12)*((1+C47)^(12*C34)-1)/C47))/(B136*(1+C49)-MIN(B136*C40,C63,C64))</f>
        <v/>
      </c>
      <c r="G136" s="59">
        <f>(C50-C34*(MIN(B136*C40,C63,C64)*C48)+(C51*(1+C33)/G134*(1-C35))-(MIN(B136*C40,C63,C64)*(1+C47)^(12*C34)-((MIN(B136*C40,C63,C64)*C48)/12)*((1+C47)^(12*C34)-1)/C47))/(B136*(1+C49)-MIN(B136*C40,C63,C64))</f>
        <v/>
      </c>
      <c r="H136" s="59">
        <f>(C50-C34*(MIN(B136*C40,C63,C64)*C48)+(C51*(1+C33)/H134*(1-C35))-(MIN(B136*C40,C63,C64)*(1+C47)^(12*C34)-((MIN(B136*C40,C63,C64)*C48)/12)*((1+C47)^(12*C34)-1)/C47))/(B136*(1+C49)-MIN(B136*C40,C63,C64))</f>
        <v/>
      </c>
    </row>
    <row r="137">
      <c r="B137" s="35" t="n">
        <v>85000000</v>
      </c>
      <c r="D137" s="59">
        <f>(C50-C34*(MIN(B137*C40,C63,C64)*C48)+(C51*(1+C33)/D134*(1-C35))-(MIN(B137*C40,C63,C64)*(1+C47)^(12*C34)-((MIN(B137*C40,C63,C64)*C48)/12)*((1+C47)^(12*C34)-1)/C47))/(B137*(1+C49)-MIN(B137*C40,C63,C64))</f>
        <v/>
      </c>
      <c r="E137" s="59">
        <f>(C50-C34*(MIN(B137*C40,C63,C64)*C48)+(C51*(1+C33)/E134*(1-C35))-(MIN(B137*C40,C63,C64)*(1+C47)^(12*C34)-((MIN(B137*C40,C63,C64)*C48)/12)*((1+C47)^(12*C34)-1)/C47))/(B137*(1+C49)-MIN(B137*C40,C63,C64))</f>
        <v/>
      </c>
      <c r="F137" s="59">
        <f>(C50-C34*(MIN(B137*C40,C63,C64)*C48)+(C51*(1+C33)/F134*(1-C35))-(MIN(B137*C40,C63,C64)*(1+C47)^(12*C34)-((MIN(B137*C40,C63,C64)*C48)/12)*((1+C47)^(12*C34)-1)/C47))/(B137*(1+C49)-MIN(B137*C40,C63,C64))</f>
        <v/>
      </c>
      <c r="G137" s="59">
        <f>(C50-C34*(MIN(B137*C40,C63,C64)*C48)+(C51*(1+C33)/G134*(1-C35))-(MIN(B137*C40,C63,C64)*(1+C47)^(12*C34)-((MIN(B137*C40,C63,C64)*C48)/12)*((1+C47)^(12*C34)-1)/C47))/(B137*(1+C49)-MIN(B137*C40,C63,C64))</f>
        <v/>
      </c>
      <c r="H137" s="59">
        <f>(C50-C34*(MIN(B137*C40,C63,C64)*C48)+(C51*(1+C33)/H134*(1-C35))-(MIN(B137*C40,C63,C64)*(1+C47)^(12*C34)-((MIN(B137*C40,C63,C64)*C48)/12)*((1+C47)^(12*C34)-1)/C47))/(B137*(1+C49)-MIN(B137*C40,C63,C64))</f>
        <v/>
      </c>
    </row>
    <row r="138">
      <c r="B138" s="35" t="n">
        <v>95000000</v>
      </c>
      <c r="D138" s="59">
        <f>(C50-C34*(MIN(B138*C40,C63,C64)*C48)+(C51*(1+C33)/D134*(1-C35))-(MIN(B138*C40,C63,C64)*(1+C47)^(12*C34)-((MIN(B138*C40,C63,C64)*C48)/12)*((1+C47)^(12*C34)-1)/C47))/(B138*(1+C49)-MIN(B138*C40,C63,C64))</f>
        <v/>
      </c>
      <c r="E138" s="59">
        <f>(C50-C34*(MIN(B138*C40,C63,C64)*C48)+(C51*(1+C33)/E134*(1-C35))-(MIN(B138*C40,C63,C64)*(1+C47)^(12*C34)-((MIN(B138*C40,C63,C64)*C48)/12)*((1+C47)^(12*C34)-1)/C47))/(B138*(1+C49)-MIN(B138*C40,C63,C64))</f>
        <v/>
      </c>
      <c r="F138" s="59">
        <f>(C50-C34*(MIN(B138*C40,C63,C64)*C48)+(C51*(1+C33)/F134*(1-C35))-(MIN(B138*C40,C63,C64)*(1+C47)^(12*C34)-((MIN(B138*C40,C63,C64)*C48)/12)*((1+C47)^(12*C34)-1)/C47))/(B138*(1+C49)-MIN(B138*C40,C63,C64))</f>
        <v/>
      </c>
      <c r="G138" s="59">
        <f>(C50-C34*(MIN(B138*C40,C63,C64)*C48)+(C51*(1+C33)/G134*(1-C35))-(MIN(B138*C40,C63,C64)*(1+C47)^(12*C34)-((MIN(B138*C40,C63,C64)*C48)/12)*((1+C47)^(12*C34)-1)/C47))/(B138*(1+C49)-MIN(B138*C40,C63,C64))</f>
        <v/>
      </c>
      <c r="H138" s="59">
        <f>(C50-C34*(MIN(B138*C40,C63,C64)*C48)+(C51*(1+C33)/H134*(1-C35))-(MIN(B138*C40,C63,C64)*(1+C47)^(12*C34)-((MIN(B138*C40,C63,C64)*C48)/12)*((1+C47)^(12*C34)-1)/C47))/(B138*(1+C49)-MIN(B138*C40,C63,C64))</f>
        <v/>
      </c>
    </row>
    <row r="139">
      <c r="B139" s="35" t="n">
        <v>102000000</v>
      </c>
      <c r="D139" s="59">
        <f>(C50-C34*(MIN(B139*C40,C63,C64)*C48)+(C51*(1+C33)/D134*(1-C35))-(MIN(B139*C40,C63,C64)*(1+C47)^(12*C34)-((MIN(B139*C40,C63,C64)*C48)/12)*((1+C47)^(12*C34)-1)/C47))/(B139*(1+C49)-MIN(B139*C40,C63,C64))</f>
        <v/>
      </c>
      <c r="E139" s="59">
        <f>(C50-C34*(MIN(B139*C40,C63,C64)*C48)+(C51*(1+C33)/E134*(1-C35))-(MIN(B139*C40,C63,C64)*(1+C47)^(12*C34)-((MIN(B139*C40,C63,C64)*C48)/12)*((1+C47)^(12*C34)-1)/C47))/(B139*(1+C49)-MIN(B139*C40,C63,C64))</f>
        <v/>
      </c>
      <c r="F139" s="59">
        <f>(C50-C34*(MIN(B139*C40,C63,C64)*C48)+(C51*(1+C33)/F134*(1-C35))-(MIN(B139*C40,C63,C64)*(1+C47)^(12*C34)-((MIN(B139*C40,C63,C64)*C48)/12)*((1+C47)^(12*C34)-1)/C47))/(B139*(1+C49)-MIN(B139*C40,C63,C64))</f>
        <v/>
      </c>
      <c r="G139" s="59">
        <f>(C50-C34*(MIN(B139*C40,C63,C64)*C48)+(C51*(1+C33)/G134*(1-C35))-(MIN(B139*C40,C63,C64)*(1+C47)^(12*C34)-((MIN(B139*C40,C63,C64)*C48)/12)*((1+C47)^(12*C34)-1)/C47))/(B139*(1+C49)-MIN(B139*C40,C63,C64))</f>
        <v/>
      </c>
      <c r="H139" s="59">
        <f>(C50-C34*(MIN(B139*C40,C63,C64)*C48)+(C51*(1+C33)/H134*(1-C35))-(MIN(B139*C40,C63,C64)*(1+C47)^(12*C34)-((MIN(B139*C40,C63,C64)*C48)/12)*((1+C47)^(12*C34)-1)/C47))/(B139*(1+C49)-MIN(B139*C40,C63,C64))</f>
        <v/>
      </c>
    </row>
    <row r="140"/>
    <row r="141" ht="15" customHeight="1">
      <c r="B141" s="22" t="inlineStr">
        <is>
          <t>Note</t>
        </is>
      </c>
      <c r="D141" s="22" t="inlineStr">
        <is>
          <t>Sensitivity ② uses a blended exit cap on consolidated exit-year NOI and lesser-of debt sizing at each price; operating cash flows are held at the underwritten level. Green = higher multiple.</t>
        </is>
      </c>
      <c r="E141" s="13" t="n"/>
      <c r="F141" s="13" t="n"/>
      <c r="G141" s="13" t="n"/>
      <c r="H141" s="13" t="n"/>
      <c r="I141" s="13" t="n"/>
      <c r="J141" s="13" t="n"/>
      <c r="K141" s="13" t="n"/>
      <c r="L141" s="13" t="n"/>
      <c r="M141" s="14" t="n"/>
    </row>
  </sheetData>
  <mergeCells count="69">
    <mergeCell ref="B70:M70"/>
    <mergeCell ref="B2:M2"/>
    <mergeCell ref="D37:M37"/>
    <mergeCell ref="D56:M56"/>
    <mergeCell ref="D58:M58"/>
    <mergeCell ref="B98:M98"/>
    <mergeCell ref="E71:F71"/>
    <mergeCell ref="B61:M61"/>
    <mergeCell ref="B8:M8"/>
    <mergeCell ref="D30:M30"/>
    <mergeCell ref="D25:M25"/>
    <mergeCell ref="D39:M39"/>
    <mergeCell ref="E83:F83"/>
    <mergeCell ref="D117:M117"/>
    <mergeCell ref="B1:M1"/>
    <mergeCell ref="B13:M13"/>
    <mergeCell ref="D55:M55"/>
    <mergeCell ref="D42:M42"/>
    <mergeCell ref="B71:C71"/>
    <mergeCell ref="D38:M38"/>
    <mergeCell ref="B29:M29"/>
    <mergeCell ref="D33:M33"/>
    <mergeCell ref="E82:F82"/>
    <mergeCell ref="E92:F92"/>
    <mergeCell ref="B103:M103"/>
    <mergeCell ref="B10:M10"/>
    <mergeCell ref="D35:M35"/>
    <mergeCell ref="D26:M26"/>
    <mergeCell ref="D44:M44"/>
    <mergeCell ref="D59:M59"/>
    <mergeCell ref="E94:F94"/>
    <mergeCell ref="D100:M100"/>
    <mergeCell ref="E84:F84"/>
    <mergeCell ref="D34:M34"/>
    <mergeCell ref="D121:M121"/>
    <mergeCell ref="D99:M99"/>
    <mergeCell ref="B6:M6"/>
    <mergeCell ref="B24:M24"/>
    <mergeCell ref="B133:M133"/>
    <mergeCell ref="D31:M31"/>
    <mergeCell ref="D65:M65"/>
    <mergeCell ref="E90:F90"/>
    <mergeCell ref="B5:M5"/>
    <mergeCell ref="D40:M40"/>
    <mergeCell ref="D36:M36"/>
    <mergeCell ref="B80:M80"/>
    <mergeCell ref="B114:M114"/>
    <mergeCell ref="B119:M119"/>
    <mergeCell ref="D101:M101"/>
    <mergeCell ref="D52:M52"/>
    <mergeCell ref="B4:M4"/>
    <mergeCell ref="D49:M49"/>
    <mergeCell ref="D120:M120"/>
    <mergeCell ref="B54:M54"/>
    <mergeCell ref="D41:M41"/>
    <mergeCell ref="E91:F91"/>
    <mergeCell ref="B7:M7"/>
    <mergeCell ref="D32:M32"/>
    <mergeCell ref="E85:F85"/>
    <mergeCell ref="D116:M116"/>
    <mergeCell ref="B125:M125"/>
    <mergeCell ref="D141:M141"/>
    <mergeCell ref="D48:M48"/>
    <mergeCell ref="B46:M46"/>
    <mergeCell ref="E81:F81"/>
    <mergeCell ref="E93:F93"/>
    <mergeCell ref="D43:M43"/>
    <mergeCell ref="E96:F96"/>
    <mergeCell ref="D112:M112"/>
  </mergeCells>
  <conditionalFormatting sqref="D127:H131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135:H13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rintOptions horizontalCentered="1"/>
  <pageMargins left="0.3" right="0.3" top="0.4" bottom="0.4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tabColor rgb="00C9A84C"/>
    <outlinePr summaryBelow="1" summaryRight="1"/>
    <pageSetUpPr fitToPage="1"/>
  </sheetPr>
  <dimension ref="A1:M26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.5" customWidth="1" min="1" max="1"/>
    <col width="30" customWidth="1" min="2" max="2"/>
    <col width="13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 ht="26" customHeight="1">
      <c r="B1" s="1" t="inlineStr">
        <is>
          <t>SCENARIO ANALYSIS  —  DOWNSIDE / BASE / UPSIDE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3" t="n"/>
    </row>
    <row r="2" ht="31" customHeight="1">
      <c r="B2" s="4" t="inlineStr">
        <is>
          <t>Acquisition held at the base income price; the business plan is stressed on NOI achievement, exit cap, and financing rate. Each case is a full consolidated cash flow with its own levered/unlevered return.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3" t="n"/>
    </row>
    <row r="3"/>
    <row r="4">
      <c r="B4" s="11" t="inlineStr">
        <is>
          <t>SCENARIO DRIVERS  —  🔵 blue inputs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3" t="n"/>
    </row>
    <row r="5" ht="15" customHeight="1">
      <c r="B5" s="15" t="inlineStr">
        <is>
          <t>Scenario</t>
        </is>
      </c>
      <c r="C5" s="16" t="inlineStr">
        <is>
          <t>NOI achieved</t>
        </is>
      </c>
      <c r="D5" s="16" t="inlineStr">
        <is>
          <t>Exit cap</t>
        </is>
      </c>
      <c r="E5" s="16" t="inlineStr">
        <is>
          <t>Senior rate</t>
        </is>
      </c>
    </row>
    <row r="6" ht="15" customHeight="1">
      <c r="B6" s="52" t="inlineStr">
        <is>
          <t>Downside</t>
        </is>
      </c>
      <c r="C6" s="57" t="n">
        <v>0.92</v>
      </c>
      <c r="D6" s="29" t="n">
        <v>0.0725</v>
      </c>
      <c r="E6" s="29" t="n">
        <v>0.0725</v>
      </c>
    </row>
    <row r="7" ht="15" customHeight="1">
      <c r="B7" s="52" t="inlineStr">
        <is>
          <t>Base</t>
        </is>
      </c>
      <c r="C7" s="57" t="n">
        <v>1</v>
      </c>
      <c r="D7" s="29" t="n">
        <v>0.0675</v>
      </c>
      <c r="E7" s="29" t="n">
        <v>0.065</v>
      </c>
    </row>
    <row r="8" ht="15" customHeight="1">
      <c r="B8" s="52" t="inlineStr">
        <is>
          <t>Upside</t>
        </is>
      </c>
      <c r="C8" s="57" t="n">
        <v>1.06</v>
      </c>
      <c r="D8" s="29" t="n">
        <v>0.0625</v>
      </c>
      <c r="E8" s="29" t="n">
        <v>0.06</v>
      </c>
    </row>
    <row r="9" ht="15" customHeight="1">
      <c r="B9" s="22" t="inlineStr">
        <is>
          <t>Base income price (fixed basis)</t>
        </is>
      </c>
      <c r="C9" s="17">
        <f>'Income Valuation'!C59</f>
        <v/>
      </c>
      <c r="E9" s="22" t="inlineStr">
        <is>
          <t>loan &amp; equity held fixed; only the senior rate varies debt service across cases</t>
        </is>
      </c>
      <c r="F9" s="13" t="n"/>
      <c r="G9" s="13" t="n"/>
      <c r="H9" s="13" t="n"/>
      <c r="I9" s="13" t="n"/>
      <c r="J9" s="13" t="n"/>
      <c r="K9" s="13" t="n"/>
      <c r="L9" s="13" t="n"/>
      <c r="M9" s="14" t="n"/>
    </row>
    <row r="10"/>
    <row r="11">
      <c r="B11" s="11" t="inlineStr">
        <is>
          <t>CONSOLIDATED CASH FLOW BY SCENARIO  (unlevered &amp; levered)</t>
        </is>
      </c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3" t="n"/>
    </row>
    <row r="12" ht="15" customHeight="1">
      <c r="B12" s="15" t="inlineStr">
        <is>
          <t>Year</t>
        </is>
      </c>
      <c r="C12" s="16" t="inlineStr">
        <is>
          <t>0/Acq</t>
        </is>
      </c>
      <c r="D12" s="41" t="n">
        <v>1</v>
      </c>
      <c r="E12" s="41" t="n">
        <v>2</v>
      </c>
      <c r="F12" s="41" t="n">
        <v>3</v>
      </c>
      <c r="G12" s="41" t="n">
        <v>4</v>
      </c>
      <c r="H12" s="41" t="n">
        <v>5</v>
      </c>
      <c r="I12" s="41" t="n">
        <v>6</v>
      </c>
      <c r="J12" s="41" t="n">
        <v>7</v>
      </c>
      <c r="K12" s="41" t="n">
        <v>8</v>
      </c>
      <c r="L12" s="41" t="n">
        <v>9</v>
      </c>
      <c r="M12" s="41" t="n">
        <v>10</v>
      </c>
    </row>
    <row r="13" ht="15" customHeight="1">
      <c r="B13" s="22" t="inlineStr">
        <is>
          <t xml:space="preserve">  Downside — unlevered CF</t>
        </is>
      </c>
      <c r="C13" s="47">
        <f>-'Income Valuation'!C59*(1+'Income Valuation'!C49)</f>
        <v/>
      </c>
      <c r="D13" s="47">
        <f>IF(1&lt;='Income Valuation'!C34,'Income Valuation'!D21*C6,0)+IF(1='Income Valuation'!C34,('Income Valuation'!C52*C6*D7/D6),0)</f>
        <v/>
      </c>
      <c r="E13" s="47">
        <f>IF(2&lt;='Income Valuation'!C34,'Income Valuation'!E21*C6,0)+IF(2='Income Valuation'!C34,('Income Valuation'!C52*C6*D7/D6),0)</f>
        <v/>
      </c>
      <c r="F13" s="47">
        <f>IF(3&lt;='Income Valuation'!C34,'Income Valuation'!F21*C6,0)+IF(3='Income Valuation'!C34,('Income Valuation'!C52*C6*D7/D6),0)</f>
        <v/>
      </c>
      <c r="G13" s="47">
        <f>IF(4&lt;='Income Valuation'!C34,'Income Valuation'!G21*C6,0)+IF(4='Income Valuation'!C34,('Income Valuation'!C52*C6*D7/D6),0)</f>
        <v/>
      </c>
      <c r="H13" s="47">
        <f>IF(5&lt;='Income Valuation'!C34,'Income Valuation'!H21*C6,0)+IF(5='Income Valuation'!C34,('Income Valuation'!C52*C6*D7/D6),0)</f>
        <v/>
      </c>
      <c r="I13" s="47">
        <f>IF(6&lt;='Income Valuation'!C34,'Income Valuation'!I21*C6,0)+IF(6='Income Valuation'!C34,('Income Valuation'!C52*C6*D7/D6),0)</f>
        <v/>
      </c>
      <c r="J13" s="47">
        <f>IF(7&lt;='Income Valuation'!C34,'Income Valuation'!J21*C6,0)+IF(7='Income Valuation'!C34,('Income Valuation'!C52*C6*D7/D6),0)</f>
        <v/>
      </c>
      <c r="K13" s="47">
        <f>IF(8&lt;='Income Valuation'!C34,'Income Valuation'!K21*C6,0)+IF(8='Income Valuation'!C34,('Income Valuation'!C52*C6*D7/D6),0)</f>
        <v/>
      </c>
      <c r="L13" s="47">
        <f>IF(9&lt;='Income Valuation'!C34,'Income Valuation'!L21*C6,0)+IF(9='Income Valuation'!C34,('Income Valuation'!C52*C6*D7/D6),0)</f>
        <v/>
      </c>
      <c r="M13" s="47">
        <f>IF(10&lt;='Income Valuation'!C34,'Income Valuation'!M21*C6,0)+IF(10='Income Valuation'!C34,('Income Valuation'!C52*C6*D7/D6),0)</f>
        <v/>
      </c>
    </row>
    <row r="14" ht="15" customHeight="1">
      <c r="B14" s="22" t="inlineStr">
        <is>
          <t xml:space="preserve">  Downside — levered CF</t>
        </is>
      </c>
      <c r="C14" s="47">
        <f>-('Income Valuation'!C59*(1+'Income Valuation'!C49)+'Income Valuation'!C39*'Income Valuation'!C65-'Income Valuation'!C65)</f>
        <v/>
      </c>
      <c r="D14" s="47">
        <f>IF(1&lt;='Income Valuation'!C34,'Income Valuation'!D21*C6-('Income Valuation'!C65*((E6/12)/(1-(1+(E6/12))^(-'Income Valuation'!C44*12))*12)),0)+IF(1='Income Valuation'!C34,('Income Valuation'!C52*C6*D7/D6)-('Income Valuation'!C65*(1+(E6/12))^(12*'Income Valuation'!C34)-(('Income Valuation'!C65*((E6/12)/(1-(1+(E6/12))^(-'Income Valuation'!C44*12))*12))/12)*((1+(E6/12))^(12*'Income Valuation'!C34)-1)/(E6/12)),0)</f>
        <v/>
      </c>
      <c r="E14" s="47">
        <f>IF(2&lt;='Income Valuation'!C34,'Income Valuation'!E21*C6-('Income Valuation'!C65*((E6/12)/(1-(1+(E6/12))^(-'Income Valuation'!C44*12))*12)),0)+IF(2='Income Valuation'!C34,('Income Valuation'!C52*C6*D7/D6)-('Income Valuation'!C65*(1+(E6/12))^(12*'Income Valuation'!C34)-(('Income Valuation'!C65*((E6/12)/(1-(1+(E6/12))^(-'Income Valuation'!C44*12))*12))/12)*((1+(E6/12))^(12*'Income Valuation'!C34)-1)/(E6/12)),0)</f>
        <v/>
      </c>
      <c r="F14" s="47">
        <f>IF(3&lt;='Income Valuation'!C34,'Income Valuation'!F21*C6-('Income Valuation'!C65*((E6/12)/(1-(1+(E6/12))^(-'Income Valuation'!C44*12))*12)),0)+IF(3='Income Valuation'!C34,('Income Valuation'!C52*C6*D7/D6)-('Income Valuation'!C65*(1+(E6/12))^(12*'Income Valuation'!C34)-(('Income Valuation'!C65*((E6/12)/(1-(1+(E6/12))^(-'Income Valuation'!C44*12))*12))/12)*((1+(E6/12))^(12*'Income Valuation'!C34)-1)/(E6/12)),0)</f>
        <v/>
      </c>
      <c r="G14" s="47">
        <f>IF(4&lt;='Income Valuation'!C34,'Income Valuation'!G21*C6-('Income Valuation'!C65*((E6/12)/(1-(1+(E6/12))^(-'Income Valuation'!C44*12))*12)),0)+IF(4='Income Valuation'!C34,('Income Valuation'!C52*C6*D7/D6)-('Income Valuation'!C65*(1+(E6/12))^(12*'Income Valuation'!C34)-(('Income Valuation'!C65*((E6/12)/(1-(1+(E6/12))^(-'Income Valuation'!C44*12))*12))/12)*((1+(E6/12))^(12*'Income Valuation'!C34)-1)/(E6/12)),0)</f>
        <v/>
      </c>
      <c r="H14" s="47">
        <f>IF(5&lt;='Income Valuation'!C34,'Income Valuation'!H21*C6-('Income Valuation'!C65*((E6/12)/(1-(1+(E6/12))^(-'Income Valuation'!C44*12))*12)),0)+IF(5='Income Valuation'!C34,('Income Valuation'!C52*C6*D7/D6)-('Income Valuation'!C65*(1+(E6/12))^(12*'Income Valuation'!C34)-(('Income Valuation'!C65*((E6/12)/(1-(1+(E6/12))^(-'Income Valuation'!C44*12))*12))/12)*((1+(E6/12))^(12*'Income Valuation'!C34)-1)/(E6/12)),0)</f>
        <v/>
      </c>
      <c r="I14" s="47">
        <f>IF(6&lt;='Income Valuation'!C34,'Income Valuation'!I21*C6-('Income Valuation'!C65*((E6/12)/(1-(1+(E6/12))^(-'Income Valuation'!C44*12))*12)),0)+IF(6='Income Valuation'!C34,('Income Valuation'!C52*C6*D7/D6)-('Income Valuation'!C65*(1+(E6/12))^(12*'Income Valuation'!C34)-(('Income Valuation'!C65*((E6/12)/(1-(1+(E6/12))^(-'Income Valuation'!C44*12))*12))/12)*((1+(E6/12))^(12*'Income Valuation'!C34)-1)/(E6/12)),0)</f>
        <v/>
      </c>
      <c r="J14" s="47">
        <f>IF(7&lt;='Income Valuation'!C34,'Income Valuation'!J21*C6-('Income Valuation'!C65*((E6/12)/(1-(1+(E6/12))^(-'Income Valuation'!C44*12))*12)),0)+IF(7='Income Valuation'!C34,('Income Valuation'!C52*C6*D7/D6)-('Income Valuation'!C65*(1+(E6/12))^(12*'Income Valuation'!C34)-(('Income Valuation'!C65*((E6/12)/(1-(1+(E6/12))^(-'Income Valuation'!C44*12))*12))/12)*((1+(E6/12))^(12*'Income Valuation'!C34)-1)/(E6/12)),0)</f>
        <v/>
      </c>
      <c r="K14" s="47">
        <f>IF(8&lt;='Income Valuation'!C34,'Income Valuation'!K21*C6-('Income Valuation'!C65*((E6/12)/(1-(1+(E6/12))^(-'Income Valuation'!C44*12))*12)),0)+IF(8='Income Valuation'!C34,('Income Valuation'!C52*C6*D7/D6)-('Income Valuation'!C65*(1+(E6/12))^(12*'Income Valuation'!C34)-(('Income Valuation'!C65*((E6/12)/(1-(1+(E6/12))^(-'Income Valuation'!C44*12))*12))/12)*((1+(E6/12))^(12*'Income Valuation'!C34)-1)/(E6/12)),0)</f>
        <v/>
      </c>
      <c r="L14" s="47">
        <f>IF(9&lt;='Income Valuation'!C34,'Income Valuation'!L21*C6-('Income Valuation'!C65*((E6/12)/(1-(1+(E6/12))^(-'Income Valuation'!C44*12))*12)),0)+IF(9='Income Valuation'!C34,('Income Valuation'!C52*C6*D7/D6)-('Income Valuation'!C65*(1+(E6/12))^(12*'Income Valuation'!C34)-(('Income Valuation'!C65*((E6/12)/(1-(1+(E6/12))^(-'Income Valuation'!C44*12))*12))/12)*((1+(E6/12))^(12*'Income Valuation'!C34)-1)/(E6/12)),0)</f>
        <v/>
      </c>
      <c r="M14" s="47">
        <f>IF(10&lt;='Income Valuation'!C34,'Income Valuation'!M21*C6-('Income Valuation'!C65*((E6/12)/(1-(1+(E6/12))^(-'Income Valuation'!C44*12))*12)),0)+IF(10='Income Valuation'!C34,('Income Valuation'!C52*C6*D7/D6)-('Income Valuation'!C65*(1+(E6/12))^(12*'Income Valuation'!C34)-(('Income Valuation'!C65*((E6/12)/(1-(1+(E6/12))^(-'Income Valuation'!C44*12))*12))/12)*((1+(E6/12))^(12*'Income Valuation'!C34)-1)/(E6/12)),0)</f>
        <v/>
      </c>
    </row>
    <row r="15" ht="15" customHeight="1">
      <c r="B15" s="22" t="inlineStr">
        <is>
          <t xml:space="preserve">  Base — unlevered CF</t>
        </is>
      </c>
      <c r="C15" s="47">
        <f>-'Income Valuation'!C59*(1+'Income Valuation'!C49)</f>
        <v/>
      </c>
      <c r="D15" s="47">
        <f>IF(1&lt;='Income Valuation'!C34,'Income Valuation'!D21*C7,0)+IF(1='Income Valuation'!C34,('Income Valuation'!C52*C7*D7/D7),0)</f>
        <v/>
      </c>
      <c r="E15" s="47">
        <f>IF(2&lt;='Income Valuation'!C34,'Income Valuation'!E21*C7,0)+IF(2='Income Valuation'!C34,('Income Valuation'!C52*C7*D7/D7),0)</f>
        <v/>
      </c>
      <c r="F15" s="47">
        <f>IF(3&lt;='Income Valuation'!C34,'Income Valuation'!F21*C7,0)+IF(3='Income Valuation'!C34,('Income Valuation'!C52*C7*D7/D7),0)</f>
        <v/>
      </c>
      <c r="G15" s="47">
        <f>IF(4&lt;='Income Valuation'!C34,'Income Valuation'!G21*C7,0)+IF(4='Income Valuation'!C34,('Income Valuation'!C52*C7*D7/D7),0)</f>
        <v/>
      </c>
      <c r="H15" s="47">
        <f>IF(5&lt;='Income Valuation'!C34,'Income Valuation'!H21*C7,0)+IF(5='Income Valuation'!C34,('Income Valuation'!C52*C7*D7/D7),0)</f>
        <v/>
      </c>
      <c r="I15" s="47">
        <f>IF(6&lt;='Income Valuation'!C34,'Income Valuation'!I21*C7,0)+IF(6='Income Valuation'!C34,('Income Valuation'!C52*C7*D7/D7),0)</f>
        <v/>
      </c>
      <c r="J15" s="47">
        <f>IF(7&lt;='Income Valuation'!C34,'Income Valuation'!J21*C7,0)+IF(7='Income Valuation'!C34,('Income Valuation'!C52*C7*D7/D7),0)</f>
        <v/>
      </c>
      <c r="K15" s="47">
        <f>IF(8&lt;='Income Valuation'!C34,'Income Valuation'!K21*C7,0)+IF(8='Income Valuation'!C34,('Income Valuation'!C52*C7*D7/D7),0)</f>
        <v/>
      </c>
      <c r="L15" s="47">
        <f>IF(9&lt;='Income Valuation'!C34,'Income Valuation'!L21*C7,0)+IF(9='Income Valuation'!C34,('Income Valuation'!C52*C7*D7/D7),0)</f>
        <v/>
      </c>
      <c r="M15" s="47">
        <f>IF(10&lt;='Income Valuation'!C34,'Income Valuation'!M21*C7,0)+IF(10='Income Valuation'!C34,('Income Valuation'!C52*C7*D7/D7),0)</f>
        <v/>
      </c>
    </row>
    <row r="16" ht="15" customHeight="1">
      <c r="B16" s="22" t="inlineStr">
        <is>
          <t xml:space="preserve">  Base — levered CF</t>
        </is>
      </c>
      <c r="C16" s="47">
        <f>-('Income Valuation'!C59*(1+'Income Valuation'!C49)+'Income Valuation'!C39*'Income Valuation'!C65-'Income Valuation'!C65)</f>
        <v/>
      </c>
      <c r="D16" s="47">
        <f>IF(1&lt;='Income Valuation'!C34,'Income Valuation'!D21*C7-('Income Valuation'!C65*((E7/12)/(1-(1+(E7/12))^(-'Income Valuation'!C44*12))*12)),0)+IF(1='Income Valuation'!C34,('Income Valuation'!C52*C7*D7/D7)-('Income Valuation'!C65*(1+(E7/12))^(12*'Income Valuation'!C34)-(('Income Valuation'!C65*((E7/12)/(1-(1+(E7/12))^(-'Income Valuation'!C44*12))*12))/12)*((1+(E7/12))^(12*'Income Valuation'!C34)-1)/(E7/12)),0)</f>
        <v/>
      </c>
      <c r="E16" s="47">
        <f>IF(2&lt;='Income Valuation'!C34,'Income Valuation'!E21*C7-('Income Valuation'!C65*((E7/12)/(1-(1+(E7/12))^(-'Income Valuation'!C44*12))*12)),0)+IF(2='Income Valuation'!C34,('Income Valuation'!C52*C7*D7/D7)-('Income Valuation'!C65*(1+(E7/12))^(12*'Income Valuation'!C34)-(('Income Valuation'!C65*((E7/12)/(1-(1+(E7/12))^(-'Income Valuation'!C44*12))*12))/12)*((1+(E7/12))^(12*'Income Valuation'!C34)-1)/(E7/12)),0)</f>
        <v/>
      </c>
      <c r="F16" s="47">
        <f>IF(3&lt;='Income Valuation'!C34,'Income Valuation'!F21*C7-('Income Valuation'!C65*((E7/12)/(1-(1+(E7/12))^(-'Income Valuation'!C44*12))*12)),0)+IF(3='Income Valuation'!C34,('Income Valuation'!C52*C7*D7/D7)-('Income Valuation'!C65*(1+(E7/12))^(12*'Income Valuation'!C34)-(('Income Valuation'!C65*((E7/12)/(1-(1+(E7/12))^(-'Income Valuation'!C44*12))*12))/12)*((1+(E7/12))^(12*'Income Valuation'!C34)-1)/(E7/12)),0)</f>
        <v/>
      </c>
      <c r="G16" s="47">
        <f>IF(4&lt;='Income Valuation'!C34,'Income Valuation'!G21*C7-('Income Valuation'!C65*((E7/12)/(1-(1+(E7/12))^(-'Income Valuation'!C44*12))*12)),0)+IF(4='Income Valuation'!C34,('Income Valuation'!C52*C7*D7/D7)-('Income Valuation'!C65*(1+(E7/12))^(12*'Income Valuation'!C34)-(('Income Valuation'!C65*((E7/12)/(1-(1+(E7/12))^(-'Income Valuation'!C44*12))*12))/12)*((1+(E7/12))^(12*'Income Valuation'!C34)-1)/(E7/12)),0)</f>
        <v/>
      </c>
      <c r="H16" s="47">
        <f>IF(5&lt;='Income Valuation'!C34,'Income Valuation'!H21*C7-('Income Valuation'!C65*((E7/12)/(1-(1+(E7/12))^(-'Income Valuation'!C44*12))*12)),0)+IF(5='Income Valuation'!C34,('Income Valuation'!C52*C7*D7/D7)-('Income Valuation'!C65*(1+(E7/12))^(12*'Income Valuation'!C34)-(('Income Valuation'!C65*((E7/12)/(1-(1+(E7/12))^(-'Income Valuation'!C44*12))*12))/12)*((1+(E7/12))^(12*'Income Valuation'!C34)-1)/(E7/12)),0)</f>
        <v/>
      </c>
      <c r="I16" s="47">
        <f>IF(6&lt;='Income Valuation'!C34,'Income Valuation'!I21*C7-('Income Valuation'!C65*((E7/12)/(1-(1+(E7/12))^(-'Income Valuation'!C44*12))*12)),0)+IF(6='Income Valuation'!C34,('Income Valuation'!C52*C7*D7/D7)-('Income Valuation'!C65*(1+(E7/12))^(12*'Income Valuation'!C34)-(('Income Valuation'!C65*((E7/12)/(1-(1+(E7/12))^(-'Income Valuation'!C44*12))*12))/12)*((1+(E7/12))^(12*'Income Valuation'!C34)-1)/(E7/12)),0)</f>
        <v/>
      </c>
      <c r="J16" s="47">
        <f>IF(7&lt;='Income Valuation'!C34,'Income Valuation'!J21*C7-('Income Valuation'!C65*((E7/12)/(1-(1+(E7/12))^(-'Income Valuation'!C44*12))*12)),0)+IF(7='Income Valuation'!C34,('Income Valuation'!C52*C7*D7/D7)-('Income Valuation'!C65*(1+(E7/12))^(12*'Income Valuation'!C34)-(('Income Valuation'!C65*((E7/12)/(1-(1+(E7/12))^(-'Income Valuation'!C44*12))*12))/12)*((1+(E7/12))^(12*'Income Valuation'!C34)-1)/(E7/12)),0)</f>
        <v/>
      </c>
      <c r="K16" s="47">
        <f>IF(8&lt;='Income Valuation'!C34,'Income Valuation'!K21*C7-('Income Valuation'!C65*((E7/12)/(1-(1+(E7/12))^(-'Income Valuation'!C44*12))*12)),0)+IF(8='Income Valuation'!C34,('Income Valuation'!C52*C7*D7/D7)-('Income Valuation'!C65*(1+(E7/12))^(12*'Income Valuation'!C34)-(('Income Valuation'!C65*((E7/12)/(1-(1+(E7/12))^(-'Income Valuation'!C44*12))*12))/12)*((1+(E7/12))^(12*'Income Valuation'!C34)-1)/(E7/12)),0)</f>
        <v/>
      </c>
      <c r="L16" s="47">
        <f>IF(9&lt;='Income Valuation'!C34,'Income Valuation'!L21*C7-('Income Valuation'!C65*((E7/12)/(1-(1+(E7/12))^(-'Income Valuation'!C44*12))*12)),0)+IF(9='Income Valuation'!C34,('Income Valuation'!C52*C7*D7/D7)-('Income Valuation'!C65*(1+(E7/12))^(12*'Income Valuation'!C34)-(('Income Valuation'!C65*((E7/12)/(1-(1+(E7/12))^(-'Income Valuation'!C44*12))*12))/12)*((1+(E7/12))^(12*'Income Valuation'!C34)-1)/(E7/12)),0)</f>
        <v/>
      </c>
      <c r="M16" s="47">
        <f>IF(10&lt;='Income Valuation'!C34,'Income Valuation'!M21*C7-('Income Valuation'!C65*((E7/12)/(1-(1+(E7/12))^(-'Income Valuation'!C44*12))*12)),0)+IF(10='Income Valuation'!C34,('Income Valuation'!C52*C7*D7/D7)-('Income Valuation'!C65*(1+(E7/12))^(12*'Income Valuation'!C34)-(('Income Valuation'!C65*((E7/12)/(1-(1+(E7/12))^(-'Income Valuation'!C44*12))*12))/12)*((1+(E7/12))^(12*'Income Valuation'!C34)-1)/(E7/12)),0)</f>
        <v/>
      </c>
    </row>
    <row r="17" ht="15" customHeight="1">
      <c r="B17" s="22" t="inlineStr">
        <is>
          <t xml:space="preserve">  Upside — unlevered CF</t>
        </is>
      </c>
      <c r="C17" s="47">
        <f>-'Income Valuation'!C59*(1+'Income Valuation'!C49)</f>
        <v/>
      </c>
      <c r="D17" s="47">
        <f>IF(1&lt;='Income Valuation'!C34,'Income Valuation'!D21*C8,0)+IF(1='Income Valuation'!C34,('Income Valuation'!C52*C8*D7/D8),0)</f>
        <v/>
      </c>
      <c r="E17" s="47">
        <f>IF(2&lt;='Income Valuation'!C34,'Income Valuation'!E21*C8,0)+IF(2='Income Valuation'!C34,('Income Valuation'!C52*C8*D7/D8),0)</f>
        <v/>
      </c>
      <c r="F17" s="47">
        <f>IF(3&lt;='Income Valuation'!C34,'Income Valuation'!F21*C8,0)+IF(3='Income Valuation'!C34,('Income Valuation'!C52*C8*D7/D8),0)</f>
        <v/>
      </c>
      <c r="G17" s="47">
        <f>IF(4&lt;='Income Valuation'!C34,'Income Valuation'!G21*C8,0)+IF(4='Income Valuation'!C34,('Income Valuation'!C52*C8*D7/D8),0)</f>
        <v/>
      </c>
      <c r="H17" s="47">
        <f>IF(5&lt;='Income Valuation'!C34,'Income Valuation'!H21*C8,0)+IF(5='Income Valuation'!C34,('Income Valuation'!C52*C8*D7/D8),0)</f>
        <v/>
      </c>
      <c r="I17" s="47">
        <f>IF(6&lt;='Income Valuation'!C34,'Income Valuation'!I21*C8,0)+IF(6='Income Valuation'!C34,('Income Valuation'!C52*C8*D7/D8),0)</f>
        <v/>
      </c>
      <c r="J17" s="47">
        <f>IF(7&lt;='Income Valuation'!C34,'Income Valuation'!J21*C8,0)+IF(7='Income Valuation'!C34,('Income Valuation'!C52*C8*D7/D8),0)</f>
        <v/>
      </c>
      <c r="K17" s="47">
        <f>IF(8&lt;='Income Valuation'!C34,'Income Valuation'!K21*C8,0)+IF(8='Income Valuation'!C34,('Income Valuation'!C52*C8*D7/D8),0)</f>
        <v/>
      </c>
      <c r="L17" s="47">
        <f>IF(9&lt;='Income Valuation'!C34,'Income Valuation'!L21*C8,0)+IF(9='Income Valuation'!C34,('Income Valuation'!C52*C8*D7/D8),0)</f>
        <v/>
      </c>
      <c r="M17" s="47">
        <f>IF(10&lt;='Income Valuation'!C34,'Income Valuation'!M21*C8,0)+IF(10='Income Valuation'!C34,('Income Valuation'!C52*C8*D7/D8),0)</f>
        <v/>
      </c>
    </row>
    <row r="18" ht="15" customHeight="1">
      <c r="B18" s="22" t="inlineStr">
        <is>
          <t xml:space="preserve">  Upside — levered CF</t>
        </is>
      </c>
      <c r="C18" s="47">
        <f>-('Income Valuation'!C59*(1+'Income Valuation'!C49)+'Income Valuation'!C39*'Income Valuation'!C65-'Income Valuation'!C65)</f>
        <v/>
      </c>
      <c r="D18" s="47">
        <f>IF(1&lt;='Income Valuation'!C34,'Income Valuation'!D21*C8-('Income Valuation'!C65*((E8/12)/(1-(1+(E8/12))^(-'Income Valuation'!C44*12))*12)),0)+IF(1='Income Valuation'!C34,('Income Valuation'!C52*C8*D7/D8)-('Income Valuation'!C65*(1+(E8/12))^(12*'Income Valuation'!C34)-(('Income Valuation'!C65*((E8/12)/(1-(1+(E8/12))^(-'Income Valuation'!C44*12))*12))/12)*((1+(E8/12))^(12*'Income Valuation'!C34)-1)/(E8/12)),0)</f>
        <v/>
      </c>
      <c r="E18" s="47">
        <f>IF(2&lt;='Income Valuation'!C34,'Income Valuation'!E21*C8-('Income Valuation'!C65*((E8/12)/(1-(1+(E8/12))^(-'Income Valuation'!C44*12))*12)),0)+IF(2='Income Valuation'!C34,('Income Valuation'!C52*C8*D7/D8)-('Income Valuation'!C65*(1+(E8/12))^(12*'Income Valuation'!C34)-(('Income Valuation'!C65*((E8/12)/(1-(1+(E8/12))^(-'Income Valuation'!C44*12))*12))/12)*((1+(E8/12))^(12*'Income Valuation'!C34)-1)/(E8/12)),0)</f>
        <v/>
      </c>
      <c r="F18" s="47">
        <f>IF(3&lt;='Income Valuation'!C34,'Income Valuation'!F21*C8-('Income Valuation'!C65*((E8/12)/(1-(1+(E8/12))^(-'Income Valuation'!C44*12))*12)),0)+IF(3='Income Valuation'!C34,('Income Valuation'!C52*C8*D7/D8)-('Income Valuation'!C65*(1+(E8/12))^(12*'Income Valuation'!C34)-(('Income Valuation'!C65*((E8/12)/(1-(1+(E8/12))^(-'Income Valuation'!C44*12))*12))/12)*((1+(E8/12))^(12*'Income Valuation'!C34)-1)/(E8/12)),0)</f>
        <v/>
      </c>
      <c r="G18" s="47">
        <f>IF(4&lt;='Income Valuation'!C34,'Income Valuation'!G21*C8-('Income Valuation'!C65*((E8/12)/(1-(1+(E8/12))^(-'Income Valuation'!C44*12))*12)),0)+IF(4='Income Valuation'!C34,('Income Valuation'!C52*C8*D7/D8)-('Income Valuation'!C65*(1+(E8/12))^(12*'Income Valuation'!C34)-(('Income Valuation'!C65*((E8/12)/(1-(1+(E8/12))^(-'Income Valuation'!C44*12))*12))/12)*((1+(E8/12))^(12*'Income Valuation'!C34)-1)/(E8/12)),0)</f>
        <v/>
      </c>
      <c r="H18" s="47">
        <f>IF(5&lt;='Income Valuation'!C34,'Income Valuation'!H21*C8-('Income Valuation'!C65*((E8/12)/(1-(1+(E8/12))^(-'Income Valuation'!C44*12))*12)),0)+IF(5='Income Valuation'!C34,('Income Valuation'!C52*C8*D7/D8)-('Income Valuation'!C65*(1+(E8/12))^(12*'Income Valuation'!C34)-(('Income Valuation'!C65*((E8/12)/(1-(1+(E8/12))^(-'Income Valuation'!C44*12))*12))/12)*((1+(E8/12))^(12*'Income Valuation'!C34)-1)/(E8/12)),0)</f>
        <v/>
      </c>
      <c r="I18" s="47">
        <f>IF(6&lt;='Income Valuation'!C34,'Income Valuation'!I21*C8-('Income Valuation'!C65*((E8/12)/(1-(1+(E8/12))^(-'Income Valuation'!C44*12))*12)),0)+IF(6='Income Valuation'!C34,('Income Valuation'!C52*C8*D7/D8)-('Income Valuation'!C65*(1+(E8/12))^(12*'Income Valuation'!C34)-(('Income Valuation'!C65*((E8/12)/(1-(1+(E8/12))^(-'Income Valuation'!C44*12))*12))/12)*((1+(E8/12))^(12*'Income Valuation'!C34)-1)/(E8/12)),0)</f>
        <v/>
      </c>
      <c r="J18" s="47">
        <f>IF(7&lt;='Income Valuation'!C34,'Income Valuation'!J21*C8-('Income Valuation'!C65*((E8/12)/(1-(1+(E8/12))^(-'Income Valuation'!C44*12))*12)),0)+IF(7='Income Valuation'!C34,('Income Valuation'!C52*C8*D7/D8)-('Income Valuation'!C65*(1+(E8/12))^(12*'Income Valuation'!C34)-(('Income Valuation'!C65*((E8/12)/(1-(1+(E8/12))^(-'Income Valuation'!C44*12))*12))/12)*((1+(E8/12))^(12*'Income Valuation'!C34)-1)/(E8/12)),0)</f>
        <v/>
      </c>
      <c r="K18" s="47">
        <f>IF(8&lt;='Income Valuation'!C34,'Income Valuation'!K21*C8-('Income Valuation'!C65*((E8/12)/(1-(1+(E8/12))^(-'Income Valuation'!C44*12))*12)),0)+IF(8='Income Valuation'!C34,('Income Valuation'!C52*C8*D7/D8)-('Income Valuation'!C65*(1+(E8/12))^(12*'Income Valuation'!C34)-(('Income Valuation'!C65*((E8/12)/(1-(1+(E8/12))^(-'Income Valuation'!C44*12))*12))/12)*((1+(E8/12))^(12*'Income Valuation'!C34)-1)/(E8/12)),0)</f>
        <v/>
      </c>
      <c r="L18" s="47">
        <f>IF(9&lt;='Income Valuation'!C34,'Income Valuation'!L21*C8-('Income Valuation'!C65*((E8/12)/(1-(1+(E8/12))^(-'Income Valuation'!C44*12))*12)),0)+IF(9='Income Valuation'!C34,('Income Valuation'!C52*C8*D7/D8)-('Income Valuation'!C65*(1+(E8/12))^(12*'Income Valuation'!C34)-(('Income Valuation'!C65*((E8/12)/(1-(1+(E8/12))^(-'Income Valuation'!C44*12))*12))/12)*((1+(E8/12))^(12*'Income Valuation'!C34)-1)/(E8/12)),0)</f>
        <v/>
      </c>
      <c r="M18" s="47">
        <f>IF(10&lt;='Income Valuation'!C34,'Income Valuation'!M21*C8-('Income Valuation'!C65*((E8/12)/(1-(1+(E8/12))^(-'Income Valuation'!C44*12))*12)),0)+IF(10='Income Valuation'!C34,('Income Valuation'!C52*C8*D7/D8)-('Income Valuation'!C65*(1+(E8/12))^(12*'Income Valuation'!C34)-(('Income Valuation'!C65*((E8/12)/(1-(1+(E8/12))^(-'Income Valuation'!C44*12))*12))/12)*((1+(E8/12))^(12*'Income Valuation'!C34)-1)/(E8/12)),0)</f>
        <v/>
      </c>
    </row>
    <row r="19"/>
    <row r="20">
      <c r="B20" s="11" t="inlineStr">
        <is>
          <t>SCENARIO SUMMARY  —  returns at the base income price</t>
        </is>
      </c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3" t="n"/>
    </row>
    <row r="21" ht="15" customHeight="1">
      <c r="B21" s="15" t="inlineStr">
        <is>
          <t>Scenario</t>
        </is>
      </c>
      <c r="D21" s="16" t="inlineStr">
        <is>
          <t>Income value</t>
        </is>
      </c>
      <c r="E21" s="14" t="n"/>
      <c r="F21" s="16" t="inlineStr">
        <is>
          <t>Unlev IRR</t>
        </is>
      </c>
      <c r="G21" s="16" t="inlineStr">
        <is>
          <t>Lev IRR</t>
        </is>
      </c>
      <c r="H21" s="16" t="inlineStr">
        <is>
          <t>Lev EM</t>
        </is>
      </c>
      <c r="I21" s="16" t="inlineStr">
        <is>
          <t>Yr-1 DSCR</t>
        </is>
      </c>
      <c r="J21" s="16" t="inlineStr">
        <is>
          <t>Avg CoC</t>
        </is>
      </c>
    </row>
    <row r="22" ht="15" customHeight="1">
      <c r="B22" s="12" t="inlineStr">
        <is>
          <t>Downside</t>
        </is>
      </c>
      <c r="D22" s="47">
        <f>'Income Valuation'!C25*C6/'Income Valuation'!C30</f>
        <v/>
      </c>
      <c r="E22" s="14" t="n"/>
      <c r="F22" s="60">
        <f>IRR(C13:M13)</f>
        <v/>
      </c>
      <c r="G22" s="60">
        <f>IRR(C14:M14)</f>
        <v/>
      </c>
      <c r="H22" s="59">
        <f>SUM(D14:M14)/('Income Valuation'!C59*(1+'Income Valuation'!C49)+'Income Valuation'!C39*'Income Valuation'!C65-'Income Valuation'!C65)</f>
        <v/>
      </c>
      <c r="I22" s="59">
        <f>'Income Valuation'!C25*C6/('Income Valuation'!C65*((E6/12)/(1-(1+(E6/12))^(-'Income Valuation'!C44*12))*12))</f>
        <v/>
      </c>
      <c r="J22" s="60">
        <f>('Income Valuation'!C50*C6-'Income Valuation'!C34*('Income Valuation'!C65*((E6/12)/(1-(1+(E6/12))^(-'Income Valuation'!C44*12))*12)))/'Income Valuation'!C34/('Income Valuation'!C59*(1+'Income Valuation'!C49)+'Income Valuation'!C39*'Income Valuation'!C65-'Income Valuation'!C65)</f>
        <v/>
      </c>
      <c r="K22" s="13" t="n"/>
      <c r="L22" s="13" t="n"/>
      <c r="M22" s="14" t="n"/>
    </row>
    <row r="23" ht="15" customHeight="1">
      <c r="B23" s="19" t="inlineStr">
        <is>
          <t>Base</t>
        </is>
      </c>
      <c r="D23" s="61">
        <f>'Income Valuation'!C25*C7/'Income Valuation'!C30</f>
        <v/>
      </c>
      <c r="E23" s="14" t="n"/>
      <c r="F23" s="62">
        <f>IRR(C15:M15)</f>
        <v/>
      </c>
      <c r="G23" s="62">
        <f>IRR(C16:M16)</f>
        <v/>
      </c>
      <c r="H23" s="63">
        <f>SUM(D16:M16)/('Income Valuation'!C59*(1+'Income Valuation'!C49)+'Income Valuation'!C39*'Income Valuation'!C65-'Income Valuation'!C65)</f>
        <v/>
      </c>
      <c r="I23" s="63">
        <f>'Income Valuation'!C25*C7/('Income Valuation'!C65*((E7/12)/(1-(1+(E7/12))^(-'Income Valuation'!C44*12))*12))</f>
        <v/>
      </c>
      <c r="J23" s="62">
        <f>('Income Valuation'!C50*C7-'Income Valuation'!C34*('Income Valuation'!C65*((E7/12)/(1-(1+(E7/12))^(-'Income Valuation'!C44*12))*12)))/'Income Valuation'!C34/('Income Valuation'!C59*(1+'Income Valuation'!C49)+'Income Valuation'!C39*'Income Valuation'!C65-'Income Valuation'!C65)</f>
        <v/>
      </c>
      <c r="K23" s="13" t="n"/>
      <c r="L23" s="13" t="n"/>
      <c r="M23" s="14" t="n"/>
    </row>
    <row r="24" ht="15" customHeight="1">
      <c r="B24" s="12" t="inlineStr">
        <is>
          <t>Upside</t>
        </is>
      </c>
      <c r="D24" s="47">
        <f>'Income Valuation'!C25*C8/'Income Valuation'!C30</f>
        <v/>
      </c>
      <c r="E24" s="14" t="n"/>
      <c r="F24" s="60">
        <f>IRR(C17:M17)</f>
        <v/>
      </c>
      <c r="G24" s="60">
        <f>IRR(C18:M18)</f>
        <v/>
      </c>
      <c r="H24" s="59">
        <f>SUM(D18:M18)/('Income Valuation'!C59*(1+'Income Valuation'!C49)+'Income Valuation'!C39*'Income Valuation'!C65-'Income Valuation'!C65)</f>
        <v/>
      </c>
      <c r="I24" s="59">
        <f>'Income Valuation'!C25*C8/('Income Valuation'!C65*((E8/12)/(1-(1+(E8/12))^(-'Income Valuation'!C44*12))*12))</f>
        <v/>
      </c>
      <c r="J24" s="60">
        <f>('Income Valuation'!C50*C8-'Income Valuation'!C34*('Income Valuation'!C65*((E8/12)/(1-(1+(E8/12))^(-'Income Valuation'!C44*12))*12)))/'Income Valuation'!C34/('Income Valuation'!C59*(1+'Income Valuation'!C49)+'Income Valuation'!C39*'Income Valuation'!C65-'Income Valuation'!C65)</f>
        <v/>
      </c>
      <c r="K24" s="13" t="n"/>
      <c r="L24" s="13" t="n"/>
      <c r="M24" s="14" t="n"/>
    </row>
    <row r="25"/>
    <row r="26" ht="27" customHeight="1">
      <c r="B26" s="40" t="inlineStr">
        <is>
          <t>Read</t>
        </is>
      </c>
      <c r="D26" s="40" t="inlineStr">
        <is>
          <t>Downside stresses NOI −8%, exit cap +50 bps, and rate +75 bps simultaneously (a compound recession case). The base case is highlighted; the levered IRR range brackets the deal for the investment committee.</t>
        </is>
      </c>
      <c r="E26" s="13" t="n"/>
      <c r="F26" s="13" t="n"/>
      <c r="G26" s="13" t="n"/>
      <c r="H26" s="13" t="n"/>
      <c r="I26" s="13" t="n"/>
      <c r="J26" s="13" t="n"/>
      <c r="K26" s="13" t="n"/>
      <c r="L26" s="13" t="n"/>
      <c r="M26" s="14" t="n"/>
    </row>
  </sheetData>
  <mergeCells count="14">
    <mergeCell ref="B2:M2"/>
    <mergeCell ref="J23:M23"/>
    <mergeCell ref="J22:M22"/>
    <mergeCell ref="B11:M11"/>
    <mergeCell ref="D24:E24"/>
    <mergeCell ref="B20:M20"/>
    <mergeCell ref="D26:M26"/>
    <mergeCell ref="D23:E23"/>
    <mergeCell ref="E9:M9"/>
    <mergeCell ref="D22:E22"/>
    <mergeCell ref="J24:M24"/>
    <mergeCell ref="B1:M1"/>
    <mergeCell ref="B4:M4"/>
    <mergeCell ref="D21:E21"/>
  </mergeCells>
  <conditionalFormatting sqref="G22:H24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rintOptions horizontalCentered="1"/>
  <pageMargins left="0.3" right="0.3" top="0.4" bottom="0.4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tabColor rgb="00C9A84C"/>
    <outlinePr summaryBelow="1" summaryRight="1"/>
    <pageSetUpPr fitToPage="1"/>
  </sheetPr>
  <dimension ref="A1:M38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.5" customWidth="1" min="1" max="1"/>
    <col width="34" customWidth="1" min="2" max="2"/>
    <col width="16" customWidth="1" min="3" max="3"/>
    <col width="15" customWidth="1" min="4" max="4"/>
    <col width="13" customWidth="1" min="5" max="5"/>
    <col width="15" customWidth="1" min="6" max="6"/>
    <col width="11" customWidth="1" min="7" max="7"/>
    <col width="11" customWidth="1" min="8" max="8"/>
    <col width="20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 ht="26" customHeight="1">
      <c r="B1" s="1" t="inlineStr">
        <is>
          <t>THE ASSEMBLAGE  ·  COVERED LAND PLAY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3" t="n"/>
    </row>
    <row r="2" ht="18" customHeight="1">
      <c r="B2" s="4" t="inlineStr">
        <is>
          <t>E Sunrise Blvd @ the Galleria — five contiguous assets, plat block 49-42-36-12 · buy the income, control the dirt · highest &amp; best use = hold for Live Local density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3" t="n"/>
    </row>
    <row r="3"/>
    <row r="4">
      <c r="B4" s="11" t="inlineStr">
        <is>
          <t>THE COVERED-LAND THESIS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3" t="n"/>
    </row>
    <row r="5" ht="15" customHeight="1">
      <c r="B5" s="12" t="inlineStr">
        <is>
          <t>Assemble the whole E Sunrise Blvd frontage at the Galleria hard corner. Each asset is bought/valued off the rent it produces;</t>
        </is>
      </c>
      <c r="C5" s="13" t="n"/>
      <c r="D5" s="13" t="n"/>
      <c r="E5" s="13" t="n"/>
      <c r="F5" s="13" t="n"/>
      <c r="G5" s="13" t="n"/>
      <c r="H5" s="13" t="n"/>
      <c r="I5" s="13" t="n"/>
      <c r="J5" s="13" t="n"/>
      <c r="K5" s="13" t="n"/>
      <c r="L5" s="13" t="n"/>
      <c r="M5" s="14" t="n"/>
    </row>
    <row r="6" ht="15" customHeight="1">
      <c r="B6" s="12" t="inlineStr">
        <is>
          <t>the in-place income covers the carry (debt service, taxes, insurance) while DAWN RE controls ~7+ acres for eventual redevelopment.</t>
        </is>
      </c>
      <c r="C6" s="13" t="n"/>
      <c r="D6" s="13" t="n"/>
      <c r="E6" s="13" t="n"/>
      <c r="F6" s="13" t="n"/>
      <c r="G6" s="13" t="n"/>
      <c r="H6" s="13" t="n"/>
      <c r="I6" s="13" t="n"/>
      <c r="J6" s="13" t="n"/>
      <c r="K6" s="13" t="n"/>
      <c r="L6" s="13" t="n"/>
      <c r="M6" s="14" t="n"/>
    </row>
    <row r="7" ht="15" customHeight="1">
      <c r="B7" s="12" t="inlineStr">
        <is>
          <t>Redevelopment does NOT pencil today (AE flood zone, coastal hard costs → negative residual), so the play is to HOLD the income-</t>
        </is>
      </c>
      <c r="C7" s="13" t="n"/>
      <c r="D7" s="13" t="n"/>
      <c r="E7" s="13" t="n"/>
      <c r="F7" s="13" t="n"/>
      <c r="G7" s="13" t="n"/>
      <c r="H7" s="13" t="n"/>
      <c r="I7" s="13" t="n"/>
      <c r="J7" s="13" t="n"/>
      <c r="K7" s="13" t="n"/>
      <c r="L7" s="13" t="n"/>
      <c r="M7" s="14" t="n"/>
    </row>
    <row r="8" ht="15" customHeight="1">
      <c r="B8" s="12" t="inlineStr">
        <is>
          <t>covered land and hold the Live Local density option. Publix already proved the model — it paid land value ($679/SF bldg), not income value.</t>
        </is>
      </c>
      <c r="C8" s="13" t="n"/>
      <c r="D8" s="13" t="n"/>
      <c r="E8" s="13" t="n"/>
      <c r="F8" s="13" t="n"/>
      <c r="G8" s="13" t="n"/>
      <c r="H8" s="13" t="n"/>
      <c r="I8" s="13" t="n"/>
      <c r="J8" s="13" t="n"/>
      <c r="K8" s="13" t="n"/>
      <c r="L8" s="13" t="n"/>
      <c r="M8" s="14" t="n"/>
    </row>
    <row r="9"/>
    <row r="10">
      <c r="B10" s="11" t="inlineStr">
        <is>
          <t>ASSET ROLL-UP  —  🟢 green = live links to each asset tab</t>
        </is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3" t="n"/>
    </row>
    <row r="11" ht="15" customHeight="1">
      <c r="B11" s="15" t="inlineStr">
        <is>
          <t>Asset</t>
        </is>
      </c>
      <c r="C11" s="16" t="inlineStr">
        <is>
          <t>Control cost</t>
        </is>
      </c>
      <c r="D11" s="16" t="inlineStr">
        <is>
          <t>In-place NOI</t>
        </is>
      </c>
      <c r="E11" s="16" t="inlineStr">
        <is>
          <t>Going-in cap</t>
        </is>
      </c>
      <c r="F11" s="16" t="inlineStr">
        <is>
          <t>Land SF</t>
        </is>
      </c>
      <c r="G11" s="16" t="inlineStr">
        <is>
          <t>Land value</t>
        </is>
      </c>
      <c r="H11" s="16" t="inlineStr">
        <is>
          <t>Unlev IRR</t>
        </is>
      </c>
      <c r="I11" s="16" t="inlineStr">
        <is>
          <t>Lev IRR</t>
        </is>
      </c>
      <c r="J11" s="15" t="inlineStr">
        <is>
          <t>Note</t>
        </is>
      </c>
      <c r="K11" s="13" t="n"/>
      <c r="L11" s="13" t="n"/>
      <c r="M11" s="14" t="n"/>
    </row>
    <row r="12" ht="15" customHeight="1">
      <c r="B12" s="12" t="inlineStr">
        <is>
          <t>Shahidi Retail (Galleria Plaza)</t>
        </is>
      </c>
      <c r="C12" s="17">
        <f>'Shahidi Retail'!C57</f>
        <v/>
      </c>
      <c r="D12" s="17">
        <f>'Shahidi Retail'!C122</f>
        <v/>
      </c>
      <c r="E12" s="50">
        <f>D12/C12</f>
        <v/>
      </c>
      <c r="F12" s="25">
        <f>'Shahidi Retail'!C36</f>
        <v/>
      </c>
      <c r="G12" s="17">
        <f>'Shahidi Retail'!C80</f>
        <v/>
      </c>
      <c r="H12" s="18">
        <f>'Shahidi Retail'!C117</f>
        <v/>
      </c>
      <c r="I12" s="18">
        <f>'Shahidi Retail'!C120</f>
        <v/>
      </c>
      <c r="J12" s="12" t="inlineStr">
        <is>
          <t>acquirable · value-add lease-up</t>
        </is>
      </c>
      <c r="K12" s="13" t="n"/>
      <c r="L12" s="13" t="n"/>
      <c r="M12" s="14" t="n"/>
    </row>
    <row r="13" ht="15" customHeight="1">
      <c r="B13" s="12" t="inlineStr">
        <is>
          <t>Publix + Starbucks</t>
        </is>
      </c>
      <c r="C13" s="17">
        <f>'Publix &amp; Starbucks'!C44</f>
        <v/>
      </c>
      <c r="D13" s="17">
        <f>'Publix &amp; Starbucks'!C109</f>
        <v/>
      </c>
      <c r="E13" s="50">
        <f>D13/C13</f>
        <v/>
      </c>
      <c r="F13" s="25">
        <f>'Publix &amp; Starbucks'!C25</f>
        <v/>
      </c>
      <c r="G13" s="17">
        <f>'Publix &amp; Starbucks'!C67</f>
        <v/>
      </c>
      <c r="H13" s="18">
        <f>'Publix &amp; Starbucks'!C104</f>
        <v/>
      </c>
      <c r="I13" s="18">
        <f>'Publix &amp; Starbucks'!C107</f>
        <v/>
      </c>
      <c r="J13" s="12" t="inlineStr">
        <is>
          <t>sale-leaseback · acquire fee, lease back</t>
        </is>
      </c>
      <c r="K13" s="13" t="n"/>
      <c r="L13" s="13" t="n"/>
      <c r="M13" s="14" t="n"/>
    </row>
    <row r="14" ht="15" customHeight="1">
      <c r="B14" s="12" t="inlineStr">
        <is>
          <t>Sunrise Plaza (Kar Luen)</t>
        </is>
      </c>
      <c r="C14" s="17">
        <f>'Sunrise Plaza'!C47</f>
        <v/>
      </c>
      <c r="D14" s="17">
        <f>'Sunrise Plaza'!C112</f>
        <v/>
      </c>
      <c r="E14" s="50">
        <f>D14/C14</f>
        <v/>
      </c>
      <c r="F14" s="25">
        <f>'Sunrise Plaza'!C28</f>
        <v/>
      </c>
      <c r="G14" s="17">
        <f>'Sunrise Plaza'!C70</f>
        <v/>
      </c>
      <c r="H14" s="18">
        <f>'Sunrise Plaza'!C107</f>
        <v/>
      </c>
      <c r="I14" s="18">
        <f>'Sunrise Plaza'!C110</f>
        <v/>
      </c>
      <c r="J14" s="12" t="inlineStr">
        <is>
          <t>acquirable · restaurant value-add</t>
        </is>
      </c>
      <c r="K14" s="13" t="n"/>
      <c r="L14" s="13" t="n"/>
      <c r="M14" s="14" t="n"/>
    </row>
    <row r="15" ht="15" customHeight="1">
      <c r="B15" s="12" t="inlineStr">
        <is>
          <t>Galleria Corporate Centre (office)</t>
        </is>
      </c>
      <c r="C15" s="17">
        <f>'Office Condo'!I97</f>
        <v/>
      </c>
      <c r="D15" s="17">
        <f>'Office Condo'!C78</f>
        <v/>
      </c>
      <c r="E15" s="50">
        <f>D15/C15</f>
        <v/>
      </c>
      <c r="F15" s="64" t="n">
        <v>0</v>
      </c>
      <c r="G15" s="47">
        <f>0</f>
        <v/>
      </c>
      <c r="H15" s="18">
        <f>'Office Condo'!C73</f>
        <v/>
      </c>
      <c r="I15" s="18">
        <f>'Office Condo'!C76</f>
        <v/>
      </c>
      <c r="J15" s="12" t="inlineStr">
        <is>
          <t>buy out both condo owners</t>
        </is>
      </c>
      <c r="K15" s="13" t="n"/>
      <c r="L15" s="13" t="n"/>
      <c r="M15" s="14" t="n"/>
    </row>
    <row r="16" ht="15" customHeight="1">
      <c r="B16" s="12" t="inlineStr">
        <is>
          <t>1040 Bayview (covered land)</t>
        </is>
      </c>
      <c r="C16" s="17">
        <f>'Land'!E40</f>
        <v/>
      </c>
      <c r="D16" s="17">
        <f>'Land'!C47</f>
        <v/>
      </c>
      <c r="E16" s="50">
        <f>D16/C16</f>
        <v/>
      </c>
      <c r="F16" s="25">
        <f>'Land'!C15</f>
        <v/>
      </c>
      <c r="G16" s="17">
        <f>'Land'!E40</f>
        <v/>
      </c>
      <c r="H16" s="18">
        <f>'Land'!C65</f>
        <v/>
      </c>
      <c r="I16" s="18">
        <f>'Land'!C68</f>
        <v/>
      </c>
      <c r="J16" s="12" t="inlineStr">
        <is>
          <t>entitled 259 units · hold for redevelopment</t>
        </is>
      </c>
      <c r="K16" s="13" t="n"/>
      <c r="L16" s="13" t="n"/>
      <c r="M16" s="14" t="n"/>
    </row>
    <row r="17" ht="15" customHeight="1">
      <c r="B17" s="19" t="inlineStr">
        <is>
          <t>ASSEMBLAGE TOTAL (pre-premium)</t>
        </is>
      </c>
      <c r="C17" s="20">
        <f>SUM(C12:C16)</f>
        <v/>
      </c>
      <c r="D17" s="20">
        <f>SUM(D12:D16)</f>
        <v/>
      </c>
      <c r="E17" s="65">
        <f>D17/C17</f>
        <v/>
      </c>
      <c r="F17" s="66">
        <f>SUM(F12:F16)</f>
        <v/>
      </c>
      <c r="G17" s="20">
        <f>SUM(G12:G16)</f>
        <v/>
      </c>
      <c r="H17" s="67" t="inlineStr">
        <is>
          <t>—</t>
        </is>
      </c>
      <c r="I17" s="67" t="inlineStr">
        <is>
          <t>—</t>
        </is>
      </c>
      <c r="J17" s="19" t="inlineStr">
        <is>
          <t>blended going-in cap covers carry</t>
        </is>
      </c>
      <c r="K17" s="13" t="n"/>
      <c r="L17" s="13" t="n"/>
      <c r="M17" s="14" t="n"/>
    </row>
    <row r="18"/>
    <row r="19">
      <c r="B19" s="11" t="inlineStr">
        <is>
          <t>COVERED-LAND METRICS  &amp;  ACQUISITION COST</t>
        </is>
      </c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3" t="n"/>
    </row>
    <row r="20" ht="15" customHeight="1">
      <c r="B20" s="12" t="inlineStr">
        <is>
          <t>Total existing building (GLA, SF)</t>
        </is>
      </c>
      <c r="C20" s="64">
        <f>341501</f>
        <v/>
      </c>
      <c r="D20" s="22" t="inlineStr">
        <is>
          <t>existing improvements across all five</t>
        </is>
      </c>
      <c r="E20" s="13" t="n"/>
      <c r="F20" s="13" t="n"/>
      <c r="G20" s="13" t="n"/>
      <c r="H20" s="13" t="n"/>
      <c r="I20" s="13" t="n"/>
      <c r="J20" s="13" t="n"/>
      <c r="K20" s="13" t="n"/>
      <c r="L20" s="13" t="n"/>
      <c r="M20" s="14" t="n"/>
    </row>
    <row r="21" ht="15" customHeight="1">
      <c r="B21" s="12" t="inlineStr">
        <is>
          <t>Total land assembled (acres)</t>
        </is>
      </c>
      <c r="C21" s="68">
        <f>F17/43560</f>
        <v/>
      </c>
      <c r="D21" s="22" t="inlineStr">
        <is>
          <t>≈ 7+ acres of E Sunrise frontage</t>
        </is>
      </c>
      <c r="E21" s="13" t="n"/>
      <c r="F21" s="13" t="n"/>
      <c r="G21" s="13" t="n"/>
      <c r="H21" s="13" t="n"/>
      <c r="I21" s="13" t="n"/>
      <c r="J21" s="13" t="n"/>
      <c r="K21" s="13" t="n"/>
      <c r="L21" s="13" t="n"/>
      <c r="M21" s="14" t="n"/>
    </row>
    <row r="22" ht="15" customHeight="1">
      <c r="B22" s="12" t="inlineStr">
        <is>
          <t>Blended land basis ($/SF)</t>
        </is>
      </c>
      <c r="C22" s="68">
        <f>G17/F17</f>
        <v/>
      </c>
      <c r="D22" s="22" t="inlineStr">
        <is>
          <t>vs. subject comps $228–255/SF; Galleria bulk $53/SF</t>
        </is>
      </c>
      <c r="E22" s="13" t="n"/>
      <c r="F22" s="13" t="n"/>
      <c r="G22" s="13" t="n"/>
      <c r="H22" s="13" t="n"/>
      <c r="I22" s="13" t="n"/>
      <c r="J22" s="13" t="n"/>
      <c r="K22" s="13" t="n"/>
      <c r="L22" s="13" t="n"/>
      <c r="M22" s="14" t="n"/>
    </row>
    <row r="23" ht="15" customHeight="1">
      <c r="B23" s="12" t="inlineStr">
        <is>
          <t>Blended in-place cap (income ÷ cost)</t>
        </is>
      </c>
      <c r="C23" s="50">
        <f>D17/C17</f>
        <v/>
      </c>
      <c r="D23" s="22" t="inlineStr">
        <is>
          <t>covered-land range ~3–5% — income covers carry, not a yield play</t>
        </is>
      </c>
      <c r="E23" s="13" t="n"/>
      <c r="F23" s="13" t="n"/>
      <c r="G23" s="13" t="n"/>
      <c r="H23" s="13" t="n"/>
      <c r="I23" s="13" t="n"/>
      <c r="J23" s="13" t="n"/>
      <c r="K23" s="13" t="n"/>
      <c r="L23" s="13" t="n"/>
      <c r="M23" s="14" t="n"/>
    </row>
    <row r="24"/>
    <row r="25" ht="15" customHeight="1">
      <c r="B25" s="15" t="inlineStr">
        <is>
          <t>Assemblage premium (to control holdouts)</t>
        </is>
      </c>
      <c r="C25" s="13" t="n"/>
      <c r="D25" s="13" t="n"/>
      <c r="E25" s="13" t="n"/>
      <c r="F25" s="13" t="n"/>
      <c r="G25" s="13" t="n"/>
      <c r="H25" s="13" t="n"/>
      <c r="I25" s="13" t="n"/>
      <c r="J25" s="13" t="n"/>
      <c r="K25" s="13" t="n"/>
      <c r="L25" s="13" t="n"/>
      <c r="M25" s="14" t="n"/>
    </row>
    <row r="26" ht="15" customHeight="1">
      <c r="B26" s="12" t="inlineStr">
        <is>
          <t xml:space="preserve">  Low</t>
        </is>
      </c>
      <c r="C26" s="47">
        <f>C17*(1+'Assumptions'!C27)</f>
        <v/>
      </c>
      <c r="D26" s="18">
        <f>'Assumptions'!C27</f>
        <v/>
      </c>
    </row>
    <row r="27" ht="15" customHeight="1">
      <c r="B27" s="52" t="inlineStr">
        <is>
          <t xml:space="preserve">  Base</t>
        </is>
      </c>
      <c r="C27" s="44">
        <f>C17*(1+'Assumptions'!C28)</f>
        <v/>
      </c>
      <c r="D27" s="18">
        <f>'Assumptions'!C28</f>
        <v/>
      </c>
    </row>
    <row r="28" ht="15" customHeight="1">
      <c r="B28" s="12" t="inlineStr">
        <is>
          <t xml:space="preserve">  High</t>
        </is>
      </c>
      <c r="C28" s="47">
        <f>C17*(1+'Assumptions'!C29)</f>
        <v/>
      </c>
      <c r="D28" s="18">
        <f>'Assumptions'!C29</f>
        <v/>
      </c>
    </row>
    <row r="29" ht="16" customHeight="1">
      <c r="B29" s="55" t="inlineStr">
        <is>
          <t>TOTAL ASSEMBLAGE ACQUISITION COST (base)</t>
        </is>
      </c>
      <c r="C29" s="56">
        <f>C27</f>
        <v/>
      </c>
      <c r="D29" s="22" t="inlineStr">
        <is>
          <t>🔶 base premium (Assumptions tab) on the summed control cost</t>
        </is>
      </c>
      <c r="E29" s="13" t="n"/>
      <c r="F29" s="13" t="n"/>
      <c r="G29" s="13" t="n"/>
      <c r="H29" s="13" t="n"/>
      <c r="I29" s="13" t="n"/>
      <c r="J29" s="13" t="n"/>
      <c r="K29" s="13" t="n"/>
      <c r="L29" s="13" t="n"/>
      <c r="M29" s="14" t="n"/>
    </row>
    <row r="30"/>
    <row r="31">
      <c r="B31" s="11" t="inlineStr">
        <is>
          <t>HIGHEST &amp; BEST USE  —  redevelopment residual (Live Local) vs. hold</t>
        </is>
      </c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3" t="n"/>
    </row>
    <row r="32" ht="27" customHeight="1">
      <c r="B32" s="12" t="inlineStr">
        <is>
          <t>Redevelopment residual — 1040 Bayview (per Land tab)</t>
        </is>
      </c>
      <c r="C32" s="23">
        <f>'Land'!C78</f>
        <v/>
      </c>
    </row>
    <row r="33" ht="27" customHeight="1">
      <c r="B33" s="40" t="inlineStr">
        <is>
          <t>Redevelopment verdict</t>
        </is>
      </c>
      <c r="C33" s="69" t="inlineStr">
        <is>
          <t>HOLD</t>
        </is>
      </c>
      <c r="D33" s="40" t="inlineStr">
        <is>
          <t>Residual runs NEGATIVE in the AE flood zone at current coastal hard costs — do not force it positive. Best use today = hold the income-covered land + Live Local density option until costs/rents support redevelopment.</t>
        </is>
      </c>
      <c r="E33" s="13" t="n"/>
      <c r="F33" s="13" t="n"/>
      <c r="G33" s="13" t="n"/>
      <c r="H33" s="13" t="n"/>
      <c r="I33" s="13" t="n"/>
      <c r="J33" s="13" t="n"/>
      <c r="K33" s="13" t="n"/>
      <c r="L33" s="13" t="n"/>
      <c r="M33" s="14" t="n"/>
    </row>
    <row r="34"/>
    <row r="35">
      <c r="B35" s="11" t="inlineStr">
        <is>
          <t>PORTFOLIO CAPITAL  —  consolidated returns computed on the Income Valuation tab</t>
        </is>
      </c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3" t="n"/>
    </row>
    <row r="36" ht="27" customHeight="1">
      <c r="B36" s="12" t="inlineStr">
        <is>
          <t>Total equity required (all assets, at asset prices)</t>
        </is>
      </c>
      <c r="C36" s="51">
        <f>'Shahidi Retail'!C78+'Publix &amp; Starbucks'!C65+'Sunrise Plaza'!C68+'Office Condo'!C46+'Land'!C52</f>
        <v/>
      </c>
    </row>
    <row r="37" ht="15" customHeight="1">
      <c r="B37" s="12" t="inlineStr">
        <is>
          <t>Total in-place NOI (covers carry)</t>
        </is>
      </c>
      <c r="C37" s="51">
        <f>D17</f>
        <v/>
      </c>
    </row>
    <row r="38" ht="27" customHeight="1">
      <c r="B38" s="40" t="inlineStr">
        <is>
          <t>Portfolio IRR (unlevered / levered)</t>
        </is>
      </c>
      <c r="D38" s="40" t="inlineStr">
        <is>
          <t>Computed from the CONSOLIDATED cash flows on the Income Valuation tab — never by averaging asset IRRs (mathematically invalid). See that tab for portfolio returns at both the income and covered-land prices.</t>
        </is>
      </c>
      <c r="E38" s="13" t="n"/>
      <c r="F38" s="13" t="n"/>
      <c r="G38" s="13" t="n"/>
      <c r="H38" s="13" t="n"/>
      <c r="I38" s="13" t="n"/>
      <c r="J38" s="13" t="n"/>
      <c r="K38" s="13" t="n"/>
      <c r="L38" s="13" t="n"/>
      <c r="M38" s="14" t="n"/>
    </row>
  </sheetData>
  <mergeCells count="26">
    <mergeCell ref="B2:M2"/>
    <mergeCell ref="B8:M8"/>
    <mergeCell ref="J12:M12"/>
    <mergeCell ref="B1:M1"/>
    <mergeCell ref="D38:M38"/>
    <mergeCell ref="D33:M33"/>
    <mergeCell ref="D29:M29"/>
    <mergeCell ref="D23:M23"/>
    <mergeCell ref="B10:M10"/>
    <mergeCell ref="J17:M17"/>
    <mergeCell ref="B19:M19"/>
    <mergeCell ref="D20:M20"/>
    <mergeCell ref="J14:M14"/>
    <mergeCell ref="B6:M6"/>
    <mergeCell ref="J13:M13"/>
    <mergeCell ref="D22:M22"/>
    <mergeCell ref="B5:M5"/>
    <mergeCell ref="D21:M21"/>
    <mergeCell ref="J15:M15"/>
    <mergeCell ref="B35:M35"/>
    <mergeCell ref="B4:M4"/>
    <mergeCell ref="B7:M7"/>
    <mergeCell ref="B25:M25"/>
    <mergeCell ref="B31:M31"/>
    <mergeCell ref="J11:M11"/>
    <mergeCell ref="J16:M16"/>
  </mergeCells>
  <printOptions horizontalCentered="1"/>
  <pageMargins left="0.3" right="0.3" top="0.4" bottom="0.4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tabColor rgb="00C9A84C"/>
    <outlinePr summaryBelow="1" summaryRight="1"/>
    <pageSetUpPr fitToPage="1"/>
  </sheetPr>
  <dimension ref="A1:M63"/>
  <sheetViews>
    <sheetView showGridLines="0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.5" customWidth="1" min="1" max="1"/>
    <col width="40" customWidth="1" min="2" max="2"/>
    <col width="15" customWidth="1" min="3" max="3"/>
    <col width="14" customWidth="1" min="4" max="4"/>
    <col width="14" customWidth="1" min="5" max="5"/>
    <col width="14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 ht="26" customHeight="1">
      <c r="B1" s="1" t="inlineStr">
        <is>
          <t>HIGHEST &amp; BEST USE  —  INDIVIDUAL vs. ASSEMBLED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3" t="n"/>
    </row>
    <row r="2" ht="31" customHeight="1">
      <c r="B2" s="4" t="inlineStr">
        <is>
          <t>Every component priced on its own, then combined; the land valued as regular fragmented parcels and as an assembled superblock (worth more, but hard to put together); the office FULL BUY-OUT; and the Live Local redevelopment test.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3" t="n"/>
    </row>
    <row r="3"/>
    <row r="4">
      <c r="B4" s="11" t="inlineStr">
        <is>
          <t>①  COMPONENT PRICING  —  each priced independently, then combined  (🟢 live links)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3" t="n"/>
    </row>
    <row r="5" ht="15" customHeight="1">
      <c r="B5" s="15" t="inlineStr">
        <is>
          <t>Component</t>
        </is>
      </c>
      <c r="C5" s="16" t="inlineStr">
        <is>
          <t>Independent price</t>
        </is>
      </c>
      <c r="E5" s="15" t="inlineStr">
        <is>
          <t>Basis / note</t>
        </is>
      </c>
      <c r="F5" s="13" t="n"/>
      <c r="G5" s="13" t="n"/>
      <c r="H5" s="13" t="n"/>
      <c r="I5" s="13" t="n"/>
      <c r="J5" s="13" t="n"/>
      <c r="K5" s="13" t="n"/>
      <c r="L5" s="13" t="n"/>
      <c r="M5" s="14" t="n"/>
    </row>
    <row r="6" ht="15" customHeight="1">
      <c r="B6" s="12" t="inlineStr">
        <is>
          <t>Shahidi Retail (Galleria Plaza)</t>
        </is>
      </c>
      <c r="C6" s="17">
        <f>'Shahidi Retail'!C57</f>
        <v/>
      </c>
      <c r="E6" s="22" t="inlineStr">
        <is>
          <t>acquire fee · value-add retail</t>
        </is>
      </c>
      <c r="F6" s="13" t="n"/>
      <c r="G6" s="13" t="n"/>
      <c r="H6" s="13" t="n"/>
      <c r="I6" s="13" t="n"/>
      <c r="J6" s="13" t="n"/>
      <c r="K6" s="13" t="n"/>
      <c r="L6" s="13" t="n"/>
      <c r="M6" s="14" t="n"/>
    </row>
    <row r="7" ht="15" customHeight="1">
      <c r="B7" s="12" t="inlineStr">
        <is>
          <t>Publix + Starbucks</t>
        </is>
      </c>
      <c r="C7" s="17">
        <f>'Publix &amp; Starbucks'!C44</f>
        <v/>
      </c>
      <c r="E7" s="22" t="inlineStr">
        <is>
          <t>sale-leaseback (acquire fee)</t>
        </is>
      </c>
      <c r="F7" s="13" t="n"/>
      <c r="G7" s="13" t="n"/>
      <c r="H7" s="13" t="n"/>
      <c r="I7" s="13" t="n"/>
      <c r="J7" s="13" t="n"/>
      <c r="K7" s="13" t="n"/>
      <c r="L7" s="13" t="n"/>
      <c r="M7" s="14" t="n"/>
    </row>
    <row r="8" ht="15" customHeight="1">
      <c r="B8" s="12" t="inlineStr">
        <is>
          <t>Sunrise Plaza (Kar Luen)</t>
        </is>
      </c>
      <c r="C8" s="17">
        <f>'Sunrise Plaza'!C47</f>
        <v/>
      </c>
      <c r="E8" s="22" t="inlineStr">
        <is>
          <t>acquire fee · restaurant value-add</t>
        </is>
      </c>
      <c r="F8" s="13" t="n"/>
      <c r="G8" s="13" t="n"/>
      <c r="H8" s="13" t="n"/>
      <c r="I8" s="13" t="n"/>
      <c r="J8" s="13" t="n"/>
      <c r="K8" s="13" t="n"/>
      <c r="L8" s="13" t="n"/>
      <c r="M8" s="14" t="n"/>
    </row>
    <row r="9" ht="15" customHeight="1">
      <c r="B9" s="12" t="inlineStr">
        <is>
          <t>Galleria Corp Centre (full buy-out)</t>
        </is>
      </c>
      <c r="C9" s="17">
        <f>'Office Condo'!I97</f>
        <v/>
      </c>
      <c r="E9" s="22" t="inlineStr">
        <is>
          <t>buy out BOTH condo owners</t>
        </is>
      </c>
      <c r="F9" s="13" t="n"/>
      <c r="G9" s="13" t="n"/>
      <c r="H9" s="13" t="n"/>
      <c r="I9" s="13" t="n"/>
      <c r="J9" s="13" t="n"/>
      <c r="K9" s="13" t="n"/>
      <c r="L9" s="13" t="n"/>
      <c r="M9" s="14" t="n"/>
    </row>
    <row r="10" ht="15" customHeight="1">
      <c r="B10" s="12" t="inlineStr">
        <is>
          <t>1040 Bayview (entitled land)</t>
        </is>
      </c>
      <c r="C10" s="17">
        <f>'Land'!E40</f>
        <v/>
      </c>
      <c r="E10" s="22" t="inlineStr">
        <is>
          <t>covered land · hold for redevelopment</t>
        </is>
      </c>
      <c r="F10" s="13" t="n"/>
      <c r="G10" s="13" t="n"/>
      <c r="H10" s="13" t="n"/>
      <c r="I10" s="13" t="n"/>
      <c r="J10" s="13" t="n"/>
      <c r="K10" s="13" t="n"/>
      <c r="L10" s="13" t="n"/>
      <c r="M10" s="14" t="n"/>
    </row>
    <row r="11" ht="15" customHeight="1">
      <c r="B11" s="43" t="inlineStr">
        <is>
          <t>SUM OF THE PARTS  (priced independently)</t>
        </is>
      </c>
      <c r="C11" s="44">
        <f>SUM(C6:C10)</f>
        <v/>
      </c>
      <c r="E11" s="22" t="inlineStr">
        <is>
          <t>what you'd pay buying each one at a time</t>
        </is>
      </c>
      <c r="F11" s="13" t="n"/>
      <c r="G11" s="13" t="n"/>
      <c r="H11" s="13" t="n"/>
      <c r="I11" s="13" t="n"/>
      <c r="J11" s="13" t="n"/>
      <c r="K11" s="13" t="n"/>
      <c r="L11" s="13" t="n"/>
      <c r="M11" s="14" t="n"/>
    </row>
    <row r="12" ht="15" customHeight="1">
      <c r="B12" s="12" t="inlineStr">
        <is>
          <t>＋ Assemblage premium (hard to put together)</t>
        </is>
      </c>
      <c r="C12" s="47">
        <f>C11*'Assumptions'!C28</f>
        <v/>
      </c>
      <c r="D12" s="18">
        <f>'Assumptions'!C28</f>
        <v/>
      </c>
      <c r="E12" s="22" t="inlineStr">
        <is>
          <t>5 owners · a sale-leaseback · a fractured condo · holdout risk</t>
        </is>
      </c>
      <c r="F12" s="13" t="n"/>
      <c r="G12" s="13" t="n"/>
      <c r="H12" s="13" t="n"/>
      <c r="I12" s="13" t="n"/>
      <c r="J12" s="13" t="n"/>
      <c r="K12" s="13" t="n"/>
      <c r="L12" s="13" t="n"/>
      <c r="M12" s="14" t="n"/>
    </row>
    <row r="13" ht="16" customHeight="1">
      <c r="B13" s="55" t="inlineStr">
        <is>
          <t>PRICED AS AN ASSEMBLAGE (base)</t>
        </is>
      </c>
      <c r="C13" s="56">
        <f>C11+C12</f>
        <v/>
      </c>
      <c r="E13" s="22" t="inlineStr">
        <is>
          <t>total to control the whole block</t>
        </is>
      </c>
      <c r="F13" s="13" t="n"/>
      <c r="G13" s="13" t="n"/>
      <c r="H13" s="13" t="n"/>
      <c r="I13" s="13" t="n"/>
      <c r="J13" s="13" t="n"/>
      <c r="K13" s="13" t="n"/>
      <c r="L13" s="13" t="n"/>
      <c r="M13" s="14" t="n"/>
    </row>
    <row r="14"/>
    <row r="15">
      <c r="B15" s="11" t="inlineStr">
        <is>
          <t>ACQUISITION HISTORY  —  what each owner paid, and when  (seller basis = negotiation leverage)</t>
        </is>
      </c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3" t="n"/>
    </row>
    <row r="16" ht="15" customHeight="1">
      <c r="B16" s="15" t="inlineStr">
        <is>
          <t>Component / owner</t>
        </is>
      </c>
      <c r="C16" s="16" t="inlineStr">
        <is>
          <t>Bought</t>
        </is>
      </c>
      <c r="D16" s="16" t="inlineStr">
        <is>
          <t>For</t>
        </is>
      </c>
      <c r="E16" s="16" t="inlineStr">
        <is>
          <t>Our modeled price</t>
        </is>
      </c>
      <c r="F16" s="15" t="inlineStr">
        <is>
          <t>note</t>
        </is>
      </c>
      <c r="G16" s="13" t="n"/>
      <c r="H16" s="13" t="n"/>
      <c r="I16" s="13" t="n"/>
      <c r="J16" s="13" t="n"/>
      <c r="K16" s="13" t="n"/>
      <c r="L16" s="13" t="n"/>
      <c r="M16" s="14" t="n"/>
    </row>
    <row r="17" ht="15" customHeight="1">
      <c r="B17" s="70" t="inlineStr">
        <is>
          <t>Shahidi Retail — Shawnick Galleria LLC (Shahidi)</t>
        </is>
      </c>
      <c r="C17" s="71" t="inlineStr">
        <is>
          <t>11/09/2021</t>
        </is>
      </c>
      <c r="D17" s="72" t="n">
        <v>17100000</v>
      </c>
      <c r="E17" s="17">
        <f>'Shahidi Retail'!C57</f>
        <v/>
      </c>
      <c r="F17" s="22" t="inlineStr">
        <is>
          <t>Special Warranty Deed (flagged disqualified sale)</t>
        </is>
      </c>
      <c r="G17" s="13" t="n"/>
      <c r="H17" s="13" t="n"/>
      <c r="I17" s="13" t="n"/>
      <c r="J17" s="13" t="n"/>
      <c r="K17" s="13" t="n"/>
      <c r="L17" s="13" t="n"/>
      <c r="M17" s="14" t="n"/>
    </row>
    <row r="18" ht="15" customHeight="1">
      <c r="B18" s="70" t="inlineStr">
        <is>
          <t>Publix + Starbucks — REAL SUB LLC (Publix)</t>
        </is>
      </c>
      <c r="C18" s="71" t="inlineStr">
        <is>
          <t>03/14/2025</t>
        </is>
      </c>
      <c r="D18" s="72" t="n">
        <v>25000000</v>
      </c>
      <c r="E18" s="17">
        <f>'Publix &amp; Starbucks'!C44</f>
        <v/>
      </c>
      <c r="F18" s="22" t="inlineStr">
        <is>
          <t>Trustee's Deed · $679/SF bldg</t>
        </is>
      </c>
      <c r="G18" s="13" t="n"/>
      <c r="H18" s="13" t="n"/>
      <c r="I18" s="13" t="n"/>
      <c r="J18" s="13" t="n"/>
      <c r="K18" s="13" t="n"/>
      <c r="L18" s="13" t="n"/>
      <c r="M18" s="14" t="n"/>
    </row>
    <row r="19" ht="15" customHeight="1">
      <c r="B19" s="12" t="inlineStr">
        <is>
          <t>Sunrise Plaza — Kar Luen Inc</t>
        </is>
      </c>
      <c r="C19" s="30" t="inlineStr">
        <is>
          <t>Oct 2000</t>
        </is>
      </c>
      <c r="D19" s="47" t="n">
        <v>128000</v>
      </c>
      <c r="E19" s="17">
        <f>'Sunrise Plaza'!C47</f>
        <v/>
      </c>
      <c r="F19" s="22" t="inlineStr">
        <is>
          <t>stale/nominal — held since; no recent arm's-length</t>
        </is>
      </c>
      <c r="G19" s="13" t="n"/>
      <c r="H19" s="13" t="n"/>
      <c r="I19" s="13" t="n"/>
      <c r="J19" s="13" t="n"/>
      <c r="K19" s="13" t="n"/>
      <c r="L19" s="13" t="n"/>
      <c r="M19" s="14" t="n"/>
    </row>
    <row r="20" ht="15" customHeight="1">
      <c r="B20" s="12" t="inlineStr">
        <is>
          <t>Office — Main St Fund LLC (57.4%)</t>
        </is>
      </c>
      <c r="C20" s="30" t="inlineStr">
        <is>
          <t>09/23/2019</t>
        </is>
      </c>
      <c r="D20" s="47" t="n">
        <v>10000000</v>
      </c>
      <c r="E20" s="17">
        <f>'Office Condo'!I90</f>
        <v/>
      </c>
      <c r="F20" s="22" t="inlineStr">
        <is>
          <t>96,930 SF + 2 parking lots (Daily Business Review)</t>
        </is>
      </c>
      <c r="G20" s="13" t="n"/>
      <c r="H20" s="13" t="n"/>
      <c r="I20" s="13" t="n"/>
      <c r="J20" s="13" t="n"/>
      <c r="K20" s="13" t="n"/>
      <c r="L20" s="13" t="n"/>
      <c r="M20" s="14" t="n"/>
    </row>
    <row r="21" ht="15" customHeight="1">
      <c r="B21" s="12" t="inlineStr">
        <is>
          <t>Office — Intl Sunrise Partners (42.6%)</t>
        </is>
      </c>
      <c r="C21" s="30" t="inlineStr">
        <is>
          <t>2011</t>
        </is>
      </c>
      <c r="D21" s="73" t="inlineStr">
        <is>
          <t>—</t>
        </is>
      </c>
      <c r="E21" s="17">
        <f>'Office Condo'!I91</f>
        <v/>
      </c>
      <c r="F21" s="22" t="inlineStr">
        <is>
          <t>condo-conversion sponsor (Bush Development)</t>
        </is>
      </c>
      <c r="G21" s="13" t="n"/>
      <c r="H21" s="13" t="n"/>
      <c r="I21" s="13" t="n"/>
      <c r="J21" s="13" t="n"/>
      <c r="K21" s="13" t="n"/>
      <c r="L21" s="13" t="n"/>
      <c r="M21" s="14" t="n"/>
    </row>
    <row r="22" ht="15" customHeight="1">
      <c r="B22" s="12" t="inlineStr">
        <is>
          <t>1040 Bayview — Sunrise &amp; Bayview Partners</t>
        </is>
      </c>
      <c r="C22" s="30" t="inlineStr">
        <is>
          <t>2014 (JV)</t>
        </is>
      </c>
      <c r="D22" s="73" t="inlineStr">
        <is>
          <t>—</t>
        </is>
      </c>
      <c r="E22" s="17">
        <f>'Land'!E40</f>
        <v/>
      </c>
      <c r="F22" s="22" t="inlineStr">
        <is>
          <t>Procacci; BBX exited 2022; stale 1961 deed $801,933</t>
        </is>
      </c>
      <c r="G22" s="13" t="n"/>
      <c r="H22" s="13" t="n"/>
      <c r="I22" s="13" t="n"/>
      <c r="J22" s="13" t="n"/>
      <c r="K22" s="13" t="n"/>
      <c r="L22" s="13" t="n"/>
      <c r="M22" s="14" t="n"/>
    </row>
    <row r="23"/>
    <row r="24">
      <c r="B24" s="11" t="inlineStr">
        <is>
          <t>②  LAND VALUE  —  as REGULAR (fragmented) parcels</t>
        </is>
      </c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3" t="n"/>
    </row>
    <row r="25" ht="15" customHeight="1">
      <c r="B25" s="15" t="inlineStr">
        <is>
          <t>Parcel</t>
        </is>
      </c>
      <c r="C25" s="16" t="inlineStr">
        <is>
          <t>Land SF</t>
        </is>
      </c>
      <c r="D25" s="16" t="inlineStr">
        <is>
          <t>$/SF</t>
        </is>
      </c>
      <c r="E25" s="16" t="inlineStr">
        <is>
          <t>Land value</t>
        </is>
      </c>
      <c r="F25" s="15" t="inlineStr">
        <is>
          <t>note</t>
        </is>
      </c>
      <c r="G25" s="13" t="n"/>
      <c r="H25" s="13" t="n"/>
      <c r="I25" s="13" t="n"/>
      <c r="J25" s="13" t="n"/>
      <c r="K25" s="13" t="n"/>
      <c r="L25" s="13" t="n"/>
      <c r="M25" s="14" t="n"/>
    </row>
    <row r="26" ht="15" customHeight="1">
      <c r="B26" s="12" t="inlineStr">
        <is>
          <t>Shahidi Retail</t>
        </is>
      </c>
      <c r="C26" s="25">
        <f>'Shahidi Retail'!C36</f>
        <v/>
      </c>
      <c r="D26" s="26">
        <f>'Shahidi Retail'!C79</f>
        <v/>
      </c>
      <c r="E26" s="17">
        <f>'Shahidi Retail'!C80</f>
        <v/>
      </c>
      <c r="F26" s="22" t="inlineStr">
        <is>
          <t>standalone parcel</t>
        </is>
      </c>
      <c r="G26" s="13" t="n"/>
      <c r="H26" s="13" t="n"/>
      <c r="I26" s="13" t="n"/>
      <c r="J26" s="13" t="n"/>
      <c r="K26" s="13" t="n"/>
      <c r="L26" s="13" t="n"/>
      <c r="M26" s="14" t="n"/>
    </row>
    <row r="27" ht="15" customHeight="1">
      <c r="B27" s="12" t="inlineStr">
        <is>
          <t>Publix + Starbucks</t>
        </is>
      </c>
      <c r="C27" s="25">
        <f>'Publix &amp; Starbucks'!C25</f>
        <v/>
      </c>
      <c r="D27" s="26">
        <f>'Publix &amp; Starbucks'!C55</f>
        <v/>
      </c>
      <c r="E27" s="17">
        <f>'Publix &amp; Starbucks'!C67</f>
        <v/>
      </c>
      <c r="F27" s="22" t="inlineStr">
        <is>
          <t>standalone parcel</t>
        </is>
      </c>
      <c r="G27" s="13" t="n"/>
      <c r="H27" s="13" t="n"/>
      <c r="I27" s="13" t="n"/>
      <c r="J27" s="13" t="n"/>
      <c r="K27" s="13" t="n"/>
      <c r="L27" s="13" t="n"/>
      <c r="M27" s="14" t="n"/>
    </row>
    <row r="28" ht="15" customHeight="1">
      <c r="B28" s="12" t="inlineStr">
        <is>
          <t>Sunrise Plaza (Kar Luen)</t>
        </is>
      </c>
      <c r="C28" s="25">
        <f>'Sunrise Plaza'!C28</f>
        <v/>
      </c>
      <c r="D28" s="26">
        <f>'Sunrise Plaza'!C58</f>
        <v/>
      </c>
      <c r="E28" s="17">
        <f>'Sunrise Plaza'!C70</f>
        <v/>
      </c>
      <c r="F28" s="22" t="inlineStr">
        <is>
          <t>standalone parcel</t>
        </is>
      </c>
      <c r="G28" s="13" t="n"/>
      <c r="H28" s="13" t="n"/>
      <c r="I28" s="13" t="n"/>
      <c r="J28" s="13" t="n"/>
      <c r="K28" s="13" t="n"/>
      <c r="L28" s="13" t="n"/>
      <c r="M28" s="14" t="n"/>
    </row>
    <row r="29" ht="15" customHeight="1">
      <c r="B29" s="12" t="inlineStr">
        <is>
          <t>1040 Bayview</t>
        </is>
      </c>
      <c r="C29" s="25">
        <f>'Land'!C15</f>
        <v/>
      </c>
      <c r="D29" s="68">
        <f>'Land'!E40/'Land'!C15</f>
        <v/>
      </c>
      <c r="E29" s="17">
        <f>'Land'!E40</f>
        <v/>
      </c>
      <c r="F29" s="22" t="inlineStr">
        <is>
          <t>standalone parcel</t>
        </is>
      </c>
      <c r="G29" s="13" t="n"/>
      <c r="H29" s="13" t="n"/>
      <c r="I29" s="13" t="n"/>
      <c r="J29" s="13" t="n"/>
      <c r="K29" s="13" t="n"/>
      <c r="L29" s="13" t="n"/>
      <c r="M29" s="14" t="n"/>
    </row>
    <row r="30" ht="15" customHeight="1">
      <c r="B30" s="43" t="inlineStr">
        <is>
          <t>SUM OF THE PARTS  (fragmented land)</t>
        </is>
      </c>
      <c r="C30" s="74">
        <f>SUM(C26:C29)</f>
        <v/>
      </c>
      <c r="D30" s="75">
        <f>SUM(E26:E29)/SUM(C26:C29)</f>
        <v/>
      </c>
      <c r="E30" s="76">
        <f>SUM(E26:E29)</f>
        <v/>
      </c>
      <c r="F30" s="22" t="inlineStr">
        <is>
          <t>office excluded — building, not land (buy-out below)</t>
        </is>
      </c>
      <c r="G30" s="13" t="n"/>
      <c r="H30" s="13" t="n"/>
      <c r="I30" s="13" t="n"/>
      <c r="J30" s="13" t="n"/>
      <c r="K30" s="13" t="n"/>
      <c r="L30" s="13" t="n"/>
      <c r="M30" s="14" t="n"/>
    </row>
    <row r="31">
      <c r="B31" s="11" t="inlineStr">
        <is>
          <t>②  LAND VALUE  —  as an ASSEMBLED SUPERBLOCK  (plottage: worth more, hard to assemble)</t>
        </is>
      </c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3" t="n"/>
    </row>
    <row r="32" ht="15" customHeight="1">
      <c r="B32" s="12" t="inlineStr">
        <is>
          <t>Assembled land (SF)</t>
        </is>
      </c>
      <c r="C32" s="64">
        <f>C30</f>
        <v/>
      </c>
      <c r="E32" s="22" t="inlineStr">
        <is>
          <t>4 contiguous land parcels, one plat block</t>
        </is>
      </c>
      <c r="F32" s="13" t="n"/>
      <c r="G32" s="13" t="n"/>
      <c r="H32" s="13" t="n"/>
      <c r="I32" s="13" t="n"/>
      <c r="J32" s="13" t="n"/>
      <c r="K32" s="13" t="n"/>
      <c r="L32" s="13" t="n"/>
      <c r="M32" s="14" t="n"/>
    </row>
    <row r="33" ht="15" customHeight="1">
      <c r="B33" s="12" t="inlineStr">
        <is>
          <t>Assembled land (acres)</t>
        </is>
      </c>
      <c r="C33" s="68">
        <f>C30/43560</f>
        <v/>
      </c>
    </row>
    <row r="34" ht="15" customHeight="1">
      <c r="B34" s="12" t="inlineStr">
        <is>
          <t>Plottage / assemblage premium (base)</t>
        </is>
      </c>
      <c r="C34" s="53">
        <f>'Assumptions'!C28</f>
        <v/>
      </c>
      <c r="E34" s="22" t="inlineStr">
        <is>
          <t>uplift for a large contiguous development site</t>
        </is>
      </c>
      <c r="F34" s="13" t="n"/>
      <c r="G34" s="13" t="n"/>
      <c r="H34" s="13" t="n"/>
      <c r="I34" s="13" t="n"/>
      <c r="J34" s="13" t="n"/>
      <c r="K34" s="13" t="n"/>
      <c r="L34" s="13" t="n"/>
      <c r="M34" s="14" t="n"/>
    </row>
    <row r="35" ht="15" customHeight="1">
      <c r="B35" s="12" t="inlineStr">
        <is>
          <t>Assembled land value — low</t>
        </is>
      </c>
      <c r="C35" s="47">
        <f>E30*(1+'Assumptions'!C27)</f>
        <v/>
      </c>
    </row>
    <row r="36" ht="16" customHeight="1">
      <c r="B36" s="55" t="inlineStr">
        <is>
          <t>Assembled land value — BASE</t>
        </is>
      </c>
      <c r="C36" s="56">
        <f>E30*(1+'Assumptions'!C28)</f>
        <v/>
      </c>
    </row>
    <row r="37" ht="15" customHeight="1">
      <c r="B37" s="12" t="inlineStr">
        <is>
          <t>Assembled land value — high</t>
        </is>
      </c>
      <c r="C37" s="47">
        <f>E30*(1+'Assumptions'!C29)</f>
        <v/>
      </c>
    </row>
    <row r="38" ht="15" customHeight="1">
      <c r="B38" s="12" t="inlineStr">
        <is>
          <t>Implied assembled $/SF (base)</t>
        </is>
      </c>
      <c r="C38" s="68">
        <f>C36/C30</f>
        <v/>
      </c>
      <c r="E38" s="22" t="inlineStr">
        <is>
          <t>vs. fragmented blend above</t>
        </is>
      </c>
      <c r="F38" s="13" t="n"/>
      <c r="G38" s="13" t="n"/>
      <c r="H38" s="13" t="n"/>
      <c r="I38" s="13" t="n"/>
      <c r="J38" s="13" t="n"/>
      <c r="K38" s="13" t="n"/>
      <c r="L38" s="13" t="n"/>
      <c r="M38" s="14" t="n"/>
    </row>
    <row r="39" ht="15" customHeight="1">
      <c r="B39" s="12" t="inlineStr">
        <is>
          <t>PLOTTAGE PREMIUM (assembled − fragmented)</t>
        </is>
      </c>
      <c r="C39" s="51">
        <f>C36-E30</f>
        <v/>
      </c>
      <c r="E39" s="22" t="inlineStr">
        <is>
          <t>the value created / cost incurred by assembling the hard-to-put-together block</t>
        </is>
      </c>
      <c r="F39" s="13" t="n"/>
      <c r="G39" s="13" t="n"/>
      <c r="H39" s="13" t="n"/>
      <c r="I39" s="13" t="n"/>
      <c r="J39" s="13" t="n"/>
      <c r="K39" s="13" t="n"/>
      <c r="L39" s="13" t="n"/>
      <c r="M39" s="14" t="n"/>
    </row>
    <row r="40" ht="15" customHeight="1">
      <c r="B40" s="12" t="inlineStr">
        <is>
          <t>Entitlement lift (post-Live Local approval)</t>
        </is>
      </c>
      <c r="C40" s="53">
        <f>'Assumptions'!C32</f>
        <v/>
      </c>
      <c r="E40" s="22" t="inlineStr">
        <is>
          <t>value bump once entitled for Live Local density</t>
        </is>
      </c>
      <c r="F40" s="13" t="n"/>
      <c r="G40" s="13" t="n"/>
      <c r="H40" s="13" t="n"/>
      <c r="I40" s="13" t="n"/>
      <c r="J40" s="13" t="n"/>
      <c r="K40" s="13" t="n"/>
      <c r="L40" s="13" t="n"/>
      <c r="M40" s="14" t="n"/>
    </row>
    <row r="41" ht="16" customHeight="1">
      <c r="B41" s="55" t="inlineStr">
        <is>
          <t>POST-APPROVAL assembled land value</t>
        </is>
      </c>
      <c r="C41" s="56">
        <f>C36*(1+'Assumptions'!C32)</f>
        <v/>
      </c>
      <c r="E41" s="22" t="inlineStr">
        <is>
          <t>what the ENTITLED dirt is worth — the redevelopment upside the premium buys you the option on</t>
        </is>
      </c>
      <c r="F41" s="13" t="n"/>
      <c r="G41" s="13" t="n"/>
      <c r="H41" s="13" t="n"/>
      <c r="I41" s="13" t="n"/>
      <c r="J41" s="13" t="n"/>
      <c r="K41" s="13" t="n"/>
      <c r="L41" s="13" t="n"/>
      <c r="M41" s="14" t="n"/>
    </row>
    <row r="42"/>
    <row r="43">
      <c r="B43" s="11" t="inlineStr">
        <is>
          <t>③  OFFICE CONDO  —  FULL BUY-OUT  (the building on the corner, two dominant owners)</t>
        </is>
      </c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3" t="n"/>
    </row>
    <row r="44" ht="15" customHeight="1">
      <c r="B44" s="12" t="inlineStr">
        <is>
          <t>Main Street Fund LLC (Grove Gate, 57.4%)</t>
        </is>
      </c>
      <c r="C44" s="17">
        <f>'Office Condo'!I90</f>
        <v/>
      </c>
      <c r="E44" s="22" t="inlineStr">
        <is>
          <t>bought 96,930 SF + 2 parking lots for $10M (2019)</t>
        </is>
      </c>
      <c r="F44" s="13" t="n"/>
      <c r="G44" s="13" t="n"/>
      <c r="H44" s="13" t="n"/>
      <c r="I44" s="13" t="n"/>
      <c r="J44" s="13" t="n"/>
      <c r="K44" s="13" t="n"/>
      <c r="L44" s="13" t="n"/>
      <c r="M44" s="14" t="n"/>
    </row>
    <row r="45" ht="15" customHeight="1">
      <c r="B45" s="12" t="inlineStr">
        <is>
          <t>International Sunrise Partners LLC (42.6%)</t>
        </is>
      </c>
      <c r="C45" s="17">
        <f>'Office Condo'!I91</f>
        <v/>
      </c>
      <c r="E45" s="22" t="inlineStr">
        <is>
          <t>prior bulk owner (2011 condo-conversion sponsor)</t>
        </is>
      </c>
      <c r="F45" s="13" t="n"/>
      <c r="G45" s="13" t="n"/>
      <c r="H45" s="13" t="n"/>
      <c r="I45" s="13" t="n"/>
      <c r="J45" s="13" t="n"/>
      <c r="K45" s="13" t="n"/>
      <c r="L45" s="13" t="n"/>
      <c r="M45" s="14" t="n"/>
    </row>
    <row r="46" ht="16" customHeight="1">
      <c r="B46" s="55" t="inlineStr">
        <is>
          <t>FULL BUY-OUT VALUE (both owners)</t>
        </is>
      </c>
      <c r="C46" s="56">
        <f>'Office Condo'!I97</f>
        <v/>
      </c>
      <c r="E46" s="22" t="inlineStr">
        <is>
          <t>income value + buy-out premium; adjust the premium on the Office Condo tab</t>
        </is>
      </c>
      <c r="F46" s="13" t="n"/>
      <c r="G46" s="13" t="n"/>
      <c r="H46" s="13" t="n"/>
      <c r="I46" s="13" t="n"/>
      <c r="J46" s="13" t="n"/>
      <c r="K46" s="13" t="n"/>
      <c r="L46" s="13" t="n"/>
      <c r="M46" s="14" t="n"/>
    </row>
    <row r="47"/>
    <row r="48">
      <c r="B48" s="11" t="inlineStr">
        <is>
          <t>④  REDEVELOPMENT — LIVE LOCAL RESIDUAL  (assemblage scale · ⚠️ negative → HOLD)</t>
        </is>
      </c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3" t="n"/>
    </row>
    <row r="49" ht="15" customHeight="1">
      <c r="B49" s="12" t="inlineStr">
        <is>
          <t>Buildable density (units/acre)</t>
        </is>
      </c>
      <c r="C49" s="77" t="n">
        <v>100</v>
      </c>
      <c r="D49" s="22" t="inlineStr">
        <is>
          <t>🔵 Live Local target</t>
        </is>
      </c>
      <c r="E49" s="13" t="n"/>
      <c r="F49" s="13" t="n"/>
      <c r="G49" s="13" t="n"/>
      <c r="H49" s="13" t="n"/>
      <c r="I49" s="13" t="n"/>
      <c r="J49" s="13" t="n"/>
      <c r="K49" s="13" t="n"/>
      <c r="L49" s="13" t="n"/>
      <c r="M49" s="14" t="n"/>
    </row>
    <row r="50" ht="15" customHeight="1">
      <c r="B50" s="12" t="inlineStr">
        <is>
          <t>Assemblage buildable units</t>
        </is>
      </c>
      <c r="C50" s="64">
        <f>C30/43560*C49</f>
        <v/>
      </c>
      <c r="E50" s="22" t="inlineStr">
        <is>
          <t>acres × density</t>
        </is>
      </c>
      <c r="F50" s="13" t="n"/>
      <c r="G50" s="13" t="n"/>
      <c r="H50" s="13" t="n"/>
      <c r="I50" s="13" t="n"/>
      <c r="J50" s="13" t="n"/>
      <c r="K50" s="13" t="n"/>
      <c r="L50" s="13" t="n"/>
      <c r="M50" s="14" t="n"/>
    </row>
    <row r="51" ht="15" customHeight="1">
      <c r="B51" s="12" t="inlineStr">
        <is>
          <t>Gross development value (GDV)</t>
        </is>
      </c>
      <c r="C51" s="51">
        <f>C50*'Assumptions'!C39</f>
        <v/>
      </c>
      <c r="E51" s="22" t="inlineStr">
        <is>
          <t>units × achievable value/unit (Assumptions)</t>
        </is>
      </c>
      <c r="F51" s="13" t="n"/>
      <c r="G51" s="13" t="n"/>
      <c r="H51" s="13" t="n"/>
      <c r="I51" s="13" t="n"/>
      <c r="J51" s="13" t="n"/>
      <c r="K51" s="13" t="n"/>
      <c r="L51" s="13" t="n"/>
      <c r="M51" s="14" t="n"/>
    </row>
    <row r="52" ht="15" customHeight="1">
      <c r="B52" s="12" t="inlineStr">
        <is>
          <t>Buildable GBA (SF)</t>
        </is>
      </c>
      <c r="C52" s="64">
        <f>C50*'Assumptions'!C41</f>
        <v/>
      </c>
    </row>
    <row r="53" ht="15" customHeight="1">
      <c r="B53" s="12" t="inlineStr">
        <is>
          <t>− Hard cost</t>
        </is>
      </c>
      <c r="C53" s="47">
        <f>-C52*'Assumptions'!C40</f>
        <v/>
      </c>
    </row>
    <row r="54" ht="15" customHeight="1">
      <c r="B54" s="12" t="inlineStr">
        <is>
          <t>− Soft cost</t>
        </is>
      </c>
      <c r="C54" s="47">
        <f>-C52*'Assumptions'!C40*'Assumptions'!C42</f>
        <v/>
      </c>
    </row>
    <row r="55" ht="15" customHeight="1">
      <c r="B55" s="12" t="inlineStr">
        <is>
          <t>− Developer profit</t>
        </is>
      </c>
      <c r="C55" s="47">
        <f>-C51*'Assumptions'!C43</f>
        <v/>
      </c>
    </row>
    <row r="56" ht="16" customHeight="1">
      <c r="B56" s="55" t="inlineStr">
        <is>
          <t>RESIDUAL LAND VALUE (supports acquisition?)</t>
        </is>
      </c>
      <c r="C56" s="56">
        <f>C51+C53-C52*'Assumptions'!C40*'Assumptions'!C42-C51*'Assumptions'!C43</f>
        <v/>
      </c>
    </row>
    <row r="57" ht="27" customHeight="1">
      <c r="B57" s="40" t="inlineStr">
        <is>
          <t>HBU verdict</t>
        </is>
      </c>
      <c r="C57" s="69" t="inlineStr">
        <is>
          <t>HOLD</t>
        </is>
      </c>
      <c r="D57" s="40" t="inlineStr">
        <is>
          <t>Residual runs NEGATIVE at coastal AE-zone hard costs — redevelopment does not pencil today. Highest &amp; best use = acquire and HOLD the income-covered assemblage; redevelop when achievable rents / hard costs support Live Local density.</t>
        </is>
      </c>
      <c r="E57" s="13" t="n"/>
      <c r="F57" s="13" t="n"/>
      <c r="G57" s="13" t="n"/>
      <c r="H57" s="13" t="n"/>
      <c r="I57" s="13" t="n"/>
      <c r="J57" s="13" t="n"/>
      <c r="K57" s="13" t="n"/>
      <c r="L57" s="13" t="n"/>
      <c r="M57" s="14" t="n"/>
    </row>
    <row r="58"/>
    <row r="59">
      <c r="B59" s="11" t="inlineStr">
        <is>
          <t>⑤  CONCLUSION</t>
        </is>
      </c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3" t="n"/>
    </row>
    <row r="60" ht="15" customHeight="1">
      <c r="B60" s="12" t="inlineStr">
        <is>
          <t>• Priced independently, the components sum to ~$86M; as an assemblage (base premium) ~$103M — the premium is the cost of controlling</t>
        </is>
      </c>
      <c r="C60" s="13" t="n"/>
      <c r="D60" s="13" t="n"/>
      <c r="E60" s="13" t="n"/>
      <c r="F60" s="13" t="n"/>
      <c r="G60" s="13" t="n"/>
      <c r="H60" s="13" t="n"/>
      <c r="I60" s="13" t="n"/>
      <c r="J60" s="13" t="n"/>
      <c r="K60" s="13" t="n"/>
      <c r="L60" s="13" t="n"/>
      <c r="M60" s="14" t="n"/>
    </row>
    <row r="61" ht="15" customHeight="1">
      <c r="B61" s="12" t="inlineStr">
        <is>
          <t xml:space="preserve">  a contiguous block held by five owners (a sale-leaseback, a fractured condo, and holdout risk).</t>
        </is>
      </c>
      <c r="C61" s="13" t="n"/>
      <c r="D61" s="13" t="n"/>
      <c r="E61" s="13" t="n"/>
      <c r="F61" s="13" t="n"/>
      <c r="G61" s="13" t="n"/>
      <c r="H61" s="13" t="n"/>
      <c r="I61" s="13" t="n"/>
      <c r="J61" s="13" t="n"/>
      <c r="K61" s="13" t="n"/>
      <c r="L61" s="13" t="n"/>
      <c r="M61" s="14" t="n"/>
    </row>
    <row r="62" ht="15" customHeight="1">
      <c r="B62" s="12" t="inlineStr">
        <is>
          <t>• The land alone is worth more assembled (plottage) than as fragmented parcels — but redevelopment does not yet pencil, so the</t>
        </is>
      </c>
      <c r="C62" s="13" t="n"/>
      <c r="D62" s="13" t="n"/>
      <c r="E62" s="13" t="n"/>
      <c r="F62" s="13" t="n"/>
      <c r="G62" s="13" t="n"/>
      <c r="H62" s="13" t="n"/>
      <c r="I62" s="13" t="n"/>
      <c r="J62" s="13" t="n"/>
      <c r="K62" s="13" t="n"/>
      <c r="L62" s="13" t="n"/>
      <c r="M62" s="14" t="n"/>
    </row>
    <row r="63" ht="15" customHeight="1">
      <c r="B63" s="12" t="inlineStr">
        <is>
          <t xml:space="preserve">  return today is income-covered land banking, with the Live Local density as the option you are paying the premium to hold.</t>
        </is>
      </c>
      <c r="C63" s="13" t="n"/>
      <c r="D63" s="13" t="n"/>
      <c r="E63" s="13" t="n"/>
      <c r="F63" s="13" t="n"/>
      <c r="G63" s="13" t="n"/>
      <c r="H63" s="13" t="n"/>
      <c r="I63" s="13" t="n"/>
      <c r="J63" s="13" t="n"/>
      <c r="K63" s="13" t="n"/>
      <c r="L63" s="13" t="n"/>
      <c r="M63" s="14" t="n"/>
    </row>
  </sheetData>
  <mergeCells count="48">
    <mergeCell ref="B2:M2"/>
    <mergeCell ref="B48:M48"/>
    <mergeCell ref="F29:M29"/>
    <mergeCell ref="E10:M10"/>
    <mergeCell ref="B60:M60"/>
    <mergeCell ref="E13:M13"/>
    <mergeCell ref="F19:M19"/>
    <mergeCell ref="F25:M25"/>
    <mergeCell ref="F16:M16"/>
    <mergeCell ref="B61:M61"/>
    <mergeCell ref="E40:M40"/>
    <mergeCell ref="E9:M9"/>
    <mergeCell ref="B1:M1"/>
    <mergeCell ref="E34:M34"/>
    <mergeCell ref="E6:M6"/>
    <mergeCell ref="E46:M46"/>
    <mergeCell ref="F30:M30"/>
    <mergeCell ref="E44:M44"/>
    <mergeCell ref="E11:M11"/>
    <mergeCell ref="F21:M21"/>
    <mergeCell ref="E45:M45"/>
    <mergeCell ref="F20:M20"/>
    <mergeCell ref="F18:M18"/>
    <mergeCell ref="B24:M24"/>
    <mergeCell ref="F26:M26"/>
    <mergeCell ref="E7:M7"/>
    <mergeCell ref="B15:M15"/>
    <mergeCell ref="F17:M17"/>
    <mergeCell ref="E32:M32"/>
    <mergeCell ref="E41:M41"/>
    <mergeCell ref="B63:M63"/>
    <mergeCell ref="F22:M22"/>
    <mergeCell ref="F28:M28"/>
    <mergeCell ref="D57:M57"/>
    <mergeCell ref="B4:M4"/>
    <mergeCell ref="E12:M12"/>
    <mergeCell ref="F27:M27"/>
    <mergeCell ref="E50:M50"/>
    <mergeCell ref="D49:M49"/>
    <mergeCell ref="B62:M62"/>
    <mergeCell ref="B59:M59"/>
    <mergeCell ref="E5:M5"/>
    <mergeCell ref="B31:M31"/>
    <mergeCell ref="E39:M39"/>
    <mergeCell ref="E8:M8"/>
    <mergeCell ref="B43:M43"/>
    <mergeCell ref="E51:M51"/>
    <mergeCell ref="E38:M38"/>
  </mergeCells>
  <printOptions horizontalCentered="1"/>
  <pageMargins left="0.3" right="0.3" top="0.4" bottom="0.4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tabColor rgb="001F2D4E"/>
    <outlinePr summaryBelow="1" summaryRight="1"/>
    <pageSetUpPr fitToPage="1"/>
  </sheetPr>
  <dimension ref="A1:M147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.5" customWidth="1" min="1" max="1"/>
    <col width="34" customWidth="1" min="2" max="2"/>
    <col width="13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 ht="26" customHeight="1">
      <c r="B1" s="1" t="inlineStr">
        <is>
          <t>SHAHIDI RETAIL CENTER  ·  “GALLERIA PLAZA”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3" t="n"/>
    </row>
    <row r="2" ht="18" customHeight="1">
      <c r="B2" s="4" t="inlineStr">
        <is>
          <t>2541–2595 E Sunrise Blvd, Fort Lauderdale, FL 33304   |   Folio 49-42-36-12-0070   |   26,272 SF NNN neighborhood retail · 83.17% leased · value-add lease-up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3" t="n"/>
    </row>
    <row r="3"/>
    <row r="4">
      <c r="B4" s="11" t="inlineStr">
        <is>
          <t>PROPERTY FACTS  —  ✅ public record (BCPA / Sunbiz / recorded deed)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3" t="n"/>
    </row>
    <row r="5" ht="15" customHeight="1">
      <c r="B5" s="70" t="inlineStr">
        <is>
          <t>Record owner</t>
        </is>
      </c>
      <c r="D5" s="70" t="inlineStr">
        <is>
          <t>SHAWNICK GALLERIA LLC</t>
        </is>
      </c>
      <c r="E5" s="13" t="n"/>
      <c r="F5" s="13" t="n"/>
      <c r="G5" s="13" t="n"/>
      <c r="H5" s="13" t="n"/>
      <c r="I5" s="13" t="n"/>
      <c r="J5" s="13" t="n"/>
      <c r="K5" s="13" t="n"/>
      <c r="L5" s="13" t="n"/>
      <c r="M5" s="14" t="n"/>
    </row>
    <row r="6" ht="15" customHeight="1">
      <c r="B6" s="70" t="inlineStr">
        <is>
          <t>Principal / manager</t>
        </is>
      </c>
      <c r="D6" s="70" t="inlineStr">
        <is>
          <t>Esmail Shahidi (mgr) — Sunbiz L21000389291</t>
        </is>
      </c>
      <c r="E6" s="13" t="n"/>
      <c r="F6" s="13" t="n"/>
      <c r="G6" s="13" t="n"/>
      <c r="H6" s="13" t="n"/>
      <c r="I6" s="13" t="n"/>
      <c r="J6" s="13" t="n"/>
      <c r="K6" s="13" t="n"/>
      <c r="L6" s="13" t="n"/>
      <c r="M6" s="14" t="n"/>
    </row>
    <row r="7" ht="15" customHeight="1">
      <c r="B7" s="70" t="inlineStr">
        <is>
          <t>Gross leasable area (GLA)</t>
        </is>
      </c>
      <c r="D7" s="70" t="inlineStr">
        <is>
          <t>26,272 SF</t>
        </is>
      </c>
      <c r="E7" s="13" t="n"/>
      <c r="F7" s="13" t="n"/>
      <c r="G7" s="13" t="n"/>
      <c r="H7" s="13" t="n"/>
      <c r="I7" s="13" t="n"/>
      <c r="J7" s="13" t="n"/>
      <c r="K7" s="13" t="n"/>
      <c r="L7" s="13" t="n"/>
      <c r="M7" s="14" t="n"/>
    </row>
    <row r="8" ht="15" customHeight="1">
      <c r="B8" s="70" t="inlineStr">
        <is>
          <t>Land</t>
        </is>
      </c>
      <c r="D8" s="70" t="inlineStr">
        <is>
          <t>67,080 SF  (1.54 ac)</t>
        </is>
      </c>
      <c r="E8" s="13" t="n"/>
      <c r="F8" s="13" t="n"/>
      <c r="G8" s="13" t="n"/>
      <c r="H8" s="13" t="n"/>
      <c r="I8" s="13" t="n"/>
      <c r="J8" s="13" t="n"/>
      <c r="K8" s="13" t="n"/>
      <c r="L8" s="13" t="n"/>
      <c r="M8" s="14" t="n"/>
    </row>
    <row r="9" ht="15" customHeight="1">
      <c r="B9" s="70" t="inlineStr">
        <is>
          <t>Year built</t>
        </is>
      </c>
      <c r="D9" s="70" t="inlineStr">
        <is>
          <t>1960 (eff. 1980)</t>
        </is>
      </c>
      <c r="E9" s="13" t="n"/>
      <c r="F9" s="13" t="n"/>
      <c r="G9" s="13" t="n"/>
      <c r="H9" s="13" t="n"/>
      <c r="I9" s="13" t="n"/>
      <c r="J9" s="13" t="n"/>
      <c r="K9" s="13" t="n"/>
      <c r="L9" s="13" t="n"/>
      <c r="M9" s="14" t="n"/>
    </row>
    <row r="10" ht="15" customHeight="1">
      <c r="B10" s="70" t="inlineStr">
        <is>
          <t>Zoning / flood</t>
        </is>
      </c>
      <c r="D10" s="70" t="inlineStr">
        <is>
          <t>B-1 (Boulevard Business) / FEMA AE</t>
        </is>
      </c>
      <c r="E10" s="13" t="n"/>
      <c r="F10" s="13" t="n"/>
      <c r="G10" s="13" t="n"/>
      <c r="H10" s="13" t="n"/>
      <c r="I10" s="13" t="n"/>
      <c r="J10" s="13" t="n"/>
      <c r="K10" s="13" t="n"/>
      <c r="L10" s="13" t="n"/>
      <c r="M10" s="14" t="n"/>
    </row>
    <row r="11" ht="15" customHeight="1">
      <c r="B11" s="70" t="inlineStr">
        <is>
          <t>Last sale</t>
        </is>
      </c>
      <c r="D11" s="70" t="inlineStr">
        <is>
          <t>11/09/2021  —  $17,100,000  (Special Warranty Deed)</t>
        </is>
      </c>
      <c r="E11" s="13" t="n"/>
      <c r="F11" s="13" t="n"/>
      <c r="G11" s="13" t="n"/>
      <c r="H11" s="13" t="n"/>
      <c r="I11" s="13" t="n"/>
      <c r="J11" s="13" t="n"/>
      <c r="K11" s="13" t="n"/>
      <c r="L11" s="13" t="n"/>
      <c r="M11" s="14" t="n"/>
    </row>
    <row r="12" ht="15" customHeight="1">
      <c r="B12" s="70" t="inlineStr">
        <is>
          <t>2025 real-estate taxes</t>
        </is>
      </c>
      <c r="D12" s="70" t="inlineStr">
        <is>
          <t>$162,366   (2024: $152,766)</t>
        </is>
      </c>
      <c r="E12" s="13" t="n"/>
      <c r="F12" s="13" t="n"/>
      <c r="G12" s="13" t="n"/>
      <c r="H12" s="13" t="n"/>
      <c r="I12" s="13" t="n"/>
      <c r="J12" s="13" t="n"/>
      <c r="K12" s="13" t="n"/>
      <c r="L12" s="13" t="n"/>
      <c r="M12" s="14" t="n"/>
    </row>
    <row r="13" ht="15" customHeight="1">
      <c r="B13" s="70" t="inlineStr">
        <is>
          <t>2026 just / market value (BCPA)</t>
        </is>
      </c>
      <c r="D13" s="70" t="inlineStr">
        <is>
          <t>$8,911,690</t>
        </is>
      </c>
      <c r="E13" s="13" t="n"/>
      <c r="F13" s="13" t="n"/>
      <c r="G13" s="13" t="n"/>
      <c r="H13" s="13" t="n"/>
      <c r="I13" s="13" t="n"/>
      <c r="J13" s="13" t="n"/>
      <c r="K13" s="13" t="n"/>
      <c r="L13" s="13" t="n"/>
      <c r="M13" s="14" t="n"/>
    </row>
    <row r="14" ht="15" customHeight="1">
      <c r="B14" s="70" t="inlineStr">
        <is>
          <t>Effective millage</t>
        </is>
      </c>
      <c r="D14" s="70" t="inlineStr">
        <is>
          <t>1.91%   (2025 tax ÷ just value)</t>
        </is>
      </c>
      <c r="E14" s="13" t="n"/>
      <c r="F14" s="13" t="n"/>
      <c r="G14" s="13" t="n"/>
      <c r="H14" s="13" t="n"/>
      <c r="I14" s="13" t="n"/>
      <c r="J14" s="13" t="n"/>
      <c r="K14" s="13" t="n"/>
      <c r="L14" s="13" t="n"/>
      <c r="M14" s="14" t="n"/>
    </row>
    <row r="15" ht="15" customHeight="1">
      <c r="B15" s="70" t="inlineStr">
        <is>
          <t>Derived basis on $17.1M</t>
        </is>
      </c>
      <c r="D15" s="70" t="inlineStr">
        <is>
          <t>$254.92/SF land · $650.88/SF building</t>
        </is>
      </c>
      <c r="E15" s="13" t="n"/>
      <c r="F15" s="13" t="n"/>
      <c r="G15" s="13" t="n"/>
      <c r="H15" s="13" t="n"/>
      <c r="I15" s="13" t="n"/>
      <c r="J15" s="13" t="n"/>
      <c r="K15" s="13" t="n"/>
      <c r="L15" s="13" t="n"/>
      <c r="M15" s="14" t="n"/>
    </row>
    <row r="16" ht="15" customHeight="1">
      <c r="B16" s="70" t="inlineStr">
        <is>
          <t>In-place occupancy</t>
        </is>
      </c>
      <c r="D16" s="70" t="inlineStr">
        <is>
          <t>83.17%   →  ~4,422 SF vacant to lease</t>
        </is>
      </c>
      <c r="E16" s="13" t="n"/>
      <c r="F16" s="13" t="n"/>
      <c r="G16" s="13" t="n"/>
      <c r="H16" s="13" t="n"/>
      <c r="I16" s="13" t="n"/>
      <c r="J16" s="13" t="n"/>
      <c r="K16" s="13" t="n"/>
      <c r="L16" s="13" t="n"/>
      <c r="M16" s="14" t="n"/>
    </row>
    <row r="17"/>
    <row r="18">
      <c r="B18" s="11" t="inlineStr">
        <is>
          <t>TENANT RENT ROLL  —  🔶 suites/rents estimated from corridor comps ($45–60/SF NNN); SF-weighted blend ties to model market rent</t>
        </is>
      </c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3" t="n"/>
    </row>
    <row r="19" ht="15" customHeight="1">
      <c r="B19" s="16" t="inlineStr">
        <is>
          <t>Suite</t>
        </is>
      </c>
      <c r="C19" s="15" t="inlineStr">
        <is>
          <t>Tenant</t>
        </is>
      </c>
      <c r="D19" s="15" t="inlineStr">
        <is>
          <t>Category</t>
        </is>
      </c>
      <c r="E19" s="14" t="n"/>
      <c r="F19" s="16" t="inlineStr">
        <is>
          <t>SF</t>
        </is>
      </c>
      <c r="G19" s="16" t="inlineStr">
        <is>
          <t>$/SF NNN</t>
        </is>
      </c>
      <c r="H19" s="16" t="inlineStr">
        <is>
          <t>Annual rent</t>
        </is>
      </c>
      <c r="I19" s="13" t="n"/>
      <c r="J19" s="14" t="n"/>
      <c r="K19" s="16" t="inlineStr">
        <is>
          <t>Tenant type</t>
        </is>
      </c>
      <c r="L19" s="13" t="n"/>
      <c r="M19" s="14" t="n"/>
    </row>
    <row r="20" ht="27" customHeight="1">
      <c r="B20" s="30" t="inlineStr">
        <is>
          <t>2541</t>
        </is>
      </c>
      <c r="C20" s="12" t="inlineStr">
        <is>
          <t>Primo Liquors &amp; Fine Wine</t>
        </is>
      </c>
      <c r="D20" s="12" t="inlineStr">
        <is>
          <t>Retail – liquor/wine</t>
        </is>
      </c>
      <c r="E20" s="14" t="n"/>
      <c r="F20" s="64" t="n">
        <v>4000</v>
      </c>
      <c r="G20" s="78" t="n">
        <v>48</v>
      </c>
      <c r="H20" s="47">
        <f>F20*G20</f>
        <v/>
      </c>
      <c r="I20" s="13" t="n"/>
      <c r="J20" s="14" t="n"/>
      <c r="K20" s="12" t="inlineStr">
        <is>
          <t>Local</t>
        </is>
      </c>
      <c r="L20" s="13" t="n"/>
      <c r="M20" s="14" t="n"/>
    </row>
    <row r="21" ht="15" customHeight="1">
      <c r="B21" s="30" t="inlineStr">
        <is>
          <t>2577</t>
        </is>
      </c>
      <c r="C21" s="12" t="inlineStr">
        <is>
          <t>Wells Fargo Bank</t>
        </is>
      </c>
      <c r="D21" s="12" t="inlineStr">
        <is>
          <t>Bank / financial</t>
        </is>
      </c>
      <c r="E21" s="14" t="n"/>
      <c r="F21" s="64" t="n">
        <v>3500</v>
      </c>
      <c r="G21" s="78" t="n">
        <v>62</v>
      </c>
      <c r="H21" s="47">
        <f>F21*G21</f>
        <v/>
      </c>
      <c r="I21" s="13" t="n"/>
      <c r="J21" s="14" t="n"/>
      <c r="K21" s="70" t="inlineStr">
        <is>
          <t>NATIONAL credit</t>
        </is>
      </c>
      <c r="L21" s="13" t="n"/>
      <c r="M21" s="14" t="n"/>
    </row>
    <row r="22" ht="27" customHeight="1">
      <c r="B22" s="30" t="inlineStr">
        <is>
          <t>2543–75</t>
        </is>
      </c>
      <c r="C22" s="12" t="inlineStr">
        <is>
          <t>In-line shops (mid-strip)</t>
        </is>
      </c>
      <c r="D22" s="12" t="inlineStr">
        <is>
          <t>Various local retail/service</t>
        </is>
      </c>
      <c r="E22" s="14" t="n"/>
      <c r="F22" s="64" t="n">
        <v>3700</v>
      </c>
      <c r="G22" s="78" t="n">
        <v>52</v>
      </c>
      <c r="H22" s="47">
        <f>F22*G22</f>
        <v/>
      </c>
      <c r="I22" s="13" t="n"/>
      <c r="J22" s="14" t="n"/>
      <c r="K22" s="12" t="inlineStr">
        <is>
          <t>Local</t>
        </is>
      </c>
      <c r="L22" s="13" t="n"/>
      <c r="M22" s="14" t="n"/>
    </row>
    <row r="23" ht="15" customHeight="1">
      <c r="B23" s="30" t="inlineStr">
        <is>
          <t>2587</t>
        </is>
      </c>
      <c r="C23" s="12" t="inlineStr">
        <is>
          <t>Verizon Wireless</t>
        </is>
      </c>
      <c r="D23" s="12" t="inlineStr">
        <is>
          <t>Wireless / electronics</t>
        </is>
      </c>
      <c r="E23" s="14" t="n"/>
      <c r="F23" s="64" t="n">
        <v>2200</v>
      </c>
      <c r="G23" s="78" t="n">
        <v>58</v>
      </c>
      <c r="H23" s="47">
        <f>F23*G23</f>
        <v/>
      </c>
      <c r="I23" s="13" t="n"/>
      <c r="J23" s="14" t="n"/>
      <c r="K23" s="70" t="inlineStr">
        <is>
          <t>NATIONAL credit</t>
        </is>
      </c>
      <c r="L23" s="13" t="n"/>
      <c r="M23" s="14" t="n"/>
    </row>
    <row r="24" ht="27" customHeight="1">
      <c r="B24" s="30" t="inlineStr">
        <is>
          <t>2595</t>
        </is>
      </c>
      <c r="C24" s="12" t="inlineStr">
        <is>
          <t>First Impressions Smile Center</t>
        </is>
      </c>
      <c r="D24" s="12" t="inlineStr">
        <is>
          <t>Medical – dentistry</t>
        </is>
      </c>
      <c r="E24" s="14" t="n"/>
      <c r="F24" s="64" t="n">
        <v>2200</v>
      </c>
      <c r="G24" s="78" t="n">
        <v>54</v>
      </c>
      <c r="H24" s="47">
        <f>F24*G24</f>
        <v/>
      </c>
      <c r="I24" s="13" t="n"/>
      <c r="J24" s="14" t="n"/>
      <c r="K24" s="12" t="inlineStr">
        <is>
          <t>Local</t>
        </is>
      </c>
      <c r="L24" s="13" t="n"/>
      <c r="M24" s="14" t="n"/>
    </row>
    <row r="25" ht="27" customHeight="1">
      <c r="B25" s="30" t="inlineStr">
        <is>
          <t>2549</t>
        </is>
      </c>
      <c r="C25" s="12" t="inlineStr">
        <is>
          <t>Freeman's Luggage &amp; Gifts</t>
        </is>
      </c>
      <c r="D25" s="12" t="inlineStr">
        <is>
          <t>Retail – luggage/gifts</t>
        </is>
      </c>
      <c r="E25" s="14" t="n"/>
      <c r="F25" s="64" t="n">
        <v>2000</v>
      </c>
      <c r="G25" s="78" t="n">
        <v>50</v>
      </c>
      <c r="H25" s="47">
        <f>F25*G25</f>
        <v/>
      </c>
      <c r="I25" s="13" t="n"/>
      <c r="J25" s="14" t="n"/>
      <c r="K25" s="12" t="inlineStr">
        <is>
          <t>Local</t>
        </is>
      </c>
      <c r="L25" s="13" t="n"/>
      <c r="M25" s="14" t="n"/>
    </row>
    <row r="26" ht="15" customHeight="1">
      <c r="B26" s="30" t="inlineStr">
        <is>
          <t>2583</t>
        </is>
      </c>
      <c r="C26" s="12" t="inlineStr">
        <is>
          <t>Eyes on Sunrise</t>
        </is>
      </c>
      <c r="D26" s="12" t="inlineStr">
        <is>
          <t>Medical – optometry</t>
        </is>
      </c>
      <c r="E26" s="14" t="n"/>
      <c r="F26" s="64" t="n">
        <v>1800</v>
      </c>
      <c r="G26" s="78" t="n">
        <v>56</v>
      </c>
      <c r="H26" s="47">
        <f>F26*G26</f>
        <v/>
      </c>
      <c r="I26" s="13" t="n"/>
      <c r="J26" s="14" t="n"/>
      <c r="K26" s="12" t="inlineStr">
        <is>
          <t>Local</t>
        </is>
      </c>
      <c r="L26" s="13" t="n"/>
      <c r="M26" s="14" t="n"/>
    </row>
    <row r="27" ht="27" customHeight="1">
      <c r="B27" s="30" t="inlineStr">
        <is>
          <t>2541</t>
        </is>
      </c>
      <c r="C27" s="12" t="inlineStr">
        <is>
          <t>Lilac &amp; Lilies Boutique</t>
        </is>
      </c>
      <c r="D27" s="12" t="inlineStr">
        <is>
          <t>Retail – apparel</t>
        </is>
      </c>
      <c r="E27" s="14" t="n"/>
      <c r="F27" s="64" t="n">
        <v>1250</v>
      </c>
      <c r="G27" s="78" t="n">
        <v>58</v>
      </c>
      <c r="H27" s="47">
        <f>F27*G27</f>
        <v/>
      </c>
      <c r="I27" s="13" t="n"/>
      <c r="J27" s="14" t="n"/>
      <c r="K27" s="12" t="inlineStr">
        <is>
          <t>Local</t>
        </is>
      </c>
      <c r="L27" s="13" t="n"/>
      <c r="M27" s="14" t="n"/>
    </row>
    <row r="28" ht="27" customHeight="1">
      <c r="B28" s="30" t="inlineStr">
        <is>
          <t>2595</t>
        </is>
      </c>
      <c r="C28" s="12" t="inlineStr">
        <is>
          <t>Roxanne Jackson – GEICO</t>
        </is>
      </c>
      <c r="D28" s="12" t="inlineStr">
        <is>
          <t>Insurance agency</t>
        </is>
      </c>
      <c r="E28" s="14" t="n"/>
      <c r="F28" s="64" t="n">
        <v>1200</v>
      </c>
      <c r="G28" s="78" t="n">
        <v>56</v>
      </c>
      <c r="H28" s="47">
        <f>F28*G28</f>
        <v/>
      </c>
      <c r="I28" s="13" t="n"/>
      <c r="J28" s="14" t="n"/>
      <c r="K28" s="12" t="inlineStr">
        <is>
          <t>Regional</t>
        </is>
      </c>
      <c r="L28" s="13" t="n"/>
      <c r="M28" s="14" t="n"/>
    </row>
    <row r="29" ht="27" customHeight="1">
      <c r="B29" s="69" t="inlineStr">
        <is>
          <t>—</t>
        </is>
      </c>
      <c r="C29" s="40" t="inlineStr">
        <is>
          <t>VACANT / available (mid-strip)</t>
        </is>
      </c>
      <c r="D29" s="40" t="inlineStr">
        <is>
          <t>Lease-up target to 95%</t>
        </is>
      </c>
      <c r="E29" s="14" t="n"/>
      <c r="F29" s="79" t="n">
        <v>4422</v>
      </c>
      <c r="G29" s="80" t="inlineStr">
        <is>
          <t>—</t>
        </is>
      </c>
      <c r="H29" s="80" t="inlineStr">
        <is>
          <t>—</t>
        </is>
      </c>
      <c r="I29" s="13" t="n"/>
      <c r="J29" s="14" t="n"/>
      <c r="K29" s="40" t="inlineStr">
        <is>
          <t>value-add upside</t>
        </is>
      </c>
      <c r="L29" s="13" t="n"/>
      <c r="M29" s="14" t="n"/>
    </row>
    <row r="30" ht="27" customHeight="1">
      <c r="B30" s="19" t="inlineStr">
        <is>
          <t>TOTAL / WEIGHTED AVG</t>
        </is>
      </c>
      <c r="C30" s="19" t="inlineStr">
        <is>
          <t>9 tenants + vacancy</t>
        </is>
      </c>
      <c r="D30" s="81" t="inlineStr"/>
      <c r="E30" s="14" t="n"/>
      <c r="F30" s="66">
        <f>SUM(F20:F29)</f>
        <v/>
      </c>
      <c r="G30" s="82">
        <f>IFERROR(SUM(H20:H28)/SUM(F20:F28),0)</f>
        <v/>
      </c>
      <c r="H30" s="20">
        <f>SUM(H20:H28)</f>
        <v/>
      </c>
      <c r="I30" s="13" t="n"/>
      <c r="J30" s="14" t="n"/>
      <c r="K30" s="19" t="inlineStr">
        <is>
          <t>Wells Fargo + Verizon = credit</t>
        </is>
      </c>
      <c r="L30" s="13" t="n"/>
      <c r="M30" s="14" t="n"/>
    </row>
    <row r="31"/>
    <row r="32">
      <c r="B32" s="11" t="inlineStr">
        <is>
          <t>ASSUMPTIONS  —  🔵 blue = hardcoded inputs (the only cells you change)</t>
        </is>
      </c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3" t="n"/>
    </row>
    <row r="33" ht="15" customHeight="1">
      <c r="B33" s="15" t="inlineStr">
        <is>
          <t>Property</t>
        </is>
      </c>
      <c r="C33" s="13" t="n"/>
      <c r="D33" s="13" t="n"/>
      <c r="E33" s="13" t="n"/>
      <c r="F33" s="13" t="n"/>
      <c r="G33" s="13" t="n"/>
      <c r="H33" s="13" t="n"/>
      <c r="I33" s="13" t="n"/>
      <c r="J33" s="13" t="n"/>
      <c r="K33" s="13" t="n"/>
      <c r="L33" s="13" t="n"/>
      <c r="M33" s="14" t="n"/>
    </row>
    <row r="34" ht="15" customHeight="1">
      <c r="B34" s="12" t="inlineStr">
        <is>
          <t>GLA (SF)</t>
        </is>
      </c>
      <c r="C34" s="77" t="n">
        <v>26272</v>
      </c>
      <c r="D34" s="22" t="inlineStr">
        <is>
          <t>✅ BCPA</t>
        </is>
      </c>
      <c r="E34" s="13" t="n"/>
      <c r="F34" s="13" t="n"/>
      <c r="G34" s="13" t="n"/>
      <c r="H34" s="13" t="n"/>
      <c r="I34" s="13" t="n"/>
      <c r="J34" s="13" t="n"/>
      <c r="K34" s="13" t="n"/>
      <c r="L34" s="13" t="n"/>
      <c r="M34" s="14" t="n"/>
    </row>
    <row r="35" ht="15" customHeight="1">
      <c r="B35" s="12" t="inlineStr">
        <is>
          <t>In-place occupancy</t>
        </is>
      </c>
      <c r="C35" s="24">
        <f>'Assumptions'!C51</f>
        <v/>
      </c>
      <c r="D35" s="22" t="inlineStr">
        <is>
          <t>🟢 Assumptions</t>
        </is>
      </c>
      <c r="E35" s="13" t="n"/>
      <c r="F35" s="13" t="n"/>
      <c r="G35" s="13" t="n"/>
      <c r="H35" s="13" t="n"/>
      <c r="I35" s="13" t="n"/>
      <c r="J35" s="13" t="n"/>
      <c r="K35" s="13" t="n"/>
      <c r="L35" s="13" t="n"/>
      <c r="M35" s="14" t="n"/>
    </row>
    <row r="36" ht="15" customHeight="1">
      <c r="B36" s="12" t="inlineStr">
        <is>
          <t>Land (SF)</t>
        </is>
      </c>
      <c r="C36" s="25">
        <f>'Assumptions'!C48</f>
        <v/>
      </c>
      <c r="D36" s="22" t="inlineStr">
        <is>
          <t>🟢 Assumptions</t>
        </is>
      </c>
      <c r="E36" s="13" t="n"/>
      <c r="F36" s="13" t="n"/>
      <c r="G36" s="13" t="n"/>
      <c r="H36" s="13" t="n"/>
      <c r="I36" s="13" t="n"/>
      <c r="J36" s="13" t="n"/>
      <c r="K36" s="13" t="n"/>
      <c r="L36" s="13" t="n"/>
      <c r="M36" s="14" t="n"/>
    </row>
    <row r="37" ht="15" customHeight="1">
      <c r="B37" s="12" t="inlineStr">
        <is>
          <t>Effective millage</t>
        </is>
      </c>
      <c r="C37" s="83" t="n">
        <v>0.0191</v>
      </c>
      <c r="D37" s="22" t="inlineStr">
        <is>
          <t>✅ 2025 tax ÷ just value</t>
        </is>
      </c>
      <c r="E37" s="13" t="n"/>
      <c r="F37" s="13" t="n"/>
      <c r="G37" s="13" t="n"/>
      <c r="H37" s="13" t="n"/>
      <c r="I37" s="13" t="n"/>
      <c r="J37" s="13" t="n"/>
      <c r="K37" s="13" t="n"/>
      <c r="L37" s="13" t="n"/>
      <c r="M37" s="14" t="n"/>
    </row>
    <row r="38" ht="15" customHeight="1">
      <c r="B38" s="15" t="inlineStr">
        <is>
          <t>Revenue</t>
        </is>
      </c>
      <c r="C38" s="13" t="n"/>
      <c r="D38" s="13" t="n"/>
      <c r="E38" s="13" t="n"/>
      <c r="F38" s="13" t="n"/>
      <c r="G38" s="13" t="n"/>
      <c r="H38" s="13" t="n"/>
      <c r="I38" s="13" t="n"/>
      <c r="J38" s="13" t="n"/>
      <c r="K38" s="13" t="n"/>
      <c r="L38" s="13" t="n"/>
      <c r="M38" s="14" t="n"/>
    </row>
    <row r="39" ht="15" customHeight="1">
      <c r="B39" s="12" t="inlineStr">
        <is>
          <t>In-place base rent ($/SF NNN)</t>
        </is>
      </c>
      <c r="C39" s="78" t="n">
        <v>55</v>
      </c>
      <c r="D39" s="22" t="inlineStr">
        <is>
          <t>🔶 owner says $60; corridor $45–60</t>
        </is>
      </c>
      <c r="E39" s="13" t="n"/>
      <c r="F39" s="13" t="n"/>
      <c r="G39" s="13" t="n"/>
      <c r="H39" s="13" t="n"/>
      <c r="I39" s="13" t="n"/>
      <c r="J39" s="13" t="n"/>
      <c r="K39" s="13" t="n"/>
      <c r="L39" s="13" t="n"/>
      <c r="M39" s="14" t="n"/>
    </row>
    <row r="40" ht="15" customHeight="1">
      <c r="B40" s="12" t="inlineStr">
        <is>
          <t>Market rent ($/SF NNN)</t>
        </is>
      </c>
      <c r="C40" s="26">
        <f>'Assumptions'!C50</f>
        <v/>
      </c>
      <c r="D40" s="22" t="inlineStr">
        <is>
          <t>🟢 Assumptions</t>
        </is>
      </c>
      <c r="E40" s="13" t="n"/>
      <c r="F40" s="13" t="n"/>
      <c r="G40" s="13" t="n"/>
      <c r="H40" s="13" t="n"/>
      <c r="I40" s="13" t="n"/>
      <c r="J40" s="13" t="n"/>
      <c r="K40" s="13" t="n"/>
      <c r="L40" s="13" t="n"/>
      <c r="M40" s="14" t="n"/>
    </row>
    <row r="41" ht="15" customHeight="1">
      <c r="B41" s="12" t="inlineStr">
        <is>
          <t>Market rent growth</t>
        </is>
      </c>
      <c r="C41" s="84" t="n">
        <v>0.03</v>
      </c>
      <c r="D41" s="22" t="inlineStr">
        <is>
          <t>🔶</t>
        </is>
      </c>
      <c r="E41" s="13" t="n"/>
      <c r="F41" s="13" t="n"/>
      <c r="G41" s="13" t="n"/>
      <c r="H41" s="13" t="n"/>
      <c r="I41" s="13" t="n"/>
      <c r="J41" s="13" t="n"/>
      <c r="K41" s="13" t="n"/>
      <c r="L41" s="13" t="n"/>
      <c r="M41" s="14" t="n"/>
    </row>
    <row r="42" ht="15" customHeight="1">
      <c r="B42" s="12" t="inlineStr">
        <is>
          <t>Stabilized occupancy</t>
        </is>
      </c>
      <c r="C42" s="18">
        <f>'Assumptions'!C52</f>
        <v/>
      </c>
      <c r="D42" s="22" t="inlineStr">
        <is>
          <t>🟢 Assumptions</t>
        </is>
      </c>
      <c r="E42" s="13" t="n"/>
      <c r="F42" s="13" t="n"/>
      <c r="G42" s="13" t="n"/>
      <c r="H42" s="13" t="n"/>
      <c r="I42" s="13" t="n"/>
      <c r="J42" s="13" t="n"/>
      <c r="K42" s="13" t="n"/>
      <c r="L42" s="13" t="n"/>
      <c r="M42" s="14" t="n"/>
    </row>
    <row r="43" ht="15" customHeight="1">
      <c r="B43" s="12" t="inlineStr">
        <is>
          <t>Credit &amp; collection loss</t>
        </is>
      </c>
      <c r="C43" s="84" t="n">
        <v>0.02</v>
      </c>
      <c r="D43" s="22" t="inlineStr">
        <is>
          <t>🔶</t>
        </is>
      </c>
      <c r="E43" s="13" t="n"/>
      <c r="F43" s="13" t="n"/>
      <c r="G43" s="13" t="n"/>
      <c r="H43" s="13" t="n"/>
      <c r="I43" s="13" t="n"/>
      <c r="J43" s="13" t="n"/>
      <c r="K43" s="13" t="n"/>
      <c r="L43" s="13" t="n"/>
      <c r="M43" s="14" t="n"/>
    </row>
    <row r="44" ht="15" customHeight="1">
      <c r="B44" s="15" t="inlineStr">
        <is>
          <t>Operating expenses</t>
        </is>
      </c>
      <c r="C44" s="13" t="n"/>
      <c r="D44" s="13" t="n"/>
      <c r="E44" s="13" t="n"/>
      <c r="F44" s="13" t="n"/>
      <c r="G44" s="13" t="n"/>
      <c r="H44" s="13" t="n"/>
      <c r="I44" s="13" t="n"/>
      <c r="J44" s="13" t="n"/>
      <c r="K44" s="13" t="n"/>
      <c r="L44" s="13" t="n"/>
      <c r="M44" s="14" t="n"/>
    </row>
    <row r="45" ht="15" customHeight="1">
      <c r="B45" s="12" t="inlineStr">
        <is>
          <t>Reassessed value (= price, FL rule)</t>
        </is>
      </c>
      <c r="C45" s="85" t="n">
        <v>17100000</v>
      </c>
      <c r="D45" s="22" t="inlineStr">
        <is>
          <t>🔶 FL reassess-to-price</t>
        </is>
      </c>
      <c r="E45" s="13" t="n"/>
      <c r="F45" s="13" t="n"/>
      <c r="G45" s="13" t="n"/>
      <c r="H45" s="13" t="n"/>
      <c r="I45" s="13" t="n"/>
      <c r="J45" s="13" t="n"/>
      <c r="K45" s="13" t="n"/>
      <c r="L45" s="13" t="n"/>
      <c r="M45" s="14" t="n"/>
    </row>
    <row r="46" ht="15" customHeight="1">
      <c r="B46" s="12" t="inlineStr">
        <is>
          <t>Insurance ($/yr)</t>
        </is>
      </c>
      <c r="C46" s="23">
        <f>'Assumptions'!C53</f>
        <v/>
      </c>
      <c r="D46" s="22" t="inlineStr">
        <is>
          <t>🟢 Assumptions</t>
        </is>
      </c>
      <c r="E46" s="13" t="n"/>
      <c r="F46" s="13" t="n"/>
      <c r="G46" s="13" t="n"/>
      <c r="H46" s="13" t="n"/>
      <c r="I46" s="13" t="n"/>
      <c r="J46" s="13" t="n"/>
      <c r="K46" s="13" t="n"/>
      <c r="L46" s="13" t="n"/>
      <c r="M46" s="14" t="n"/>
    </row>
    <row r="47" ht="15" customHeight="1">
      <c r="B47" s="12" t="inlineStr">
        <is>
          <t>CAM ($/yr, recoverable)</t>
        </is>
      </c>
      <c r="C47" s="23">
        <f>'Assumptions'!C54</f>
        <v/>
      </c>
      <c r="D47" s="22" t="inlineStr">
        <is>
          <t>🟢 Assumptions</t>
        </is>
      </c>
      <c r="E47" s="13" t="n"/>
      <c r="F47" s="13" t="n"/>
      <c r="G47" s="13" t="n"/>
      <c r="H47" s="13" t="n"/>
      <c r="I47" s="13" t="n"/>
      <c r="J47" s="13" t="n"/>
      <c r="K47" s="13" t="n"/>
      <c r="L47" s="13" t="n"/>
      <c r="M47" s="14" t="n"/>
    </row>
    <row r="48" ht="15" customHeight="1">
      <c r="B48" s="12" t="inlineStr">
        <is>
          <t>Repairs &amp; maintenance ($/yr)</t>
        </is>
      </c>
      <c r="C48" s="23">
        <f>'Assumptions'!C55</f>
        <v/>
      </c>
      <c r="D48" s="22" t="inlineStr">
        <is>
          <t>🟢 Assumptions</t>
        </is>
      </c>
      <c r="E48" s="13" t="n"/>
      <c r="F48" s="13" t="n"/>
      <c r="G48" s="13" t="n"/>
      <c r="H48" s="13" t="n"/>
      <c r="I48" s="13" t="n"/>
      <c r="J48" s="13" t="n"/>
      <c r="K48" s="13" t="n"/>
      <c r="L48" s="13" t="n"/>
      <c r="M48" s="14" t="n"/>
    </row>
    <row r="49" ht="15" customHeight="1">
      <c r="B49" s="12" t="inlineStr">
        <is>
          <t>Management fee (% EGR)</t>
        </is>
      </c>
      <c r="C49" s="18">
        <f>'Assumptions'!C56</f>
        <v/>
      </c>
      <c r="D49" s="22" t="inlineStr">
        <is>
          <t>🟢 Assumptions</t>
        </is>
      </c>
      <c r="E49" s="13" t="n"/>
      <c r="F49" s="13" t="n"/>
      <c r="G49" s="13" t="n"/>
      <c r="H49" s="13" t="n"/>
      <c r="I49" s="13" t="n"/>
      <c r="J49" s="13" t="n"/>
      <c r="K49" s="13" t="n"/>
      <c r="L49" s="13" t="n"/>
      <c r="M49" s="14" t="n"/>
    </row>
    <row r="50" ht="15" customHeight="1">
      <c r="B50" s="12" t="inlineStr">
        <is>
          <t>Expense growth</t>
        </is>
      </c>
      <c r="C50" s="84" t="n">
        <v>0.03</v>
      </c>
      <c r="D50" s="22" t="inlineStr">
        <is>
          <t>🔶</t>
        </is>
      </c>
      <c r="E50" s="13" t="n"/>
      <c r="F50" s="13" t="n"/>
      <c r="G50" s="13" t="n"/>
      <c r="H50" s="13" t="n"/>
      <c r="I50" s="13" t="n"/>
      <c r="J50" s="13" t="n"/>
      <c r="K50" s="13" t="n"/>
      <c r="L50" s="13" t="n"/>
      <c r="M50" s="14" t="n"/>
    </row>
    <row r="51" ht="15" customHeight="1">
      <c r="B51" s="15" t="inlineStr">
        <is>
          <t>Capital</t>
        </is>
      </c>
      <c r="C51" s="13" t="n"/>
      <c r="D51" s="13" t="n"/>
      <c r="E51" s="13" t="n"/>
      <c r="F51" s="13" t="n"/>
      <c r="G51" s="13" t="n"/>
      <c r="H51" s="13" t="n"/>
      <c r="I51" s="13" t="n"/>
      <c r="J51" s="13" t="n"/>
      <c r="K51" s="13" t="n"/>
      <c r="L51" s="13" t="n"/>
      <c r="M51" s="14" t="n"/>
    </row>
    <row r="52" ht="15" customHeight="1">
      <c r="B52" s="12" t="inlineStr">
        <is>
          <t>Tenant improvements ($/SF)</t>
        </is>
      </c>
      <c r="C52" s="78" t="n">
        <v>30</v>
      </c>
      <c r="D52" s="22" t="inlineStr">
        <is>
          <t>🔶 on leased-up SF</t>
        </is>
      </c>
      <c r="E52" s="13" t="n"/>
      <c r="F52" s="13" t="n"/>
      <c r="G52" s="13" t="n"/>
      <c r="H52" s="13" t="n"/>
      <c r="I52" s="13" t="n"/>
      <c r="J52" s="13" t="n"/>
      <c r="K52" s="13" t="n"/>
      <c r="L52" s="13" t="n"/>
      <c r="M52" s="14" t="n"/>
    </row>
    <row r="53" ht="15" customHeight="1">
      <c r="B53" s="12" t="inlineStr">
        <is>
          <t>Leasing commissions ($/SF)</t>
        </is>
      </c>
      <c r="C53" s="78" t="n">
        <v>20</v>
      </c>
      <c r="D53" s="22" t="inlineStr">
        <is>
          <t>🔶 on leased-up SF</t>
        </is>
      </c>
      <c r="E53" s="13" t="n"/>
      <c r="F53" s="13" t="n"/>
      <c r="G53" s="13" t="n"/>
      <c r="H53" s="13" t="n"/>
      <c r="I53" s="13" t="n"/>
      <c r="J53" s="13" t="n"/>
      <c r="K53" s="13" t="n"/>
      <c r="L53" s="13" t="n"/>
      <c r="M53" s="14" t="n"/>
    </row>
    <row r="54" ht="15" customHeight="1">
      <c r="B54" s="12" t="inlineStr">
        <is>
          <t>Replacement reserves ($/SF/yr)</t>
        </is>
      </c>
      <c r="C54" s="78" t="n">
        <v>0.15</v>
      </c>
      <c r="D54" s="22" t="inlineStr">
        <is>
          <t>🔶</t>
        </is>
      </c>
      <c r="E54" s="13" t="n"/>
      <c r="F54" s="13" t="n"/>
      <c r="G54" s="13" t="n"/>
      <c r="H54" s="13" t="n"/>
      <c r="I54" s="13" t="n"/>
      <c r="J54" s="13" t="n"/>
      <c r="K54" s="13" t="n"/>
      <c r="L54" s="13" t="n"/>
      <c r="M54" s="14" t="n"/>
    </row>
    <row r="55" ht="15" customHeight="1">
      <c r="B55" s="12" t="inlineStr">
        <is>
          <t>Rollover leasing reserve ($/SF/yr)</t>
        </is>
      </c>
      <c r="C55" s="78" t="n">
        <v>0.75</v>
      </c>
      <c r="D55" s="22" t="inlineStr">
        <is>
          <t>🔶</t>
        </is>
      </c>
      <c r="E55" s="13" t="n"/>
      <c r="F55" s="13" t="n"/>
      <c r="G55" s="13" t="n"/>
      <c r="H55" s="13" t="n"/>
      <c r="I55" s="13" t="n"/>
      <c r="J55" s="13" t="n"/>
      <c r="K55" s="13" t="n"/>
      <c r="L55" s="13" t="n"/>
      <c r="M55" s="14" t="n"/>
    </row>
    <row r="56" ht="15" customHeight="1">
      <c r="B56" s="15" t="inlineStr">
        <is>
          <t>Acquisition &amp; financing</t>
        </is>
      </c>
      <c r="C56" s="13" t="n"/>
      <c r="D56" s="13" t="n"/>
      <c r="E56" s="13" t="n"/>
      <c r="F56" s="13" t="n"/>
      <c r="G56" s="13" t="n"/>
      <c r="H56" s="13" t="n"/>
      <c r="I56" s="13" t="n"/>
      <c r="J56" s="13" t="n"/>
      <c r="K56" s="13" t="n"/>
      <c r="L56" s="13" t="n"/>
      <c r="M56" s="14" t="n"/>
    </row>
    <row r="57" ht="15" customHeight="1">
      <c r="B57" s="12" t="inlineStr">
        <is>
          <t>Purchase price</t>
        </is>
      </c>
      <c r="C57" s="23">
        <f>'Assumptions'!C47</f>
        <v/>
      </c>
      <c r="D57" s="22" t="inlineStr">
        <is>
          <t>🟢 Assumptions</t>
        </is>
      </c>
      <c r="E57" s="13" t="n"/>
      <c r="F57" s="13" t="n"/>
      <c r="G57" s="13" t="n"/>
      <c r="H57" s="13" t="n"/>
      <c r="I57" s="13" t="n"/>
      <c r="J57" s="13" t="n"/>
      <c r="K57" s="13" t="n"/>
      <c r="L57" s="13" t="n"/>
      <c r="M57" s="14" t="n"/>
    </row>
    <row r="58" ht="15" customHeight="1">
      <c r="B58" s="12" t="inlineStr">
        <is>
          <t>Closing &amp; acq costs (% price)</t>
        </is>
      </c>
      <c r="C58" s="84" t="n">
        <v>0.025</v>
      </c>
      <c r="D58" s="22" t="inlineStr">
        <is>
          <t>🔶</t>
        </is>
      </c>
      <c r="E58" s="13" t="n"/>
      <c r="F58" s="13" t="n"/>
      <c r="G58" s="13" t="n"/>
      <c r="H58" s="13" t="n"/>
      <c r="I58" s="13" t="n"/>
      <c r="J58" s="13" t="n"/>
      <c r="K58" s="13" t="n"/>
      <c r="L58" s="13" t="n"/>
      <c r="M58" s="14" t="n"/>
    </row>
    <row r="59" ht="15" customHeight="1">
      <c r="B59" s="12" t="inlineStr">
        <is>
          <t>Senior loan LTV</t>
        </is>
      </c>
      <c r="C59" s="18">
        <f>'Assumptions'!C59</f>
        <v/>
      </c>
      <c r="D59" s="22" t="inlineStr">
        <is>
          <t>🟢 Assumptions</t>
        </is>
      </c>
      <c r="E59" s="13" t="n"/>
      <c r="F59" s="13" t="n"/>
      <c r="G59" s="13" t="n"/>
      <c r="H59" s="13" t="n"/>
      <c r="I59" s="13" t="n"/>
      <c r="J59" s="13" t="n"/>
      <c r="K59" s="13" t="n"/>
      <c r="L59" s="13" t="n"/>
      <c r="M59" s="14" t="n"/>
    </row>
    <row r="60" ht="15" customHeight="1">
      <c r="B60" s="12" t="inlineStr">
        <is>
          <t>Senior loan rate</t>
        </is>
      </c>
      <c r="C60" s="24">
        <f>'Assumptions'!C60</f>
        <v/>
      </c>
      <c r="D60" s="22" t="inlineStr">
        <is>
          <t>🟢 Assumptions</t>
        </is>
      </c>
      <c r="E60" s="13" t="n"/>
      <c r="F60" s="13" t="n"/>
      <c r="G60" s="13" t="n"/>
      <c r="H60" s="13" t="n"/>
      <c r="I60" s="13" t="n"/>
      <c r="J60" s="13" t="n"/>
      <c r="K60" s="13" t="n"/>
      <c r="L60" s="13" t="n"/>
      <c r="M60" s="14" t="n"/>
    </row>
    <row r="61" ht="15" customHeight="1">
      <c r="B61" s="12" t="inlineStr">
        <is>
          <t>Senior loan amortization (yrs)</t>
        </is>
      </c>
      <c r="C61" s="86" t="n">
        <v>30</v>
      </c>
      <c r="D61" s="22" t="inlineStr">
        <is>
          <t>🔶</t>
        </is>
      </c>
      <c r="E61" s="13" t="n"/>
      <c r="F61" s="13" t="n"/>
      <c r="G61" s="13" t="n"/>
      <c r="H61" s="13" t="n"/>
      <c r="I61" s="13" t="n"/>
      <c r="J61" s="13" t="n"/>
      <c r="K61" s="13" t="n"/>
      <c r="L61" s="13" t="n"/>
      <c r="M61" s="14" t="n"/>
    </row>
    <row r="62" ht="15" customHeight="1">
      <c r="B62" s="15" t="inlineStr">
        <is>
          <t>Valuation &amp; hold</t>
        </is>
      </c>
      <c r="C62" s="13" t="n"/>
      <c r="D62" s="13" t="n"/>
      <c r="E62" s="13" t="n"/>
      <c r="F62" s="13" t="n"/>
      <c r="G62" s="13" t="n"/>
      <c r="H62" s="13" t="n"/>
      <c r="I62" s="13" t="n"/>
      <c r="J62" s="13" t="n"/>
      <c r="K62" s="13" t="n"/>
      <c r="L62" s="13" t="n"/>
      <c r="M62" s="14" t="n"/>
    </row>
    <row r="63" ht="15" customHeight="1">
      <c r="B63" s="12" t="inlineStr">
        <is>
          <t>Going-in cap (reference)</t>
        </is>
      </c>
      <c r="C63" s="18">
        <f>'Assumptions'!C57</f>
        <v/>
      </c>
      <c r="D63" s="22" t="inlineStr">
        <is>
          <t>🟢 Assumptions</t>
        </is>
      </c>
      <c r="E63" s="13" t="n"/>
      <c r="F63" s="13" t="n"/>
      <c r="G63" s="13" t="n"/>
      <c r="H63" s="13" t="n"/>
      <c r="I63" s="13" t="n"/>
      <c r="J63" s="13" t="n"/>
      <c r="K63" s="13" t="n"/>
      <c r="L63" s="13" t="n"/>
      <c r="M63" s="14" t="n"/>
    </row>
    <row r="64" ht="15" customHeight="1">
      <c r="B64" s="12" t="inlineStr">
        <is>
          <t>Exit / reversion cap</t>
        </is>
      </c>
      <c r="C64" s="18">
        <f>'Assumptions'!C58</f>
        <v/>
      </c>
      <c r="D64" s="22" t="inlineStr">
        <is>
          <t>🟢 Assumptions</t>
        </is>
      </c>
      <c r="E64" s="13" t="n"/>
      <c r="F64" s="13" t="n"/>
      <c r="G64" s="13" t="n"/>
      <c r="H64" s="13" t="n"/>
      <c r="I64" s="13" t="n"/>
      <c r="J64" s="13" t="n"/>
      <c r="K64" s="13" t="n"/>
      <c r="L64" s="13" t="n"/>
      <c r="M64" s="14" t="n"/>
    </row>
    <row r="65" ht="15" customHeight="1">
      <c r="B65" s="12" t="inlineStr">
        <is>
          <t>Cost of sale at exit</t>
        </is>
      </c>
      <c r="C65" s="84" t="n">
        <v>0.02</v>
      </c>
      <c r="D65" s="22" t="inlineStr">
        <is>
          <t>🔶</t>
        </is>
      </c>
      <c r="E65" s="13" t="n"/>
      <c r="F65" s="13" t="n"/>
      <c r="G65" s="13" t="n"/>
      <c r="H65" s="13" t="n"/>
      <c r="I65" s="13" t="n"/>
      <c r="J65" s="13" t="n"/>
      <c r="K65" s="13" t="n"/>
      <c r="L65" s="13" t="n"/>
      <c r="M65" s="14" t="n"/>
    </row>
    <row r="66" ht="15" customHeight="1">
      <c r="B66" s="12" t="inlineStr">
        <is>
          <t>Hold period (yrs)</t>
        </is>
      </c>
      <c r="C66" s="86" t="n">
        <v>5</v>
      </c>
      <c r="D66" s="22" t="inlineStr">
        <is>
          <t>🔶 reversion in this year</t>
        </is>
      </c>
      <c r="E66" s="13" t="n"/>
      <c r="F66" s="13" t="n"/>
      <c r="G66" s="13" t="n"/>
      <c r="H66" s="13" t="n"/>
      <c r="I66" s="13" t="n"/>
      <c r="J66" s="13" t="n"/>
      <c r="K66" s="13" t="n"/>
      <c r="L66" s="13" t="n"/>
      <c r="M66" s="14" t="n"/>
    </row>
    <row r="67" ht="15" customHeight="1">
      <c r="B67" s="12" t="inlineStr">
        <is>
          <t>Discount rate (unlevered, for NPV)</t>
        </is>
      </c>
      <c r="C67" s="84" t="n">
        <v>0.09</v>
      </c>
      <c r="D67" s="22" t="inlineStr">
        <is>
          <t>🔶 target unlevered yield</t>
        </is>
      </c>
      <c r="E67" s="13" t="n"/>
      <c r="F67" s="13" t="n"/>
      <c r="G67" s="13" t="n"/>
      <c r="H67" s="13" t="n"/>
      <c r="I67" s="13" t="n"/>
      <c r="J67" s="13" t="n"/>
      <c r="K67" s="13" t="n"/>
      <c r="L67" s="13" t="n"/>
      <c r="M67" s="14" t="n"/>
    </row>
    <row r="68"/>
    <row r="69">
      <c r="B69" s="11" t="inlineStr">
        <is>
          <t>DERIVED VALUES  &amp;  DEBT SIZING</t>
        </is>
      </c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3" t="n"/>
    </row>
    <row r="70" ht="15" customHeight="1">
      <c r="B70" s="12" t="inlineStr">
        <is>
          <t>Senior loan amount</t>
        </is>
      </c>
      <c r="C70" s="51">
        <f>C57*C59</f>
        <v/>
      </c>
      <c r="D70" s="22" t="inlineStr">
        <is>
          <t>price × LTV</t>
        </is>
      </c>
      <c r="E70" s="13" t="n"/>
      <c r="F70" s="13" t="n"/>
      <c r="G70" s="13" t="n"/>
      <c r="H70" s="13" t="n"/>
      <c r="I70" s="13" t="n"/>
      <c r="J70" s="13" t="n"/>
      <c r="K70" s="13" t="n"/>
      <c r="L70" s="13" t="n"/>
      <c r="M70" s="14" t="n"/>
    </row>
    <row r="71" ht="15" customHeight="1">
      <c r="B71" s="12" t="inlineStr">
        <is>
          <t>Monthly rate</t>
        </is>
      </c>
      <c r="C71" s="50">
        <f>C60/12</f>
        <v/>
      </c>
    </row>
    <row r="72" ht="15" customHeight="1">
      <c r="B72" s="12" t="inlineStr">
        <is>
          <t>Amortization periods</t>
        </is>
      </c>
      <c r="C72" s="64">
        <f>C61*12</f>
        <v/>
      </c>
    </row>
    <row r="73" ht="15" customHeight="1">
      <c r="B73" s="12" t="inlineStr">
        <is>
          <t>Annual debt service (amortizing)</t>
        </is>
      </c>
      <c r="C73" s="51">
        <f>C70*(C71/(1-(1+C71)^(-C72)))*12</f>
        <v/>
      </c>
    </row>
    <row r="74" ht="15" customHeight="1">
      <c r="B74" s="12" t="inlineStr">
        <is>
          <t>Equity at acquisition</t>
        </is>
      </c>
      <c r="C74" s="51">
        <f>C57*(1+C58)-C70</f>
        <v/>
      </c>
      <c r="D74" s="22" t="inlineStr">
        <is>
          <t>price×(1+closing) − loan</t>
        </is>
      </c>
      <c r="E74" s="13" t="n"/>
      <c r="F74" s="13" t="n"/>
      <c r="G74" s="13" t="n"/>
      <c r="H74" s="13" t="n"/>
      <c r="I74" s="13" t="n"/>
      <c r="J74" s="13" t="n"/>
      <c r="K74" s="13" t="n"/>
      <c r="L74" s="13" t="n"/>
      <c r="M74" s="14" t="n"/>
    </row>
    <row r="75" ht="15" customHeight="1">
      <c r="B75" s="12" t="inlineStr">
        <is>
          <t>Absorption SF (lease-up)</t>
        </is>
      </c>
      <c r="C75" s="64">
        <f>C34*(C42-C35)</f>
        <v/>
      </c>
    </row>
    <row r="76" ht="15" customHeight="1">
      <c r="B76" s="12" t="inlineStr">
        <is>
          <t>Initial leasing capital (TI/LC on absorbed SF)</t>
        </is>
      </c>
      <c r="C76" s="51">
        <f>C75*(C52+C53)</f>
        <v/>
      </c>
    </row>
    <row r="77" ht="15" customHeight="1">
      <c r="B77" s="12" t="inlineStr">
        <is>
          <t>Total cost basis (incl. initial leasing)</t>
        </is>
      </c>
      <c r="C77" s="51">
        <f>C57*(1+C58)+C76</f>
        <v/>
      </c>
    </row>
    <row r="78" ht="15" customHeight="1">
      <c r="B78" s="12" t="inlineStr">
        <is>
          <t>Total equity required</t>
        </is>
      </c>
      <c r="C78" s="51">
        <f>C77-C70</f>
        <v/>
      </c>
    </row>
    <row r="79" ht="15" customHeight="1">
      <c r="B79" s="12" t="inlineStr">
        <is>
          <t>Land value ($/SF)</t>
        </is>
      </c>
      <c r="C79" s="26">
        <f>'Assumptions'!C49</f>
        <v/>
      </c>
      <c r="D79" s="22" t="inlineStr">
        <is>
          <t>🟢 Assumptions</t>
        </is>
      </c>
      <c r="E79" s="13" t="n"/>
      <c r="F79" s="13" t="n"/>
      <c r="G79" s="13" t="n"/>
      <c r="H79" s="13" t="n"/>
      <c r="I79" s="13" t="n"/>
      <c r="J79" s="13" t="n"/>
      <c r="K79" s="13" t="n"/>
      <c r="L79" s="13" t="n"/>
      <c r="M79" s="14" t="n"/>
    </row>
    <row r="80" ht="15" customHeight="1">
      <c r="B80" s="12" t="inlineStr">
        <is>
          <t>Land value (land SF × $/SF)</t>
        </is>
      </c>
      <c r="C80" s="51">
        <f>C36*C79</f>
        <v/>
      </c>
      <c r="D80" s="22" t="inlineStr">
        <is>
          <t>both blue inputs above</t>
        </is>
      </c>
      <c r="E80" s="13" t="n"/>
      <c r="F80" s="13" t="n"/>
      <c r="G80" s="13" t="n"/>
      <c r="H80" s="13" t="n"/>
      <c r="I80" s="13" t="n"/>
      <c r="J80" s="13" t="n"/>
      <c r="K80" s="13" t="n"/>
      <c r="L80" s="13" t="n"/>
      <c r="M80" s="14" t="n"/>
    </row>
    <row r="81"/>
    <row r="82">
      <c r="B82" s="11" t="inlineStr">
        <is>
          <t>OPERATING CASH FLOW  —  10-year annual (black = formulas; expenses positive, subtracted in subtotals)</t>
        </is>
      </c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3" t="n"/>
    </row>
    <row r="83" ht="15" customHeight="1">
      <c r="B83" s="15" t="inlineStr">
        <is>
          <t>Year</t>
        </is>
      </c>
      <c r="C83" s="16" t="inlineStr">
        <is>
          <t>0 / Acq</t>
        </is>
      </c>
      <c r="D83" s="41" t="n">
        <v>1</v>
      </c>
      <c r="E83" s="41" t="n">
        <v>2</v>
      </c>
      <c r="F83" s="41" t="n">
        <v>3</v>
      </c>
      <c r="G83" s="41" t="n">
        <v>4</v>
      </c>
      <c r="H83" s="41" t="n">
        <v>5</v>
      </c>
      <c r="I83" s="41" t="n">
        <v>6</v>
      </c>
      <c r="J83" s="41" t="n">
        <v>7</v>
      </c>
      <c r="K83" s="41" t="n">
        <v>8</v>
      </c>
      <c r="L83" s="41" t="n">
        <v>9</v>
      </c>
      <c r="M83" s="41" t="n">
        <v>10</v>
      </c>
    </row>
    <row r="84" ht="15" customHeight="1">
      <c r="B84" s="22" t="inlineStr">
        <is>
          <t>Year ending</t>
        </is>
      </c>
      <c r="C84" s="42" t="inlineStr">
        <is>
          <t>At close</t>
        </is>
      </c>
      <c r="D84" s="42" t="inlineStr">
        <is>
          <t>Dec-2027</t>
        </is>
      </c>
      <c r="E84" s="42" t="inlineStr">
        <is>
          <t>Dec-2028</t>
        </is>
      </c>
      <c r="F84" s="42" t="inlineStr">
        <is>
          <t>Dec-2029</t>
        </is>
      </c>
      <c r="G84" s="42" t="inlineStr">
        <is>
          <t>Dec-2030</t>
        </is>
      </c>
      <c r="H84" s="42" t="inlineStr">
        <is>
          <t>Dec-2031</t>
        </is>
      </c>
      <c r="I84" s="42" t="inlineStr">
        <is>
          <t>Dec-2032</t>
        </is>
      </c>
      <c r="J84" s="42" t="inlineStr">
        <is>
          <t>Dec-2033</t>
        </is>
      </c>
      <c r="K84" s="42" t="inlineStr">
        <is>
          <t>Dec-2034</t>
        </is>
      </c>
      <c r="L84" s="42" t="inlineStr">
        <is>
          <t>Dec-2035</t>
        </is>
      </c>
      <c r="M84" s="42" t="inlineStr">
        <is>
          <t>Dec-2036</t>
        </is>
      </c>
    </row>
    <row r="85" ht="15" customHeight="1">
      <c r="B85" s="12" t="inlineStr">
        <is>
          <t>Occupancy</t>
        </is>
      </c>
      <c r="D85" s="53">
        <f>(C35+C42)/2</f>
        <v/>
      </c>
      <c r="E85" s="53">
        <f>C42</f>
        <v/>
      </c>
      <c r="F85" s="53">
        <f>C42</f>
        <v/>
      </c>
      <c r="G85" s="53">
        <f>C42</f>
        <v/>
      </c>
      <c r="H85" s="53">
        <f>C42</f>
        <v/>
      </c>
      <c r="I85" s="53">
        <f>C42</f>
        <v/>
      </c>
      <c r="J85" s="53">
        <f>C42</f>
        <v/>
      </c>
      <c r="K85" s="53">
        <f>C42</f>
        <v/>
      </c>
      <c r="L85" s="53">
        <f>C42</f>
        <v/>
      </c>
      <c r="M85" s="53">
        <f>C42</f>
        <v/>
      </c>
    </row>
    <row r="86" ht="15" customHeight="1">
      <c r="B86" s="12" t="inlineStr">
        <is>
          <t>Leased SF</t>
        </is>
      </c>
      <c r="D86" s="64">
        <f>C34*D85</f>
        <v/>
      </c>
      <c r="E86" s="64">
        <f>C34*E85</f>
        <v/>
      </c>
      <c r="F86" s="64">
        <f>C34*F85</f>
        <v/>
      </c>
      <c r="G86" s="64">
        <f>C34*G85</f>
        <v/>
      </c>
      <c r="H86" s="64">
        <f>C34*H85</f>
        <v/>
      </c>
      <c r="I86" s="64">
        <f>C34*I85</f>
        <v/>
      </c>
      <c r="J86" s="64">
        <f>C34*J85</f>
        <v/>
      </c>
      <c r="K86" s="64">
        <f>C34*K85</f>
        <v/>
      </c>
      <c r="L86" s="64">
        <f>C34*L85</f>
        <v/>
      </c>
      <c r="M86" s="64">
        <f>C34*M85</f>
        <v/>
      </c>
    </row>
    <row r="87" ht="15" customHeight="1">
      <c r="B87" s="15" t="inlineStr">
        <is>
          <t>REVENUE</t>
        </is>
      </c>
      <c r="C87" s="13" t="n"/>
      <c r="D87" s="13" t="n"/>
      <c r="E87" s="13" t="n"/>
      <c r="F87" s="13" t="n"/>
      <c r="G87" s="13" t="n"/>
      <c r="H87" s="13" t="n"/>
      <c r="I87" s="13" t="n"/>
      <c r="J87" s="13" t="n"/>
      <c r="K87" s="13" t="n"/>
      <c r="L87" s="13" t="n"/>
      <c r="M87" s="14" t="n"/>
    </row>
    <row r="88" ht="15" customHeight="1">
      <c r="B88" s="12" t="inlineStr">
        <is>
          <t>Base rental income</t>
        </is>
      </c>
      <c r="D88" s="51">
        <f>D86*C40*(1+C41)^(1-1)</f>
        <v/>
      </c>
      <c r="E88" s="47">
        <f>E86*C40*(1+C41)^(2-1)</f>
        <v/>
      </c>
      <c r="F88" s="47">
        <f>F86*C40*(1+C41)^(3-1)</f>
        <v/>
      </c>
      <c r="G88" s="47">
        <f>G86*C40*(1+C41)^(4-1)</f>
        <v/>
      </c>
      <c r="H88" s="47">
        <f>H86*C40*(1+C41)^(5-1)</f>
        <v/>
      </c>
      <c r="I88" s="47">
        <f>I86*C40*(1+C41)^(6-1)</f>
        <v/>
      </c>
      <c r="J88" s="47">
        <f>J86*C40*(1+C41)^(7-1)</f>
        <v/>
      </c>
      <c r="K88" s="47">
        <f>K86*C40*(1+C41)^(8-1)</f>
        <v/>
      </c>
      <c r="L88" s="47">
        <f>L86*C40*(1+C41)^(9-1)</f>
        <v/>
      </c>
      <c r="M88" s="47">
        <f>M86*C40*(1+C41)^(10-1)</f>
        <v/>
      </c>
    </row>
    <row r="89" ht="15" customHeight="1">
      <c r="B89" s="12" t="inlineStr">
        <is>
          <t>Recoverable opex (gross)</t>
        </is>
      </c>
      <c r="D89" s="47">
        <f>(C45*C37+C46+C47)*(1+C50)^(1-1)</f>
        <v/>
      </c>
      <c r="E89" s="47">
        <f>(C45*C37+C46+C47)*(1+C50)^(2-1)</f>
        <v/>
      </c>
      <c r="F89" s="47">
        <f>(C45*C37+C46+C47)*(1+C50)^(3-1)</f>
        <v/>
      </c>
      <c r="G89" s="47">
        <f>(C45*C37+C46+C47)*(1+C50)^(4-1)</f>
        <v/>
      </c>
      <c r="H89" s="47">
        <f>(C45*C37+C46+C47)*(1+C50)^(5-1)</f>
        <v/>
      </c>
      <c r="I89" s="47">
        <f>(C45*C37+C46+C47)*(1+C50)^(6-1)</f>
        <v/>
      </c>
      <c r="J89" s="47">
        <f>(C45*C37+C46+C47)*(1+C50)^(7-1)</f>
        <v/>
      </c>
      <c r="K89" s="47">
        <f>(C45*C37+C46+C47)*(1+C50)^(8-1)</f>
        <v/>
      </c>
      <c r="L89" s="47">
        <f>(C45*C37+C46+C47)*(1+C50)^(9-1)</f>
        <v/>
      </c>
      <c r="M89" s="47">
        <f>(C45*C37+C46+C47)*(1+C50)^(10-1)</f>
        <v/>
      </c>
    </row>
    <row r="90" ht="15" customHeight="1">
      <c r="B90" s="12" t="inlineStr">
        <is>
          <t>Expense reimbursements (NNN)</t>
        </is>
      </c>
      <c r="D90" s="47">
        <f>D89*D85</f>
        <v/>
      </c>
      <c r="E90" s="47">
        <f>E89*E85</f>
        <v/>
      </c>
      <c r="F90" s="47">
        <f>F89*F85</f>
        <v/>
      </c>
      <c r="G90" s="47">
        <f>G89*G85</f>
        <v/>
      </c>
      <c r="H90" s="47">
        <f>H89*H85</f>
        <v/>
      </c>
      <c r="I90" s="47">
        <f>I89*I85</f>
        <v/>
      </c>
      <c r="J90" s="47">
        <f>J89*J85</f>
        <v/>
      </c>
      <c r="K90" s="47">
        <f>K89*K85</f>
        <v/>
      </c>
      <c r="L90" s="47">
        <f>L89*L85</f>
        <v/>
      </c>
      <c r="M90" s="47">
        <f>M89*M85</f>
        <v/>
      </c>
    </row>
    <row r="91" ht="15" customHeight="1">
      <c r="B91" s="12" t="inlineStr">
        <is>
          <t>Less: credit &amp; collection loss</t>
        </is>
      </c>
      <c r="D91" s="47">
        <f>-D88*C43</f>
        <v/>
      </c>
      <c r="E91" s="47">
        <f>-E88*C43</f>
        <v/>
      </c>
      <c r="F91" s="47">
        <f>-F88*C43</f>
        <v/>
      </c>
      <c r="G91" s="47">
        <f>-G88*C43</f>
        <v/>
      </c>
      <c r="H91" s="47">
        <f>-H88*C43</f>
        <v/>
      </c>
      <c r="I91" s="47">
        <f>-I88*C43</f>
        <v/>
      </c>
      <c r="J91" s="47">
        <f>-J88*C43</f>
        <v/>
      </c>
      <c r="K91" s="47">
        <f>-K88*C43</f>
        <v/>
      </c>
      <c r="L91" s="47">
        <f>-L88*C43</f>
        <v/>
      </c>
      <c r="M91" s="47">
        <f>-M88*C43</f>
        <v/>
      </c>
    </row>
    <row r="92" ht="15" customHeight="1">
      <c r="B92" s="43" t="inlineStr">
        <is>
          <t>Effective Gross Revenue</t>
        </is>
      </c>
      <c r="D92" s="51">
        <f>D88+D90+D91</f>
        <v/>
      </c>
      <c r="E92" s="47">
        <f>E88+E90+E91</f>
        <v/>
      </c>
      <c r="F92" s="47">
        <f>F88+F90+F91</f>
        <v/>
      </c>
      <c r="G92" s="47">
        <f>G88+G90+G91</f>
        <v/>
      </c>
      <c r="H92" s="47">
        <f>H88+H90+H91</f>
        <v/>
      </c>
      <c r="I92" s="47">
        <f>I88+I90+I91</f>
        <v/>
      </c>
      <c r="J92" s="47">
        <f>J88+J90+J91</f>
        <v/>
      </c>
      <c r="K92" s="47">
        <f>K88+K90+K91</f>
        <v/>
      </c>
      <c r="L92" s="47">
        <f>L88+L90+L91</f>
        <v/>
      </c>
      <c r="M92" s="47">
        <f>M88+M90+M91</f>
        <v/>
      </c>
    </row>
    <row r="93" ht="15" customHeight="1">
      <c r="B93" s="15" t="inlineStr">
        <is>
          <t>OPERATING EXPENSES</t>
        </is>
      </c>
      <c r="C93" s="13" t="n"/>
      <c r="D93" s="13" t="n"/>
      <c r="E93" s="13" t="n"/>
      <c r="F93" s="13" t="n"/>
      <c r="G93" s="13" t="n"/>
      <c r="H93" s="13" t="n"/>
      <c r="I93" s="13" t="n"/>
      <c r="J93" s="13" t="n"/>
      <c r="K93" s="13" t="n"/>
      <c r="L93" s="13" t="n"/>
      <c r="M93" s="14" t="n"/>
    </row>
    <row r="94" ht="15" customHeight="1">
      <c r="B94" s="12" t="inlineStr">
        <is>
          <t>Real-estate taxes (reassessed)</t>
        </is>
      </c>
      <c r="D94" s="47">
        <f>C45*C37*(1+C50)^(1-1)</f>
        <v/>
      </c>
      <c r="E94" s="47">
        <f>C45*C37*(1+C50)^(2-1)</f>
        <v/>
      </c>
      <c r="F94" s="47">
        <f>C45*C37*(1+C50)^(3-1)</f>
        <v/>
      </c>
      <c r="G94" s="47">
        <f>C45*C37*(1+C50)^(4-1)</f>
        <v/>
      </c>
      <c r="H94" s="47">
        <f>C45*C37*(1+C50)^(5-1)</f>
        <v/>
      </c>
      <c r="I94" s="47">
        <f>C45*C37*(1+C50)^(6-1)</f>
        <v/>
      </c>
      <c r="J94" s="47">
        <f>C45*C37*(1+C50)^(7-1)</f>
        <v/>
      </c>
      <c r="K94" s="47">
        <f>C45*C37*(1+C50)^(8-1)</f>
        <v/>
      </c>
      <c r="L94" s="47">
        <f>C45*C37*(1+C50)^(9-1)</f>
        <v/>
      </c>
      <c r="M94" s="47">
        <f>C45*C37*(1+C50)^(10-1)</f>
        <v/>
      </c>
    </row>
    <row r="95" ht="15" customHeight="1">
      <c r="B95" s="12" t="inlineStr">
        <is>
          <t>Insurance</t>
        </is>
      </c>
      <c r="D95" s="47">
        <f>C46*(1+C50)^(1-1)</f>
        <v/>
      </c>
      <c r="E95" s="47">
        <f>C46*(1+C50)^(2-1)</f>
        <v/>
      </c>
      <c r="F95" s="47">
        <f>C46*(1+C50)^(3-1)</f>
        <v/>
      </c>
      <c r="G95" s="47">
        <f>C46*(1+C50)^(4-1)</f>
        <v/>
      </c>
      <c r="H95" s="47">
        <f>C46*(1+C50)^(5-1)</f>
        <v/>
      </c>
      <c r="I95" s="47">
        <f>C46*(1+C50)^(6-1)</f>
        <v/>
      </c>
      <c r="J95" s="47">
        <f>C46*(1+C50)^(7-1)</f>
        <v/>
      </c>
      <c r="K95" s="47">
        <f>C46*(1+C50)^(8-1)</f>
        <v/>
      </c>
      <c r="L95" s="47">
        <f>C46*(1+C50)^(9-1)</f>
        <v/>
      </c>
      <c r="M95" s="47">
        <f>C46*(1+C50)^(10-1)</f>
        <v/>
      </c>
    </row>
    <row r="96" ht="15" customHeight="1">
      <c r="B96" s="12" t="inlineStr">
        <is>
          <t>CAM</t>
        </is>
      </c>
      <c r="D96" s="47">
        <f>C47*(1+C50)^(1-1)</f>
        <v/>
      </c>
      <c r="E96" s="47">
        <f>C47*(1+C50)^(2-1)</f>
        <v/>
      </c>
      <c r="F96" s="47">
        <f>C47*(1+C50)^(3-1)</f>
        <v/>
      </c>
      <c r="G96" s="47">
        <f>C47*(1+C50)^(4-1)</f>
        <v/>
      </c>
      <c r="H96" s="47">
        <f>C47*(1+C50)^(5-1)</f>
        <v/>
      </c>
      <c r="I96" s="47">
        <f>C47*(1+C50)^(6-1)</f>
        <v/>
      </c>
      <c r="J96" s="47">
        <f>C47*(1+C50)^(7-1)</f>
        <v/>
      </c>
      <c r="K96" s="47">
        <f>C47*(1+C50)^(8-1)</f>
        <v/>
      </c>
      <c r="L96" s="47">
        <f>C47*(1+C50)^(9-1)</f>
        <v/>
      </c>
      <c r="M96" s="47">
        <f>C47*(1+C50)^(10-1)</f>
        <v/>
      </c>
    </row>
    <row r="97" ht="15" customHeight="1">
      <c r="B97" s="12" t="inlineStr">
        <is>
          <t>Repairs &amp; maintenance</t>
        </is>
      </c>
      <c r="D97" s="47">
        <f>C48*(1+C50)^(1-1)</f>
        <v/>
      </c>
      <c r="E97" s="47">
        <f>C48*(1+C50)^(2-1)</f>
        <v/>
      </c>
      <c r="F97" s="47">
        <f>C48*(1+C50)^(3-1)</f>
        <v/>
      </c>
      <c r="G97" s="47">
        <f>C48*(1+C50)^(4-1)</f>
        <v/>
      </c>
      <c r="H97" s="47">
        <f>C48*(1+C50)^(5-1)</f>
        <v/>
      </c>
      <c r="I97" s="47">
        <f>C48*(1+C50)^(6-1)</f>
        <v/>
      </c>
      <c r="J97" s="47">
        <f>C48*(1+C50)^(7-1)</f>
        <v/>
      </c>
      <c r="K97" s="47">
        <f>C48*(1+C50)^(8-1)</f>
        <v/>
      </c>
      <c r="L97" s="47">
        <f>C48*(1+C50)^(9-1)</f>
        <v/>
      </c>
      <c r="M97" s="47">
        <f>C48*(1+C50)^(10-1)</f>
        <v/>
      </c>
    </row>
    <row r="98" ht="15" customHeight="1">
      <c r="B98" s="12" t="inlineStr">
        <is>
          <t>Management fee</t>
        </is>
      </c>
      <c r="D98" s="47">
        <f>D92*C49</f>
        <v/>
      </c>
      <c r="E98" s="47">
        <f>E92*C49</f>
        <v/>
      </c>
      <c r="F98" s="47">
        <f>F92*C49</f>
        <v/>
      </c>
      <c r="G98" s="47">
        <f>G92*C49</f>
        <v/>
      </c>
      <c r="H98" s="47">
        <f>H92*C49</f>
        <v/>
      </c>
      <c r="I98" s="47">
        <f>I92*C49</f>
        <v/>
      </c>
      <c r="J98" s="47">
        <f>J92*C49</f>
        <v/>
      </c>
      <c r="K98" s="47">
        <f>K92*C49</f>
        <v/>
      </c>
      <c r="L98" s="47">
        <f>L92*C49</f>
        <v/>
      </c>
      <c r="M98" s="47">
        <f>M92*C49</f>
        <v/>
      </c>
    </row>
    <row r="99" ht="15" customHeight="1">
      <c r="B99" s="43" t="inlineStr">
        <is>
          <t>Total operating expenses</t>
        </is>
      </c>
      <c r="D99" s="51">
        <f>SUM(D94:D98)</f>
        <v/>
      </c>
      <c r="E99" s="47">
        <f>SUM(E94:E98)</f>
        <v/>
      </c>
      <c r="F99" s="47">
        <f>SUM(F94:F98)</f>
        <v/>
      </c>
      <c r="G99" s="47">
        <f>SUM(G94:G98)</f>
        <v/>
      </c>
      <c r="H99" s="47">
        <f>SUM(H94:H98)</f>
        <v/>
      </c>
      <c r="I99" s="47">
        <f>SUM(I94:I98)</f>
        <v/>
      </c>
      <c r="J99" s="47">
        <f>SUM(J94:J98)</f>
        <v/>
      </c>
      <c r="K99" s="47">
        <f>SUM(K94:K98)</f>
        <v/>
      </c>
      <c r="L99" s="47">
        <f>SUM(L94:L98)</f>
        <v/>
      </c>
      <c r="M99" s="47">
        <f>SUM(M94:M98)</f>
        <v/>
      </c>
    </row>
    <row r="100" ht="15" customHeight="1">
      <c r="B100" s="43" t="inlineStr">
        <is>
          <t>NET OPERATING INCOME</t>
        </is>
      </c>
      <c r="D100" s="44">
        <f>D92-D99</f>
        <v/>
      </c>
      <c r="E100" s="45">
        <f>E92-E99</f>
        <v/>
      </c>
      <c r="F100" s="45">
        <f>F92-F99</f>
        <v/>
      </c>
      <c r="G100" s="45">
        <f>G92-G99</f>
        <v/>
      </c>
      <c r="H100" s="45">
        <f>H92-H99</f>
        <v/>
      </c>
      <c r="I100" s="45">
        <f>I92-I99</f>
        <v/>
      </c>
      <c r="J100" s="45">
        <f>J92-J99</f>
        <v/>
      </c>
      <c r="K100" s="45">
        <f>K92-K99</f>
        <v/>
      </c>
      <c r="L100" s="45">
        <f>L92-L99</f>
        <v/>
      </c>
      <c r="M100" s="45">
        <f>M92-M99</f>
        <v/>
      </c>
    </row>
    <row r="101" ht="15" customHeight="1">
      <c r="B101" s="15" t="inlineStr">
        <is>
          <t>CAPITAL</t>
        </is>
      </c>
      <c r="C101" s="13" t="n"/>
      <c r="D101" s="13" t="n"/>
      <c r="E101" s="13" t="n"/>
      <c r="F101" s="13" t="n"/>
      <c r="G101" s="13" t="n"/>
      <c r="H101" s="13" t="n"/>
      <c r="I101" s="13" t="n"/>
      <c r="J101" s="13" t="n"/>
      <c r="K101" s="13" t="n"/>
      <c r="L101" s="13" t="n"/>
      <c r="M101" s="14" t="n"/>
    </row>
    <row r="102" ht="15" customHeight="1">
      <c r="B102" s="12" t="inlineStr">
        <is>
          <t>Replacement reserves</t>
        </is>
      </c>
      <c r="D102" s="47">
        <f>C34*C54*(1+C50)^(1-1)</f>
        <v/>
      </c>
      <c r="E102" s="47">
        <f>C34*C54*(1+C50)^(2-1)</f>
        <v/>
      </c>
      <c r="F102" s="47">
        <f>C34*C54*(1+C50)^(3-1)</f>
        <v/>
      </c>
      <c r="G102" s="47">
        <f>C34*C54*(1+C50)^(4-1)</f>
        <v/>
      </c>
      <c r="H102" s="47">
        <f>C34*C54*(1+C50)^(5-1)</f>
        <v/>
      </c>
      <c r="I102" s="47">
        <f>C34*C54*(1+C50)^(6-1)</f>
        <v/>
      </c>
      <c r="J102" s="47">
        <f>C34*C54*(1+C50)^(7-1)</f>
        <v/>
      </c>
      <c r="K102" s="47">
        <f>C34*C54*(1+C50)^(8-1)</f>
        <v/>
      </c>
      <c r="L102" s="47">
        <f>C34*C54*(1+C50)^(9-1)</f>
        <v/>
      </c>
      <c r="M102" s="47">
        <f>C34*C54*(1+C50)^(10-1)</f>
        <v/>
      </c>
    </row>
    <row r="103" ht="15" customHeight="1">
      <c r="B103" s="12" t="inlineStr">
        <is>
          <t>Leasing costs (TI/LC + rollover)</t>
        </is>
      </c>
      <c r="D103" s="47">
        <f>C75*(C52+C53)+C34*C55</f>
        <v/>
      </c>
      <c r="E103" s="47">
        <f>C34*C55*(1+C50)^(2-1)</f>
        <v/>
      </c>
      <c r="F103" s="47">
        <f>C34*C55*(1+C50)^(3-1)</f>
        <v/>
      </c>
      <c r="G103" s="47">
        <f>C34*C55*(1+C50)^(4-1)</f>
        <v/>
      </c>
      <c r="H103" s="47">
        <f>C34*C55*(1+C50)^(5-1)</f>
        <v/>
      </c>
      <c r="I103" s="47">
        <f>C34*C55*(1+C50)^(6-1)</f>
        <v/>
      </c>
      <c r="J103" s="47">
        <f>C34*C55*(1+C50)^(7-1)</f>
        <v/>
      </c>
      <c r="K103" s="47">
        <f>C34*C55*(1+C50)^(8-1)</f>
        <v/>
      </c>
      <c r="L103" s="47">
        <f>C34*C55*(1+C50)^(9-1)</f>
        <v/>
      </c>
      <c r="M103" s="47">
        <f>C34*C55*(1+C50)^(10-1)</f>
        <v/>
      </c>
    </row>
    <row r="104" ht="15" customHeight="1">
      <c r="B104" s="43" t="inlineStr">
        <is>
          <t>Total capital</t>
        </is>
      </c>
      <c r="D104" s="51">
        <f>D102+D103</f>
        <v/>
      </c>
      <c r="E104" s="47">
        <f>E102+E103</f>
        <v/>
      </c>
      <c r="F104" s="47">
        <f>F102+F103</f>
        <v/>
      </c>
      <c r="G104" s="47">
        <f>G102+G103</f>
        <v/>
      </c>
      <c r="H104" s="47">
        <f>H102+H103</f>
        <v/>
      </c>
      <c r="I104" s="47">
        <f>I102+I103</f>
        <v/>
      </c>
      <c r="J104" s="47">
        <f>J102+J103</f>
        <v/>
      </c>
      <c r="K104" s="47">
        <f>K102+K103</f>
        <v/>
      </c>
      <c r="L104" s="47">
        <f>L102+L103</f>
        <v/>
      </c>
      <c r="M104" s="47">
        <f>M102+M103</f>
        <v/>
      </c>
    </row>
    <row r="105" ht="15" customHeight="1">
      <c r="B105" s="43" t="inlineStr">
        <is>
          <t>Unlevered cash flow (before reversion)</t>
        </is>
      </c>
      <c r="C105" s="44">
        <f>-C57*(1+C58)</f>
        <v/>
      </c>
      <c r="D105" s="44">
        <f>D100-D104</f>
        <v/>
      </c>
      <c r="E105" s="45">
        <f>E100-E104</f>
        <v/>
      </c>
      <c r="F105" s="45">
        <f>F100-F104</f>
        <v/>
      </c>
      <c r="G105" s="45">
        <f>G100-G104</f>
        <v/>
      </c>
      <c r="H105" s="45">
        <f>H100-H104</f>
        <v/>
      </c>
      <c r="I105" s="45">
        <f>I100-I104</f>
        <v/>
      </c>
      <c r="J105" s="45">
        <f>J100-J104</f>
        <v/>
      </c>
      <c r="K105" s="45">
        <f>K100-K104</f>
        <v/>
      </c>
      <c r="L105" s="45">
        <f>L100-L104</f>
        <v/>
      </c>
      <c r="M105" s="45">
        <f>M100-M104</f>
        <v/>
      </c>
    </row>
    <row r="106"/>
    <row r="107">
      <c r="B107" s="11" t="inlineStr">
        <is>
          <t>REVERSION, DEBT SERVICE  &amp;  LEVERED CASH FLOW</t>
        </is>
      </c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3" t="n"/>
    </row>
    <row r="108" ht="15" customHeight="1">
      <c r="B108" s="12" t="inlineStr">
        <is>
          <t>Net sale proceeds (exit year)</t>
        </is>
      </c>
      <c r="D108" s="47">
        <f>IF(1=C66,(D100*(1+C41)/C64)*(1-C65),0)</f>
        <v/>
      </c>
      <c r="E108" s="47">
        <f>IF(2=C66,(E100*(1+C41)/C64)*(1-C65),0)</f>
        <v/>
      </c>
      <c r="F108" s="47">
        <f>IF(3=C66,(F100*(1+C41)/C64)*(1-C65),0)</f>
        <v/>
      </c>
      <c r="G108" s="47">
        <f>IF(4=C66,(G100*(1+C41)/C64)*(1-C65),0)</f>
        <v/>
      </c>
      <c r="H108" s="47">
        <f>IF(5=C66,(H100*(1+C41)/C64)*(1-C65),0)</f>
        <v/>
      </c>
      <c r="I108" s="47">
        <f>IF(6=C66,(I100*(1+C41)/C64)*(1-C65),0)</f>
        <v/>
      </c>
      <c r="J108" s="47">
        <f>IF(7=C66,(J100*(1+C41)/C64)*(1-C65),0)</f>
        <v/>
      </c>
      <c r="K108" s="47">
        <f>IF(8=C66,(K100*(1+C41)/C64)*(1-C65),0)</f>
        <v/>
      </c>
      <c r="L108" s="47">
        <f>IF(9=C66,(L100*(1+C41)/C64)*(1-C65),0)</f>
        <v/>
      </c>
      <c r="M108" s="47">
        <f>IF(10=C66,(M100*(1+C41)/C64)*(1-C65),0)</f>
        <v/>
      </c>
    </row>
    <row r="109" ht="15" customHeight="1">
      <c r="B109" s="43" t="inlineStr">
        <is>
          <t>UNLEVERED PROJECT CASH FLOW</t>
        </is>
      </c>
      <c r="C109" s="44">
        <f>C105</f>
        <v/>
      </c>
      <c r="D109" s="44">
        <f>IF(1&lt;=C66,D105,0)+D108</f>
        <v/>
      </c>
      <c r="E109" s="45">
        <f>IF(2&lt;=C66,E105,0)+E108</f>
        <v/>
      </c>
      <c r="F109" s="45">
        <f>IF(3&lt;=C66,F105,0)+F108</f>
        <v/>
      </c>
      <c r="G109" s="45">
        <f>IF(4&lt;=C66,G105,0)+G108</f>
        <v/>
      </c>
      <c r="H109" s="45">
        <f>IF(5&lt;=C66,H105,0)+H108</f>
        <v/>
      </c>
      <c r="I109" s="45">
        <f>IF(6&lt;=C66,I105,0)+I108</f>
        <v/>
      </c>
      <c r="J109" s="45">
        <f>IF(7&lt;=C66,J105,0)+J108</f>
        <v/>
      </c>
      <c r="K109" s="45">
        <f>IF(8&lt;=C66,K105,0)+K108</f>
        <v/>
      </c>
      <c r="L109" s="45">
        <f>IF(9&lt;=C66,L105,0)+L108</f>
        <v/>
      </c>
      <c r="M109" s="45">
        <f>IF(10&lt;=C66,M105,0)+M108</f>
        <v/>
      </c>
    </row>
    <row r="110" ht="15" customHeight="1">
      <c r="B110" s="12" t="inlineStr">
        <is>
          <t>Debt service</t>
        </is>
      </c>
      <c r="D110" s="47">
        <f>IF(1&lt;=C66,-C73,0)</f>
        <v/>
      </c>
      <c r="E110" s="47">
        <f>IF(2&lt;=C66,-C73,0)</f>
        <v/>
      </c>
      <c r="F110" s="47">
        <f>IF(3&lt;=C66,-C73,0)</f>
        <v/>
      </c>
      <c r="G110" s="47">
        <f>IF(4&lt;=C66,-C73,0)</f>
        <v/>
      </c>
      <c r="H110" s="47">
        <f>IF(5&lt;=C66,-C73,0)</f>
        <v/>
      </c>
      <c r="I110" s="47">
        <f>IF(6&lt;=C66,-C73,0)</f>
        <v/>
      </c>
      <c r="J110" s="47">
        <f>IF(7&lt;=C66,-C73,0)</f>
        <v/>
      </c>
      <c r="K110" s="47">
        <f>IF(8&lt;=C66,-C73,0)</f>
        <v/>
      </c>
      <c r="L110" s="47">
        <f>IF(9&lt;=C66,-C73,0)</f>
        <v/>
      </c>
      <c r="M110" s="47">
        <f>IF(10&lt;=C66,-C73,0)</f>
        <v/>
      </c>
    </row>
    <row r="111" ht="15" customHeight="1">
      <c r="B111" s="12" t="inlineStr">
        <is>
          <t>Loan balance (year-end)</t>
        </is>
      </c>
      <c r="D111" s="47">
        <f>C70*(1+C71)^(12*1)-(C73/12)*((1+C71)^(12*1)-1)/C71</f>
        <v/>
      </c>
      <c r="E111" s="47">
        <f>C70*(1+C71)^(12*2)-(C73/12)*((1+C71)^(12*2)-1)/C71</f>
        <v/>
      </c>
      <c r="F111" s="47">
        <f>C70*(1+C71)^(12*3)-(C73/12)*((1+C71)^(12*3)-1)/C71</f>
        <v/>
      </c>
      <c r="G111" s="47">
        <f>C70*(1+C71)^(12*4)-(C73/12)*((1+C71)^(12*4)-1)/C71</f>
        <v/>
      </c>
      <c r="H111" s="47">
        <f>C70*(1+C71)^(12*5)-(C73/12)*((1+C71)^(12*5)-1)/C71</f>
        <v/>
      </c>
      <c r="I111" s="47">
        <f>C70*(1+C71)^(12*6)-(C73/12)*((1+C71)^(12*6)-1)/C71</f>
        <v/>
      </c>
      <c r="J111" s="47">
        <f>C70*(1+C71)^(12*7)-(C73/12)*((1+C71)^(12*7)-1)/C71</f>
        <v/>
      </c>
      <c r="K111" s="47">
        <f>C70*(1+C71)^(12*8)-(C73/12)*((1+C71)^(12*8)-1)/C71</f>
        <v/>
      </c>
      <c r="L111" s="47">
        <f>C70*(1+C71)^(12*9)-(C73/12)*((1+C71)^(12*9)-1)/C71</f>
        <v/>
      </c>
      <c r="M111" s="47">
        <f>C70*(1+C71)^(12*10)-(C73/12)*((1+C71)^(12*10)-1)/C71</f>
        <v/>
      </c>
    </row>
    <row r="112" ht="15" customHeight="1">
      <c r="B112" s="12" t="inlineStr">
        <is>
          <t>DSCR (NOI ÷ DS)</t>
        </is>
      </c>
      <c r="D112" s="54">
        <f>D100/C73</f>
        <v/>
      </c>
      <c r="E112" s="54">
        <f>E100/C73</f>
        <v/>
      </c>
      <c r="F112" s="54">
        <f>F100/C73</f>
        <v/>
      </c>
      <c r="G112" s="54">
        <f>G100/C73</f>
        <v/>
      </c>
      <c r="H112" s="54">
        <f>H100/C73</f>
        <v/>
      </c>
      <c r="I112" s="54">
        <f>I100/C73</f>
        <v/>
      </c>
      <c r="J112" s="54">
        <f>J100/C73</f>
        <v/>
      </c>
      <c r="K112" s="54">
        <f>K100/C73</f>
        <v/>
      </c>
      <c r="L112" s="54">
        <f>L100/C73</f>
        <v/>
      </c>
      <c r="M112" s="54">
        <f>M100/C73</f>
        <v/>
      </c>
    </row>
    <row r="113" ht="15" customHeight="1">
      <c r="B113" s="12" t="inlineStr">
        <is>
          <t>Debt yield (NOI ÷ loan)</t>
        </is>
      </c>
      <c r="D113" s="53">
        <f>D100/C70</f>
        <v/>
      </c>
      <c r="E113" s="53">
        <f>E100/C70</f>
        <v/>
      </c>
      <c r="F113" s="53">
        <f>F100/C70</f>
        <v/>
      </c>
      <c r="G113" s="53">
        <f>G100/C70</f>
        <v/>
      </c>
      <c r="H113" s="53">
        <f>H100/C70</f>
        <v/>
      </c>
      <c r="I113" s="53">
        <f>I100/C70</f>
        <v/>
      </c>
      <c r="J113" s="53">
        <f>J100/C70</f>
        <v/>
      </c>
      <c r="K113" s="53">
        <f>K100/C70</f>
        <v/>
      </c>
      <c r="L113" s="53">
        <f>L100/C70</f>
        <v/>
      </c>
      <c r="M113" s="53">
        <f>M100/C70</f>
        <v/>
      </c>
    </row>
    <row r="114" ht="15" customHeight="1">
      <c r="B114" s="43" t="inlineStr">
        <is>
          <t>LEVERED CASH FLOW (equity)</t>
        </is>
      </c>
      <c r="C114" s="44">
        <f>-C74</f>
        <v/>
      </c>
      <c r="D114" s="44">
        <f>IF(1&lt;=C66,D105-C73,0)+IF(1=C66,D108-D111,0)</f>
        <v/>
      </c>
      <c r="E114" s="45">
        <f>IF(2&lt;=C66,E105-C73,0)+IF(2=C66,E108-E111,0)</f>
        <v/>
      </c>
      <c r="F114" s="45">
        <f>IF(3&lt;=C66,F105-C73,0)+IF(3=C66,F108-F111,0)</f>
        <v/>
      </c>
      <c r="G114" s="45">
        <f>IF(4&lt;=C66,G105-C73,0)+IF(4=C66,G108-G111,0)</f>
        <v/>
      </c>
      <c r="H114" s="45">
        <f>IF(5&lt;=C66,H105-C73,0)+IF(5=C66,H108-H111,0)</f>
        <v/>
      </c>
      <c r="I114" s="45">
        <f>IF(6&lt;=C66,I105-C73,0)+IF(6=C66,I108-I111,0)</f>
        <v/>
      </c>
      <c r="J114" s="45">
        <f>IF(7&lt;=C66,J105-C73,0)+IF(7=C66,J108-J111,0)</f>
        <v/>
      </c>
      <c r="K114" s="45">
        <f>IF(8&lt;=C66,K105-C73,0)+IF(8=C66,K108-K111,0)</f>
        <v/>
      </c>
      <c r="L114" s="45">
        <f>IF(9&lt;=C66,L105-C73,0)+IF(9=C66,L108-L111,0)</f>
        <v/>
      </c>
      <c r="M114" s="45">
        <f>IF(10&lt;=C66,M105-C73,0)+IF(10=C66,M108-M111,0)</f>
        <v/>
      </c>
    </row>
    <row r="115"/>
    <row r="116">
      <c r="B116" s="11" t="inlineStr">
        <is>
          <t>RETURNS  —  unlevered &amp; levered</t>
        </is>
      </c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3" t="n"/>
    </row>
    <row r="117" ht="15" customHeight="1">
      <c r="B117" s="12" t="inlineStr">
        <is>
          <t>Unlevered IRR</t>
        </is>
      </c>
      <c r="C117" s="53">
        <f>IRR(C109:M109)</f>
        <v/>
      </c>
    </row>
    <row r="118" ht="15" customHeight="1">
      <c r="B118" s="12" t="inlineStr">
        <is>
          <t>Unlevered equity multiple</t>
        </is>
      </c>
      <c r="C118" s="54">
        <f>SUM(D109:M109)/-C109</f>
        <v/>
      </c>
    </row>
    <row r="119" ht="15" customHeight="1">
      <c r="B119" s="12" t="inlineStr">
        <is>
          <t>Unlevered NPV @ discount rate</t>
        </is>
      </c>
      <c r="C119" s="51">
        <f>C109+NPV(C67,D109:M109)</f>
        <v/>
      </c>
    </row>
    <row r="120" ht="15" customHeight="1">
      <c r="B120" s="12" t="inlineStr">
        <is>
          <t>Levered IRR</t>
        </is>
      </c>
      <c r="C120" s="53">
        <f>IRR(C114:M114)</f>
        <v/>
      </c>
    </row>
    <row r="121" ht="15" customHeight="1">
      <c r="B121" s="12" t="inlineStr">
        <is>
          <t>Levered equity multiple</t>
        </is>
      </c>
      <c r="C121" s="54">
        <f>SUM(D114:M114)/C74</f>
        <v/>
      </c>
    </row>
    <row r="122" ht="15" customHeight="1">
      <c r="B122" s="12" t="inlineStr">
        <is>
          <t>In-place NOI (Yr-1 $, 83.17% occ)</t>
        </is>
      </c>
      <c r="C122" s="51">
        <f>(C34*C35*C39)+(C45*C37+C46+C47)*C35-(C34*C35*C39)*C43-(C45*C37+C46+C47+C48)-((C34*C35*C39)+(C45*C37+C46+C47)*C35-(C34*C35*C39)*C43)*C49</f>
        <v/>
      </c>
    </row>
    <row r="123" ht="15" customHeight="1">
      <c r="B123" s="12" t="inlineStr">
        <is>
          <t>Going-in cap (in-place NOI ÷ price)</t>
        </is>
      </c>
      <c r="C123" s="50">
        <f>C122/C57</f>
        <v/>
      </c>
    </row>
    <row r="124" ht="15" customHeight="1">
      <c r="B124" s="12" t="inlineStr">
        <is>
          <t>Stabilized NOI (Yr 2)</t>
        </is>
      </c>
      <c r="C124" s="51">
        <f>E100</f>
        <v/>
      </c>
    </row>
    <row r="125" ht="15" customHeight="1">
      <c r="B125" s="12" t="inlineStr">
        <is>
          <t>Stabilized value (÷ exit cap)</t>
        </is>
      </c>
      <c r="C125" s="51">
        <f>C124/C64</f>
        <v/>
      </c>
    </row>
    <row r="126" ht="15" customHeight="1">
      <c r="B126" s="12" t="inlineStr">
        <is>
          <t>Stabilized yield on cost</t>
        </is>
      </c>
      <c r="C126" s="53">
        <f>C124/C77</f>
        <v/>
      </c>
    </row>
    <row r="127" ht="15" customHeight="1">
      <c r="B127" s="12" t="inlineStr">
        <is>
          <t>Value created (lease-up)</t>
        </is>
      </c>
      <c r="C127" s="51">
        <f>C125-C77</f>
        <v/>
      </c>
    </row>
    <row r="128" ht="15" customHeight="1">
      <c r="B128" s="12" t="inlineStr">
        <is>
          <t>Year-1 DSCR</t>
        </is>
      </c>
      <c r="C128" s="54">
        <f>D100/C73</f>
        <v/>
      </c>
    </row>
    <row r="129" ht="15" customHeight="1">
      <c r="B129" s="12" t="inlineStr">
        <is>
          <t>Year-1 debt yield</t>
        </is>
      </c>
      <c r="C129" s="53">
        <f>D100/C70</f>
        <v/>
      </c>
    </row>
    <row r="130"/>
    <row r="131">
      <c r="B131" s="11" t="inlineStr">
        <is>
          <t>PROFIT &amp; LOSS STATEMENT  —  In-place (Yr 1) vs. Stabilized (Yr 2)</t>
        </is>
      </c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3" t="n"/>
    </row>
    <row r="132" ht="15" customHeight="1">
      <c r="B132" s="15" t="inlineStr">
        <is>
          <t>$ / year</t>
        </is>
      </c>
      <c r="F132" s="87" t="inlineStr">
        <is>
          <t>In-place (Yr 1)</t>
        </is>
      </c>
      <c r="G132" s="14" t="n"/>
      <c r="H132" s="87" t="inlineStr">
        <is>
          <t>Stabilized (Yr 2)</t>
        </is>
      </c>
      <c r="I132" s="14" t="n"/>
      <c r="J132" s="87" t="inlineStr">
        <is>
          <t>Per SF (stab.)</t>
        </is>
      </c>
      <c r="K132" s="13" t="n"/>
      <c r="L132" s="13" t="n"/>
      <c r="M132" s="14" t="n"/>
    </row>
    <row r="133" ht="15" customHeight="1">
      <c r="B133" s="52" t="inlineStr">
        <is>
          <t>Base rental income</t>
        </is>
      </c>
      <c r="F133" s="45">
        <f>D88</f>
        <v/>
      </c>
      <c r="G133" s="14" t="n"/>
      <c r="H133" s="44">
        <f>E88</f>
        <v/>
      </c>
      <c r="I133" s="14" t="n"/>
      <c r="J133" s="88">
        <f>H133/C34</f>
        <v/>
      </c>
      <c r="K133" s="13" t="n"/>
      <c r="L133" s="13" t="n"/>
      <c r="M133" s="14" t="n"/>
    </row>
    <row r="134" ht="15" customHeight="1">
      <c r="B134" s="12" t="inlineStr">
        <is>
          <t>Expense reimbursements</t>
        </is>
      </c>
      <c r="F134" s="47">
        <f>D90</f>
        <v/>
      </c>
      <c r="G134" s="14" t="n"/>
      <c r="H134" s="47">
        <f>E90</f>
        <v/>
      </c>
      <c r="I134" s="14" t="n"/>
      <c r="J134" s="68">
        <f>H134/C34</f>
        <v/>
      </c>
      <c r="K134" s="13" t="n"/>
      <c r="L134" s="13" t="n"/>
      <c r="M134" s="14" t="n"/>
    </row>
    <row r="135" ht="15" customHeight="1">
      <c r="B135" s="12" t="inlineStr">
        <is>
          <t>Less: credit loss</t>
        </is>
      </c>
      <c r="F135" s="47">
        <f>D91</f>
        <v/>
      </c>
      <c r="G135" s="14" t="n"/>
      <c r="H135" s="47">
        <f>E91</f>
        <v/>
      </c>
      <c r="I135" s="14" t="n"/>
      <c r="J135" s="68">
        <f>H135/C34</f>
        <v/>
      </c>
      <c r="K135" s="13" t="n"/>
      <c r="L135" s="13" t="n"/>
      <c r="M135" s="14" t="n"/>
    </row>
    <row r="136" ht="15" customHeight="1">
      <c r="B136" s="43" t="inlineStr">
        <is>
          <t>Effective Gross Income</t>
        </is>
      </c>
      <c r="F136" s="45">
        <f>D92</f>
        <v/>
      </c>
      <c r="G136" s="14" t="n"/>
      <c r="H136" s="44">
        <f>E92</f>
        <v/>
      </c>
      <c r="I136" s="14" t="n"/>
      <c r="J136" s="88">
        <f>H136/C34</f>
        <v/>
      </c>
      <c r="K136" s="13" t="n"/>
      <c r="L136" s="13" t="n"/>
      <c r="M136" s="14" t="n"/>
    </row>
    <row r="137" ht="15" customHeight="1">
      <c r="B137" s="12" t="inlineStr">
        <is>
          <t>Real-estate taxes</t>
        </is>
      </c>
      <c r="F137" s="47">
        <f>-D94</f>
        <v/>
      </c>
      <c r="G137" s="14" t="n"/>
      <c r="H137" s="47">
        <f>-E94</f>
        <v/>
      </c>
      <c r="I137" s="14" t="n"/>
      <c r="J137" s="68">
        <f>H137/C34</f>
        <v/>
      </c>
      <c r="K137" s="13" t="n"/>
      <c r="L137" s="13" t="n"/>
      <c r="M137" s="14" t="n"/>
    </row>
    <row r="138" ht="15" customHeight="1">
      <c r="B138" s="12" t="inlineStr">
        <is>
          <t>Insurance</t>
        </is>
      </c>
      <c r="F138" s="47">
        <f>-D95</f>
        <v/>
      </c>
      <c r="G138" s="14" t="n"/>
      <c r="H138" s="47">
        <f>-E95</f>
        <v/>
      </c>
      <c r="I138" s="14" t="n"/>
      <c r="J138" s="68">
        <f>H138/C34</f>
        <v/>
      </c>
      <c r="K138" s="13" t="n"/>
      <c r="L138" s="13" t="n"/>
      <c r="M138" s="14" t="n"/>
    </row>
    <row r="139" ht="15" customHeight="1">
      <c r="B139" s="12" t="inlineStr">
        <is>
          <t>CAM</t>
        </is>
      </c>
      <c r="F139" s="47">
        <f>-D96</f>
        <v/>
      </c>
      <c r="G139" s="14" t="n"/>
      <c r="H139" s="47">
        <f>-E96</f>
        <v/>
      </c>
      <c r="I139" s="14" t="n"/>
      <c r="J139" s="68">
        <f>H139/C34</f>
        <v/>
      </c>
      <c r="K139" s="13" t="n"/>
      <c r="L139" s="13" t="n"/>
      <c r="M139" s="14" t="n"/>
    </row>
    <row r="140" ht="15" customHeight="1">
      <c r="B140" s="12" t="inlineStr">
        <is>
          <t>Repairs &amp; maintenance</t>
        </is>
      </c>
      <c r="F140" s="47">
        <f>-D97</f>
        <v/>
      </c>
      <c r="G140" s="14" t="n"/>
      <c r="H140" s="47">
        <f>-E97</f>
        <v/>
      </c>
      <c r="I140" s="14" t="n"/>
      <c r="J140" s="68">
        <f>H140/C34</f>
        <v/>
      </c>
      <c r="K140" s="13" t="n"/>
      <c r="L140" s="13" t="n"/>
      <c r="M140" s="14" t="n"/>
    </row>
    <row r="141" ht="15" customHeight="1">
      <c r="B141" s="12" t="inlineStr">
        <is>
          <t>Management fee</t>
        </is>
      </c>
      <c r="F141" s="47">
        <f>-D98</f>
        <v/>
      </c>
      <c r="G141" s="14" t="n"/>
      <c r="H141" s="47">
        <f>-E98</f>
        <v/>
      </c>
      <c r="I141" s="14" t="n"/>
      <c r="J141" s="68">
        <f>H141/C34</f>
        <v/>
      </c>
      <c r="K141" s="13" t="n"/>
      <c r="L141" s="13" t="n"/>
      <c r="M141" s="14" t="n"/>
    </row>
    <row r="142" ht="15" customHeight="1">
      <c r="B142" s="43" t="inlineStr">
        <is>
          <t>Net Operating Income</t>
        </is>
      </c>
      <c r="F142" s="45">
        <f>D100</f>
        <v/>
      </c>
      <c r="G142" s="14" t="n"/>
      <c r="H142" s="44">
        <f>E100</f>
        <v/>
      </c>
      <c r="I142" s="14" t="n"/>
      <c r="J142" s="88">
        <f>H142/C34</f>
        <v/>
      </c>
      <c r="K142" s="13" t="n"/>
      <c r="L142" s="13" t="n"/>
      <c r="M142" s="14" t="n"/>
    </row>
    <row r="143" ht="15" customHeight="1">
      <c r="B143" s="12" t="inlineStr">
        <is>
          <t>Replacement reserves</t>
        </is>
      </c>
      <c r="F143" s="47">
        <f>-D102</f>
        <v/>
      </c>
      <c r="G143" s="14" t="n"/>
      <c r="H143" s="47">
        <f>-E102</f>
        <v/>
      </c>
      <c r="I143" s="14" t="n"/>
      <c r="J143" s="68">
        <f>H143/C34</f>
        <v/>
      </c>
      <c r="K143" s="13" t="n"/>
      <c r="L143" s="13" t="n"/>
      <c r="M143" s="14" t="n"/>
    </row>
    <row r="144" ht="15" customHeight="1">
      <c r="B144" s="12" t="inlineStr">
        <is>
          <t>Leasing costs</t>
        </is>
      </c>
      <c r="F144" s="47">
        <f>-D103</f>
        <v/>
      </c>
      <c r="G144" s="14" t="n"/>
      <c r="H144" s="47">
        <f>-E103</f>
        <v/>
      </c>
      <c r="I144" s="14" t="n"/>
      <c r="J144" s="68">
        <f>H144/C34</f>
        <v/>
      </c>
      <c r="K144" s="13" t="n"/>
      <c r="L144" s="13" t="n"/>
      <c r="M144" s="14" t="n"/>
    </row>
    <row r="145" ht="15" customHeight="1">
      <c r="B145" s="43" t="inlineStr">
        <is>
          <t>Cash Flow Before Debt</t>
        </is>
      </c>
      <c r="F145" s="45">
        <f>D105</f>
        <v/>
      </c>
      <c r="G145" s="14" t="n"/>
      <c r="H145" s="44">
        <f>E105</f>
        <v/>
      </c>
      <c r="I145" s="14" t="n"/>
      <c r="J145" s="88">
        <f>H145/C34</f>
        <v/>
      </c>
      <c r="K145" s="13" t="n"/>
      <c r="L145" s="13" t="n"/>
      <c r="M145" s="14" t="n"/>
    </row>
    <row r="146" ht="15" customHeight="1">
      <c r="B146" s="12" t="inlineStr">
        <is>
          <t>Debt service</t>
        </is>
      </c>
      <c r="F146" s="47">
        <f>-C73</f>
        <v/>
      </c>
      <c r="G146" s="14" t="n"/>
      <c r="H146" s="47">
        <f>-C73</f>
        <v/>
      </c>
      <c r="I146" s="14" t="n"/>
      <c r="J146" s="68">
        <f>H146/C34</f>
        <v/>
      </c>
      <c r="K146" s="13" t="n"/>
      <c r="L146" s="13" t="n"/>
      <c r="M146" s="14" t="n"/>
    </row>
    <row r="147" ht="15" customHeight="1">
      <c r="B147" s="43" t="inlineStr">
        <is>
          <t>Cash Flow After Debt (levered)</t>
        </is>
      </c>
      <c r="F147" s="44">
        <f>F145-C73</f>
        <v/>
      </c>
      <c r="G147" s="14" t="n"/>
      <c r="H147" s="44">
        <f>H145-C73</f>
        <v/>
      </c>
      <c r="I147" s="14" t="n"/>
      <c r="J147" s="88">
        <f>H147/C34</f>
        <v/>
      </c>
      <c r="K147" s="13" t="n"/>
      <c r="L147" s="13" t="n"/>
      <c r="M147" s="14" t="n"/>
    </row>
  </sheetData>
  <mergeCells count="148">
    <mergeCell ref="D20:E20"/>
    <mergeCell ref="B2:M2"/>
    <mergeCell ref="D37:M37"/>
    <mergeCell ref="D12:M12"/>
    <mergeCell ref="D9:M9"/>
    <mergeCell ref="D39:M39"/>
    <mergeCell ref="D22:E22"/>
    <mergeCell ref="B44:M44"/>
    <mergeCell ref="J138:M138"/>
    <mergeCell ref="F143:G143"/>
    <mergeCell ref="H143:I143"/>
    <mergeCell ref="D14:M14"/>
    <mergeCell ref="B116:M116"/>
    <mergeCell ref="F133:G133"/>
    <mergeCell ref="H22:J22"/>
    <mergeCell ref="K27:M27"/>
    <mergeCell ref="H133:I133"/>
    <mergeCell ref="H19:J19"/>
    <mergeCell ref="F142:G142"/>
    <mergeCell ref="H142:I142"/>
    <mergeCell ref="F135:G135"/>
    <mergeCell ref="F144:G144"/>
    <mergeCell ref="J146:M146"/>
    <mergeCell ref="H144:I144"/>
    <mergeCell ref="D80:M80"/>
    <mergeCell ref="F134:G134"/>
    <mergeCell ref="H30:J30"/>
    <mergeCell ref="D57:M57"/>
    <mergeCell ref="H29:J29"/>
    <mergeCell ref="K25:M25"/>
    <mergeCell ref="D49:M49"/>
    <mergeCell ref="D41:M41"/>
    <mergeCell ref="D24:E24"/>
    <mergeCell ref="H139:I139"/>
    <mergeCell ref="J147:M147"/>
    <mergeCell ref="B56:M56"/>
    <mergeCell ref="D43:M43"/>
    <mergeCell ref="K20:M20"/>
    <mergeCell ref="D26:E26"/>
    <mergeCell ref="K29:M29"/>
    <mergeCell ref="H21:J21"/>
    <mergeCell ref="J137:M137"/>
    <mergeCell ref="D19:E19"/>
    <mergeCell ref="K22:M22"/>
    <mergeCell ref="B107:M107"/>
    <mergeCell ref="D74:M74"/>
    <mergeCell ref="J134:M134"/>
    <mergeCell ref="F146:G146"/>
    <mergeCell ref="H146:I146"/>
    <mergeCell ref="J139:M139"/>
    <mergeCell ref="D55:M55"/>
    <mergeCell ref="B82:M82"/>
    <mergeCell ref="D67:M67"/>
    <mergeCell ref="D5:M5"/>
    <mergeCell ref="D54:M54"/>
    <mergeCell ref="F138:G138"/>
    <mergeCell ref="H27:J27"/>
    <mergeCell ref="K23:M23"/>
    <mergeCell ref="D60:M60"/>
    <mergeCell ref="H132:I132"/>
    <mergeCell ref="J141:M141"/>
    <mergeCell ref="D46:M46"/>
    <mergeCell ref="D40:M40"/>
    <mergeCell ref="B4:M4"/>
    <mergeCell ref="H20:J20"/>
    <mergeCell ref="B62:M62"/>
    <mergeCell ref="D29:E29"/>
    <mergeCell ref="F136:G136"/>
    <mergeCell ref="D23:E23"/>
    <mergeCell ref="H136:I136"/>
    <mergeCell ref="D7:M7"/>
    <mergeCell ref="H145:I145"/>
    <mergeCell ref="D16:M16"/>
    <mergeCell ref="F147:G147"/>
    <mergeCell ref="H147:I147"/>
    <mergeCell ref="D58:M58"/>
    <mergeCell ref="D8:M8"/>
    <mergeCell ref="F137:G137"/>
    <mergeCell ref="H137:I137"/>
    <mergeCell ref="D42:M42"/>
    <mergeCell ref="B87:M87"/>
    <mergeCell ref="J145:M145"/>
    <mergeCell ref="F139:G139"/>
    <mergeCell ref="D35:M35"/>
    <mergeCell ref="D50:M50"/>
    <mergeCell ref="D27:E27"/>
    <mergeCell ref="D59:M59"/>
    <mergeCell ref="D34:M34"/>
    <mergeCell ref="H24:J24"/>
    <mergeCell ref="J140:M140"/>
    <mergeCell ref="D36:M36"/>
    <mergeCell ref="D45:M45"/>
    <mergeCell ref="F141:G141"/>
    <mergeCell ref="D28:E28"/>
    <mergeCell ref="D6:M6"/>
    <mergeCell ref="H26:J26"/>
    <mergeCell ref="D13:M13"/>
    <mergeCell ref="D25:E25"/>
    <mergeCell ref="K24:M24"/>
    <mergeCell ref="D30:E30"/>
    <mergeCell ref="D61:M61"/>
    <mergeCell ref="J132:M132"/>
    <mergeCell ref="D70:M70"/>
    <mergeCell ref="D48:M48"/>
    <mergeCell ref="K21:M21"/>
    <mergeCell ref="B93:M93"/>
    <mergeCell ref="K26:M26"/>
    <mergeCell ref="H141:I141"/>
    <mergeCell ref="H135:I135"/>
    <mergeCell ref="F132:G132"/>
    <mergeCell ref="J143:M143"/>
    <mergeCell ref="H134:I134"/>
    <mergeCell ref="B101:M101"/>
    <mergeCell ref="J133:M133"/>
    <mergeCell ref="D15:M15"/>
    <mergeCell ref="B1:M1"/>
    <mergeCell ref="J142:M142"/>
    <mergeCell ref="D64:M64"/>
    <mergeCell ref="D21:E21"/>
    <mergeCell ref="B69:M69"/>
    <mergeCell ref="B38:M38"/>
    <mergeCell ref="D79:M79"/>
    <mergeCell ref="J135:M135"/>
    <mergeCell ref="H28:J28"/>
    <mergeCell ref="J144:M144"/>
    <mergeCell ref="F145:G145"/>
    <mergeCell ref="D63:M63"/>
    <mergeCell ref="D10:M10"/>
    <mergeCell ref="K19:M19"/>
    <mergeCell ref="B33:M33"/>
    <mergeCell ref="D65:M65"/>
    <mergeCell ref="K28:M28"/>
    <mergeCell ref="B51:M51"/>
    <mergeCell ref="J136:M136"/>
    <mergeCell ref="H138:I138"/>
    <mergeCell ref="H23:J23"/>
    <mergeCell ref="D52:M52"/>
    <mergeCell ref="B32:M32"/>
    <mergeCell ref="F140:G140"/>
    <mergeCell ref="K30:M30"/>
    <mergeCell ref="H140:I140"/>
    <mergeCell ref="D11:M11"/>
    <mergeCell ref="D66:M66"/>
    <mergeCell ref="D53:M53"/>
    <mergeCell ref="B131:M131"/>
    <mergeCell ref="D47:M47"/>
    <mergeCell ref="B18:M18"/>
    <mergeCell ref="H25:J25"/>
  </mergeCells>
  <printOptions horizontalCentered="1"/>
  <pageMargins left="0.3" right="0.3" top="0.4" bottom="0.4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tabColor rgb="001F2D4E"/>
    <outlinePr summaryBelow="1" summaryRight="1"/>
    <pageSetUpPr fitToPage="1"/>
  </sheetPr>
  <dimension ref="A1:M142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.5" customWidth="1" min="1" max="1"/>
    <col width="34" customWidth="1" min="2" max="2"/>
    <col width="13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 ht="26" customHeight="1">
      <c r="B1" s="1" t="inlineStr">
        <is>
          <t>PUBLIX + STARBUCKS  ·  SALE-LEASEBACK  (acquire fee, lease back during entitlement)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3" t="n"/>
    </row>
    <row r="2" ht="31" customHeight="1">
      <c r="B2" s="4" t="inlineStr">
        <is>
          <t>2501–2519 E Sunrise Blvd   |   Folio 49-42-36-12-0060   |   REAL SUB LLC (Publix) · 36,822 SF · built 2011 · acquire the fee → Publix leases back → rent covers carry while you entitle the land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3" t="n"/>
    </row>
    <row r="3"/>
    <row r="4">
      <c r="B4" s="11" t="inlineStr">
        <is>
          <t>PROPERTY FACTS  —  ✅ BCPA / 🔶 SALE-LEASEBACK STRUCTURE (leaseback terms on the Assumptions tab)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3" t="n"/>
    </row>
    <row r="5" ht="15" customHeight="1">
      <c r="B5" s="70" t="inlineStr">
        <is>
          <t>Record owner (today)</t>
        </is>
      </c>
      <c r="D5" s="70" t="inlineStr">
        <is>
          <t>REAL SUB LLC (Publix Super Markets real-estate entity, Lakeland FL) — fee owner</t>
        </is>
      </c>
      <c r="E5" s="13" t="n"/>
      <c r="F5" s="13" t="n"/>
      <c r="G5" s="13" t="n"/>
      <c r="H5" s="13" t="n"/>
      <c r="I5" s="13" t="n"/>
      <c r="J5" s="13" t="n"/>
      <c r="K5" s="13" t="n"/>
      <c r="L5" s="13" t="n"/>
      <c r="M5" s="14" t="n"/>
    </row>
    <row r="6" ht="15" customHeight="1">
      <c r="B6" s="12" t="inlineStr">
        <is>
          <t>Deal structure</t>
        </is>
      </c>
      <c r="D6" s="12" t="inlineStr">
        <is>
          <t>Sale-leaseback: DAWN RE acquires the fee; Publix leases back and pays rent during the entitlement period, then vacates for redevelopment</t>
        </is>
      </c>
      <c r="E6" s="13" t="n"/>
      <c r="F6" s="13" t="n"/>
      <c r="G6" s="13" t="n"/>
      <c r="H6" s="13" t="n"/>
      <c r="I6" s="13" t="n"/>
      <c r="J6" s="13" t="n"/>
      <c r="K6" s="13" t="n"/>
      <c r="L6" s="13" t="n"/>
      <c r="M6" s="14" t="n"/>
    </row>
    <row r="7" ht="15" customHeight="1">
      <c r="B7" s="70" t="inlineStr">
        <is>
          <t>Building</t>
        </is>
      </c>
      <c r="D7" s="70" t="inlineStr">
        <is>
          <t>36,822 SF (Publix ~34,622 SF leaseback + Starbucks drive-thru pad ~2,200 SF)</t>
        </is>
      </c>
      <c r="E7" s="13" t="n"/>
      <c r="F7" s="13" t="n"/>
      <c r="G7" s="13" t="n"/>
      <c r="H7" s="13" t="n"/>
      <c r="I7" s="13" t="n"/>
      <c r="J7" s="13" t="n"/>
      <c r="K7" s="13" t="n"/>
      <c r="L7" s="13" t="n"/>
      <c r="M7" s="14" t="n"/>
    </row>
    <row r="8" ht="15" customHeight="1">
      <c r="B8" s="70" t="inlineStr">
        <is>
          <t>Land</t>
        </is>
      </c>
      <c r="D8" s="70" t="inlineStr">
        <is>
          <t>109,791 SF  (2.520 ac)</t>
        </is>
      </c>
      <c r="E8" s="13" t="n"/>
      <c r="F8" s="13" t="n"/>
      <c r="G8" s="13" t="n"/>
      <c r="H8" s="13" t="n"/>
      <c r="I8" s="13" t="n"/>
      <c r="J8" s="13" t="n"/>
      <c r="K8" s="13" t="n"/>
      <c r="L8" s="13" t="n"/>
      <c r="M8" s="14" t="n"/>
    </row>
    <row r="9" ht="15" customHeight="1">
      <c r="B9" s="70" t="inlineStr">
        <is>
          <t>Year built</t>
        </is>
      </c>
      <c r="D9" s="70" t="inlineStr">
        <is>
          <t>2011 (eff. 2012)</t>
        </is>
      </c>
      <c r="E9" s="13" t="n"/>
      <c r="F9" s="13" t="n"/>
      <c r="G9" s="13" t="n"/>
      <c r="H9" s="13" t="n"/>
      <c r="I9" s="13" t="n"/>
      <c r="J9" s="13" t="n"/>
      <c r="K9" s="13" t="n"/>
      <c r="L9" s="13" t="n"/>
      <c r="M9" s="14" t="n"/>
    </row>
    <row r="10" ht="15" customHeight="1">
      <c r="B10" s="70" t="inlineStr">
        <is>
          <t>Last sale</t>
        </is>
      </c>
      <c r="D10" s="70" t="inlineStr">
        <is>
          <t>03/14/2025  —  $25,000,000  (Trustee's Deed)  =  $679/SF bldg · $228/SF land</t>
        </is>
      </c>
      <c r="E10" s="13" t="n"/>
      <c r="F10" s="13" t="n"/>
      <c r="G10" s="13" t="n"/>
      <c r="H10" s="13" t="n"/>
      <c r="I10" s="13" t="n"/>
      <c r="J10" s="13" t="n"/>
      <c r="K10" s="13" t="n"/>
      <c r="L10" s="13" t="n"/>
      <c r="M10" s="14" t="n"/>
    </row>
    <row r="11" ht="15" customHeight="1">
      <c r="B11" s="70" t="inlineStr">
        <is>
          <t>2025 real-estate taxes</t>
        </is>
      </c>
      <c r="D11" s="70" t="inlineStr">
        <is>
          <t>$208,467   (2024: $217,404) — NNN, reimbursed by Publix during leaseback</t>
        </is>
      </c>
      <c r="E11" s="13" t="n"/>
      <c r="F11" s="13" t="n"/>
      <c r="G11" s="13" t="n"/>
      <c r="H11" s="13" t="n"/>
      <c r="I11" s="13" t="n"/>
      <c r="J11" s="13" t="n"/>
      <c r="K11" s="13" t="n"/>
      <c r="L11" s="13" t="n"/>
      <c r="M11" s="14" t="n"/>
    </row>
    <row r="12" ht="15" customHeight="1">
      <c r="B12" s="12" t="inlineStr">
        <is>
          <t>Leaseback economics</t>
        </is>
      </c>
      <c r="D12" s="12" t="inlineStr">
        <is>
          <t>Publix leaseback ~$22/SF NNN (bridge rate) + Starbucks pad ~$60/SF NNN; ~4-yr term (adjustable on Assumptions tab)</t>
        </is>
      </c>
      <c r="E12" s="13" t="n"/>
      <c r="F12" s="13" t="n"/>
      <c r="G12" s="13" t="n"/>
      <c r="H12" s="13" t="n"/>
      <c r="I12" s="13" t="n"/>
      <c r="J12" s="13" t="n"/>
      <c r="K12" s="13" t="n"/>
      <c r="L12" s="13" t="n"/>
      <c r="M12" s="14" t="n"/>
    </row>
    <row r="13" ht="15" customHeight="1">
      <c r="B13" s="12" t="inlineStr">
        <is>
          <t>Covered-land logic</t>
        </is>
      </c>
      <c r="D13" s="12" t="inlineStr">
        <is>
          <t>The leaseback rent covers the operating carry (Publix pays taxes/ins NNN) while the land is entitled; the play is the dirt, not the current yield</t>
        </is>
      </c>
      <c r="E13" s="13" t="n"/>
      <c r="F13" s="13" t="n"/>
      <c r="G13" s="13" t="n"/>
      <c r="H13" s="13" t="n"/>
      <c r="I13" s="13" t="n"/>
      <c r="J13" s="13" t="n"/>
      <c r="K13" s="13" t="n"/>
      <c r="L13" s="13" t="n"/>
      <c r="M13" s="14" t="n"/>
    </row>
    <row r="14" ht="27" customHeight="1">
      <c r="B14" s="12" t="inlineStr">
        <is>
          <t>Standalone return (below)</t>
        </is>
      </c>
      <c r="D14" s="12" t="inlineStr">
        <is>
          <t>NEGATIVE on a pure income basis by design — you pay land value ($25M) for income supporting only ~$13M. The return is the LAND, realized via the assemblage / redevelopment; the leaseback (DSCR ≈ 1.0x) simply covers the entitlement carry</t>
        </is>
      </c>
      <c r="E14" s="13" t="n"/>
      <c r="F14" s="13" t="n"/>
      <c r="G14" s="13" t="n"/>
      <c r="H14" s="13" t="n"/>
      <c r="I14" s="13" t="n"/>
      <c r="J14" s="13" t="n"/>
      <c r="K14" s="13" t="n"/>
      <c r="L14" s="13" t="n"/>
      <c r="M14" s="14" t="n"/>
    </row>
    <row r="15"/>
    <row r="16">
      <c r="B16" s="11" t="inlineStr">
        <is>
          <t>RENT ROLL  —  🔶 sale-leaseback terms (set on the Assumptions tab · Publix block)</t>
        </is>
      </c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3" t="n"/>
    </row>
    <row r="17" ht="15" customHeight="1">
      <c r="B17" s="15" t="inlineStr">
        <is>
          <t>Tenant / component</t>
        </is>
      </c>
      <c r="C17" s="13" t="n"/>
      <c r="D17" s="14" t="n"/>
      <c r="E17" s="15" t="inlineStr">
        <is>
          <t>Category</t>
        </is>
      </c>
      <c r="F17" s="14" t="n"/>
      <c r="G17" s="16" t="inlineStr">
        <is>
          <t>SF</t>
        </is>
      </c>
      <c r="H17" s="16" t="inlineStr">
        <is>
          <t>$/SF NNN</t>
        </is>
      </c>
      <c r="I17" s="16" t="inlineStr">
        <is>
          <t>Annual rent</t>
        </is>
      </c>
      <c r="J17" s="13" t="n"/>
      <c r="K17" s="14" t="n"/>
      <c r="L17" s="15" t="inlineStr">
        <is>
          <t>Note</t>
        </is>
      </c>
      <c r="M17" s="14" t="n"/>
    </row>
    <row r="18" ht="27" customHeight="1">
      <c r="B18" s="12" t="inlineStr">
        <is>
          <t>Publix (sale-leaseback)</t>
        </is>
      </c>
      <c r="C18" s="13" t="n"/>
      <c r="D18" s="14" t="n"/>
      <c r="E18" s="12" t="inlineStr">
        <is>
          <t>Grocery anchor (credit) — leases back during entitlement</t>
        </is>
      </c>
      <c r="F18" s="14" t="n"/>
      <c r="G18" s="64" t="n">
        <v>34622</v>
      </c>
      <c r="H18" s="78" t="n">
        <v>22</v>
      </c>
      <c r="I18" s="47">
        <f>G18*H18</f>
        <v/>
      </c>
      <c r="J18" s="13" t="n"/>
      <c r="K18" s="14" t="n"/>
      <c r="L18" s="12" t="inlineStr">
        <is>
          <t>leaseback NNN; terms on Assumptions tab</t>
        </is>
      </c>
      <c r="M18" s="14" t="n"/>
    </row>
    <row r="19" ht="15" customHeight="1">
      <c r="B19" s="12" t="inlineStr">
        <is>
          <t>Starbucks (drive-thru pad)</t>
        </is>
      </c>
      <c r="C19" s="13" t="n"/>
      <c r="D19" s="14" t="n"/>
      <c r="E19" s="12" t="inlineStr">
        <is>
          <t>QSR pad (credit)</t>
        </is>
      </c>
      <c r="F19" s="14" t="n"/>
      <c r="G19" s="64" t="n">
        <v>2200</v>
      </c>
      <c r="H19" s="78" t="n">
        <v>60</v>
      </c>
      <c r="I19" s="47">
        <f>G19*H19</f>
        <v/>
      </c>
      <c r="J19" s="13" t="n"/>
      <c r="K19" s="14" t="n"/>
      <c r="L19" s="12" t="inlineStr">
        <is>
          <t>pad NNN; terms on Assumptions tab</t>
        </is>
      </c>
      <c r="M19" s="14" t="n"/>
    </row>
    <row r="20" ht="27" customHeight="1">
      <c r="B20" s="19" t="inlineStr">
        <is>
          <t>TOTAL / WTD AVG</t>
        </is>
      </c>
      <c r="C20" s="13" t="n"/>
      <c r="D20" s="14" t="n"/>
      <c r="E20" s="81" t="inlineStr"/>
      <c r="F20" s="14" t="n"/>
      <c r="G20" s="66">
        <f>SUM(G18:G19)</f>
        <v/>
      </c>
      <c r="H20" s="82">
        <f>IFERROR(SUM(I18:I19)/SUM(G18:G19),0)</f>
        <v/>
      </c>
      <c r="I20" s="20">
        <f>SUM(I18:I19)</f>
        <v/>
      </c>
      <c r="J20" s="13" t="n"/>
      <c r="K20" s="14" t="n"/>
      <c r="L20" s="19" t="inlineStr">
        <is>
          <t>100% occ · credit tenants · sale-leaseback</t>
        </is>
      </c>
      <c r="M20" s="14" t="n"/>
    </row>
    <row r="21"/>
    <row r="22">
      <c r="B22" s="11" t="inlineStr">
        <is>
          <t>ASSUMPTIONS  —  🔵 blue = hardcoded inputs</t>
        </is>
      </c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3" t="n"/>
    </row>
    <row r="23" ht="15" customHeight="1">
      <c r="B23" s="15" t="inlineStr">
        <is>
          <t>Property &amp; revenue</t>
        </is>
      </c>
      <c r="C23" s="13" t="n"/>
      <c r="D23" s="13" t="n"/>
      <c r="E23" s="13" t="n"/>
      <c r="F23" s="13" t="n"/>
      <c r="G23" s="13" t="n"/>
      <c r="H23" s="13" t="n"/>
      <c r="I23" s="13" t="n"/>
      <c r="J23" s="13" t="n"/>
      <c r="K23" s="13" t="n"/>
      <c r="L23" s="13" t="n"/>
      <c r="M23" s="14" t="n"/>
    </row>
    <row r="24" ht="15" customHeight="1">
      <c r="B24" s="12" t="inlineStr">
        <is>
          <t>Rentable SF</t>
        </is>
      </c>
      <c r="C24" s="77" t="n">
        <v>36822</v>
      </c>
      <c r="D24" s="22" t="inlineStr">
        <is>
          <t>✅ BCPA (36,822 SF)</t>
        </is>
      </c>
      <c r="E24" s="13" t="n"/>
      <c r="F24" s="13" t="n"/>
      <c r="G24" s="13" t="n"/>
      <c r="H24" s="13" t="n"/>
      <c r="I24" s="13" t="n"/>
      <c r="J24" s="13" t="n"/>
      <c r="K24" s="13" t="n"/>
      <c r="L24" s="13" t="n"/>
      <c r="M24" s="14" t="n"/>
    </row>
    <row r="25" ht="15" customHeight="1">
      <c r="B25" s="12" t="inlineStr">
        <is>
          <t>Land (SF)</t>
        </is>
      </c>
      <c r="C25" s="25">
        <f>'Assumptions'!C64</f>
        <v/>
      </c>
      <c r="D25" s="22" t="inlineStr">
        <is>
          <t>🟢 Assumptions</t>
        </is>
      </c>
      <c r="E25" s="13" t="n"/>
      <c r="F25" s="13" t="n"/>
      <c r="G25" s="13" t="n"/>
      <c r="H25" s="13" t="n"/>
      <c r="I25" s="13" t="n"/>
      <c r="J25" s="13" t="n"/>
      <c r="K25" s="13" t="n"/>
      <c r="L25" s="13" t="n"/>
      <c r="M25" s="14" t="n"/>
    </row>
    <row r="26" ht="15" customHeight="1">
      <c r="B26" s="12" t="inlineStr">
        <is>
          <t>In-place occupancy</t>
        </is>
      </c>
      <c r="C26" s="18">
        <f>'Assumptions'!C71</f>
        <v/>
      </c>
      <c r="D26" s="22" t="inlineStr">
        <is>
          <t>🟢 Assumptions</t>
        </is>
      </c>
      <c r="E26" s="13" t="n"/>
      <c r="F26" s="13" t="n"/>
      <c r="G26" s="13" t="n"/>
      <c r="H26" s="13" t="n"/>
      <c r="I26" s="13" t="n"/>
      <c r="J26" s="13" t="n"/>
      <c r="K26" s="13" t="n"/>
      <c r="L26" s="13" t="n"/>
      <c r="M26" s="14" t="n"/>
    </row>
    <row r="27" ht="15" customHeight="1">
      <c r="B27" s="12" t="inlineStr">
        <is>
          <t>Stabilized occupancy</t>
        </is>
      </c>
      <c r="C27" s="18">
        <f>'Assumptions'!C72</f>
        <v/>
      </c>
      <c r="D27" s="22" t="inlineStr">
        <is>
          <t>🟢 Assumptions</t>
        </is>
      </c>
      <c r="E27" s="13" t="n"/>
      <c r="F27" s="13" t="n"/>
      <c r="G27" s="13" t="n"/>
      <c r="H27" s="13" t="n"/>
      <c r="I27" s="13" t="n"/>
      <c r="J27" s="13" t="n"/>
      <c r="K27" s="13" t="n"/>
      <c r="L27" s="13" t="n"/>
      <c r="M27" s="14" t="n"/>
    </row>
    <row r="28" ht="15" customHeight="1">
      <c r="B28" s="12" t="inlineStr">
        <is>
          <t>Blended NNN rent ($/SF) — leaseback + pad</t>
        </is>
      </c>
      <c r="C28" s="26">
        <f>('Assumptions'!C67*'Assumptions'!C66+'Assumptions'!C69*'Assumptions'!C68)/C24</f>
        <v/>
      </c>
      <c r="D28" s="22" t="inlineStr">
        <is>
          <t>🟢 computed from Publix leaseback + Starbucks pad (Assumptions)</t>
        </is>
      </c>
      <c r="E28" s="13" t="n"/>
      <c r="F28" s="13" t="n"/>
      <c r="G28" s="13" t="n"/>
      <c r="H28" s="13" t="n"/>
      <c r="I28" s="13" t="n"/>
      <c r="J28" s="13" t="n"/>
      <c r="K28" s="13" t="n"/>
      <c r="L28" s="13" t="n"/>
      <c r="M28" s="14" t="n"/>
    </row>
    <row r="29" ht="15" customHeight="1">
      <c r="B29" s="12" t="inlineStr">
        <is>
          <t>Rent growth</t>
        </is>
      </c>
      <c r="C29" s="84" t="n">
        <v>0.02</v>
      </c>
      <c r="D29" s="22" t="inlineStr">
        <is>
          <t>🔶</t>
        </is>
      </c>
      <c r="E29" s="13" t="n"/>
      <c r="F29" s="13" t="n"/>
      <c r="G29" s="13" t="n"/>
      <c r="H29" s="13" t="n"/>
      <c r="I29" s="13" t="n"/>
      <c r="J29" s="13" t="n"/>
      <c r="K29" s="13" t="n"/>
      <c r="L29" s="13" t="n"/>
      <c r="M29" s="14" t="n"/>
    </row>
    <row r="30" ht="15" customHeight="1">
      <c r="B30" s="12" t="inlineStr">
        <is>
          <t>Credit &amp; collection loss</t>
        </is>
      </c>
      <c r="C30" s="84" t="n">
        <v>0.01</v>
      </c>
      <c r="D30" s="22" t="inlineStr">
        <is>
          <t>🔶</t>
        </is>
      </c>
      <c r="E30" s="13" t="n"/>
      <c r="F30" s="13" t="n"/>
      <c r="G30" s="13" t="n"/>
      <c r="H30" s="13" t="n"/>
      <c r="I30" s="13" t="n"/>
      <c r="J30" s="13" t="n"/>
      <c r="K30" s="13" t="n"/>
      <c r="L30" s="13" t="n"/>
      <c r="M30" s="14" t="n"/>
    </row>
    <row r="31" ht="15" customHeight="1">
      <c r="B31" s="12" t="inlineStr">
        <is>
          <t>Effective millage</t>
        </is>
      </c>
      <c r="C31" s="83" t="n">
        <v>0.0191</v>
      </c>
      <c r="D31" s="22" t="inlineStr">
        <is>
          <t>✅ 2025</t>
        </is>
      </c>
      <c r="E31" s="13" t="n"/>
      <c r="F31" s="13" t="n"/>
      <c r="G31" s="13" t="n"/>
      <c r="H31" s="13" t="n"/>
      <c r="I31" s="13" t="n"/>
      <c r="J31" s="13" t="n"/>
      <c r="K31" s="13" t="n"/>
      <c r="L31" s="13" t="n"/>
      <c r="M31" s="14" t="n"/>
    </row>
    <row r="32" ht="15" customHeight="1">
      <c r="B32" s="15" t="inlineStr">
        <is>
          <t>Operating expenses</t>
        </is>
      </c>
      <c r="C32" s="13" t="n"/>
      <c r="D32" s="13" t="n"/>
      <c r="E32" s="13" t="n"/>
      <c r="F32" s="13" t="n"/>
      <c r="G32" s="13" t="n"/>
      <c r="H32" s="13" t="n"/>
      <c r="I32" s="13" t="n"/>
      <c r="J32" s="13" t="n"/>
      <c r="K32" s="13" t="n"/>
      <c r="L32" s="13" t="n"/>
      <c r="M32" s="14" t="n"/>
    </row>
    <row r="33" ht="15" customHeight="1">
      <c r="B33" s="12" t="inlineStr">
        <is>
          <t>Insurance ($/yr)</t>
        </is>
      </c>
      <c r="C33" s="23">
        <f>'Assumptions'!C73</f>
        <v/>
      </c>
      <c r="D33" s="22" t="inlineStr">
        <is>
          <t>🟢 Assumptions</t>
        </is>
      </c>
      <c r="E33" s="13" t="n"/>
      <c r="F33" s="13" t="n"/>
      <c r="G33" s="13" t="n"/>
      <c r="H33" s="13" t="n"/>
      <c r="I33" s="13" t="n"/>
      <c r="J33" s="13" t="n"/>
      <c r="K33" s="13" t="n"/>
      <c r="L33" s="13" t="n"/>
      <c r="M33" s="14" t="n"/>
    </row>
    <row r="34" ht="15" customHeight="1">
      <c r="B34" s="12" t="inlineStr">
        <is>
          <t>CAM ($/yr, recoverable)</t>
        </is>
      </c>
      <c r="C34" s="23">
        <f>'Assumptions'!C74</f>
        <v/>
      </c>
      <c r="D34" s="22" t="inlineStr">
        <is>
          <t>🟢 Assumptions</t>
        </is>
      </c>
      <c r="E34" s="13" t="n"/>
      <c r="F34" s="13" t="n"/>
      <c r="G34" s="13" t="n"/>
      <c r="H34" s="13" t="n"/>
      <c r="I34" s="13" t="n"/>
      <c r="J34" s="13" t="n"/>
      <c r="K34" s="13" t="n"/>
      <c r="L34" s="13" t="n"/>
      <c r="M34" s="14" t="n"/>
    </row>
    <row r="35" ht="15" customHeight="1">
      <c r="B35" s="12" t="inlineStr">
        <is>
          <t>Repairs &amp; maintenance ($/yr)</t>
        </is>
      </c>
      <c r="C35" s="23">
        <f>'Assumptions'!C75</f>
        <v/>
      </c>
      <c r="D35" s="22" t="inlineStr">
        <is>
          <t>🟢 Assumptions</t>
        </is>
      </c>
      <c r="E35" s="13" t="n"/>
      <c r="F35" s="13" t="n"/>
      <c r="G35" s="13" t="n"/>
      <c r="H35" s="13" t="n"/>
      <c r="I35" s="13" t="n"/>
      <c r="J35" s="13" t="n"/>
      <c r="K35" s="13" t="n"/>
      <c r="L35" s="13" t="n"/>
      <c r="M35" s="14" t="n"/>
    </row>
    <row r="36" ht="15" customHeight="1">
      <c r="B36" s="12" t="inlineStr">
        <is>
          <t>Management fee (% EGR)</t>
        </is>
      </c>
      <c r="C36" s="18">
        <f>'Assumptions'!C76</f>
        <v/>
      </c>
      <c r="D36" s="22" t="inlineStr">
        <is>
          <t>🟢 Assumptions</t>
        </is>
      </c>
      <c r="E36" s="13" t="n"/>
      <c r="F36" s="13" t="n"/>
      <c r="G36" s="13" t="n"/>
      <c r="H36" s="13" t="n"/>
      <c r="I36" s="13" t="n"/>
      <c r="J36" s="13" t="n"/>
      <c r="K36" s="13" t="n"/>
      <c r="L36" s="13" t="n"/>
      <c r="M36" s="14" t="n"/>
    </row>
    <row r="37" ht="15" customHeight="1">
      <c r="B37" s="12" t="inlineStr">
        <is>
          <t>Expense growth</t>
        </is>
      </c>
      <c r="C37" s="84" t="n">
        <v>0.03</v>
      </c>
      <c r="D37" s="22" t="inlineStr">
        <is>
          <t>🔶</t>
        </is>
      </c>
      <c r="E37" s="13" t="n"/>
      <c r="F37" s="13" t="n"/>
      <c r="G37" s="13" t="n"/>
      <c r="H37" s="13" t="n"/>
      <c r="I37" s="13" t="n"/>
      <c r="J37" s="13" t="n"/>
      <c r="K37" s="13" t="n"/>
      <c r="L37" s="13" t="n"/>
      <c r="M37" s="14" t="n"/>
    </row>
    <row r="38" ht="15" customHeight="1">
      <c r="B38" s="15" t="inlineStr">
        <is>
          <t>Capital</t>
        </is>
      </c>
      <c r="C38" s="13" t="n"/>
      <c r="D38" s="13" t="n"/>
      <c r="E38" s="13" t="n"/>
      <c r="F38" s="13" t="n"/>
      <c r="G38" s="13" t="n"/>
      <c r="H38" s="13" t="n"/>
      <c r="I38" s="13" t="n"/>
      <c r="J38" s="13" t="n"/>
      <c r="K38" s="13" t="n"/>
      <c r="L38" s="13" t="n"/>
      <c r="M38" s="14" t="n"/>
    </row>
    <row r="39" ht="15" customHeight="1">
      <c r="B39" s="12" t="inlineStr">
        <is>
          <t>Tenant improvements ($/SF)</t>
        </is>
      </c>
      <c r="C39" s="78" t="n">
        <v>0</v>
      </c>
      <c r="D39" s="22" t="inlineStr">
        <is>
          <t>🔶 on leased-up SF</t>
        </is>
      </c>
      <c r="E39" s="13" t="n"/>
      <c r="F39" s="13" t="n"/>
      <c r="G39" s="13" t="n"/>
      <c r="H39" s="13" t="n"/>
      <c r="I39" s="13" t="n"/>
      <c r="J39" s="13" t="n"/>
      <c r="K39" s="13" t="n"/>
      <c r="L39" s="13" t="n"/>
      <c r="M39" s="14" t="n"/>
    </row>
    <row r="40" ht="15" customHeight="1">
      <c r="B40" s="12" t="inlineStr">
        <is>
          <t>Leasing commissions ($/SF)</t>
        </is>
      </c>
      <c r="C40" s="78" t="n">
        <v>0</v>
      </c>
      <c r="D40" s="22" t="inlineStr">
        <is>
          <t>🔶 on leased-up SF</t>
        </is>
      </c>
      <c r="E40" s="13" t="n"/>
      <c r="F40" s="13" t="n"/>
      <c r="G40" s="13" t="n"/>
      <c r="H40" s="13" t="n"/>
      <c r="I40" s="13" t="n"/>
      <c r="J40" s="13" t="n"/>
      <c r="K40" s="13" t="n"/>
      <c r="L40" s="13" t="n"/>
      <c r="M40" s="14" t="n"/>
    </row>
    <row r="41" ht="15" customHeight="1">
      <c r="B41" s="12" t="inlineStr">
        <is>
          <t>Replacement reserves ($/SF/yr)</t>
        </is>
      </c>
      <c r="C41" s="78" t="n">
        <v>0.15</v>
      </c>
      <c r="D41" s="22" t="inlineStr">
        <is>
          <t>🔶</t>
        </is>
      </c>
      <c r="E41" s="13" t="n"/>
      <c r="F41" s="13" t="n"/>
      <c r="G41" s="13" t="n"/>
      <c r="H41" s="13" t="n"/>
      <c r="I41" s="13" t="n"/>
      <c r="J41" s="13" t="n"/>
      <c r="K41" s="13" t="n"/>
      <c r="L41" s="13" t="n"/>
      <c r="M41" s="14" t="n"/>
    </row>
    <row r="42" ht="15" customHeight="1">
      <c r="B42" s="12" t="inlineStr">
        <is>
          <t>Rollover leasing reserve ($/SF/yr)</t>
        </is>
      </c>
      <c r="C42" s="78" t="n">
        <v>0.15</v>
      </c>
      <c r="D42" s="22" t="inlineStr">
        <is>
          <t>🔶</t>
        </is>
      </c>
      <c r="E42" s="13" t="n"/>
      <c r="F42" s="13" t="n"/>
      <c r="G42" s="13" t="n"/>
      <c r="H42" s="13" t="n"/>
      <c r="I42" s="13" t="n"/>
      <c r="J42" s="13" t="n"/>
      <c r="K42" s="13" t="n"/>
      <c r="L42" s="13" t="n"/>
      <c r="M42" s="14" t="n"/>
    </row>
    <row r="43" ht="15" customHeight="1">
      <c r="B43" s="15" t="inlineStr">
        <is>
          <t>Acquisition &amp; financing</t>
        </is>
      </c>
      <c r="C43" s="13" t="n"/>
      <c r="D43" s="13" t="n"/>
      <c r="E43" s="13" t="n"/>
      <c r="F43" s="13" t="n"/>
      <c r="G43" s="13" t="n"/>
      <c r="H43" s="13" t="n"/>
      <c r="I43" s="13" t="n"/>
      <c r="J43" s="13" t="n"/>
      <c r="K43" s="13" t="n"/>
      <c r="L43" s="13" t="n"/>
      <c r="M43" s="14" t="n"/>
    </row>
    <row r="44" ht="15" customHeight="1">
      <c r="B44" s="12" t="inlineStr">
        <is>
          <t>Purchase price / basis</t>
        </is>
      </c>
      <c r="C44" s="23">
        <f>'Assumptions'!C63</f>
        <v/>
      </c>
      <c r="D44" s="22" t="inlineStr">
        <is>
          <t>🟢 Assumptions</t>
        </is>
      </c>
      <c r="E44" s="13" t="n"/>
      <c r="F44" s="13" t="n"/>
      <c r="G44" s="13" t="n"/>
      <c r="H44" s="13" t="n"/>
      <c r="I44" s="13" t="n"/>
      <c r="J44" s="13" t="n"/>
      <c r="K44" s="13" t="n"/>
      <c r="L44" s="13" t="n"/>
      <c r="M44" s="14" t="n"/>
    </row>
    <row r="45" ht="15" customHeight="1">
      <c r="B45" s="12" t="inlineStr">
        <is>
          <t>Closing &amp; acq costs (% price)</t>
        </is>
      </c>
      <c r="C45" s="84" t="n">
        <v>0.02</v>
      </c>
      <c r="D45" s="22" t="inlineStr">
        <is>
          <t>🔶</t>
        </is>
      </c>
      <c r="E45" s="13" t="n"/>
      <c r="F45" s="13" t="n"/>
      <c r="G45" s="13" t="n"/>
      <c r="H45" s="13" t="n"/>
      <c r="I45" s="13" t="n"/>
      <c r="J45" s="13" t="n"/>
      <c r="K45" s="13" t="n"/>
      <c r="L45" s="13" t="n"/>
      <c r="M45" s="14" t="n"/>
    </row>
    <row r="46" ht="15" customHeight="1">
      <c r="B46" s="12" t="inlineStr">
        <is>
          <t>Senior loan LTV</t>
        </is>
      </c>
      <c r="C46" s="18">
        <f>'Assumptions'!C79</f>
        <v/>
      </c>
      <c r="D46" s="22" t="inlineStr">
        <is>
          <t>🟢 Assumptions</t>
        </is>
      </c>
      <c r="E46" s="13" t="n"/>
      <c r="F46" s="13" t="n"/>
      <c r="G46" s="13" t="n"/>
      <c r="H46" s="13" t="n"/>
      <c r="I46" s="13" t="n"/>
      <c r="J46" s="13" t="n"/>
      <c r="K46" s="13" t="n"/>
      <c r="L46" s="13" t="n"/>
      <c r="M46" s="14" t="n"/>
    </row>
    <row r="47" ht="15" customHeight="1">
      <c r="B47" s="12" t="inlineStr">
        <is>
          <t>Senior loan rate</t>
        </is>
      </c>
      <c r="C47" s="24">
        <f>'Assumptions'!C80</f>
        <v/>
      </c>
      <c r="D47" s="22" t="inlineStr">
        <is>
          <t>🟢 Assumptions</t>
        </is>
      </c>
      <c r="E47" s="13" t="n"/>
      <c r="F47" s="13" t="n"/>
      <c r="G47" s="13" t="n"/>
      <c r="H47" s="13" t="n"/>
      <c r="I47" s="13" t="n"/>
      <c r="J47" s="13" t="n"/>
      <c r="K47" s="13" t="n"/>
      <c r="L47" s="13" t="n"/>
      <c r="M47" s="14" t="n"/>
    </row>
    <row r="48" ht="15" customHeight="1">
      <c r="B48" s="12" t="inlineStr">
        <is>
          <t>Senior loan amortization (yrs)</t>
        </is>
      </c>
      <c r="C48" s="86" t="n">
        <v>30</v>
      </c>
      <c r="D48" s="22" t="inlineStr">
        <is>
          <t>🔶</t>
        </is>
      </c>
      <c r="E48" s="13" t="n"/>
      <c r="F48" s="13" t="n"/>
      <c r="G48" s="13" t="n"/>
      <c r="H48" s="13" t="n"/>
      <c r="I48" s="13" t="n"/>
      <c r="J48" s="13" t="n"/>
      <c r="K48" s="13" t="n"/>
      <c r="L48" s="13" t="n"/>
      <c r="M48" s="14" t="n"/>
    </row>
    <row r="49" ht="15" customHeight="1">
      <c r="B49" s="15" t="inlineStr">
        <is>
          <t>Valuation &amp; hold</t>
        </is>
      </c>
      <c r="C49" s="13" t="n"/>
      <c r="D49" s="13" t="n"/>
      <c r="E49" s="13" t="n"/>
      <c r="F49" s="13" t="n"/>
      <c r="G49" s="13" t="n"/>
      <c r="H49" s="13" t="n"/>
      <c r="I49" s="13" t="n"/>
      <c r="J49" s="13" t="n"/>
      <c r="K49" s="13" t="n"/>
      <c r="L49" s="13" t="n"/>
      <c r="M49" s="14" t="n"/>
    </row>
    <row r="50" ht="15" customHeight="1">
      <c r="B50" s="12" t="inlineStr">
        <is>
          <t>Going-in cap</t>
        </is>
      </c>
      <c r="C50" s="24">
        <f>'Assumptions'!C77</f>
        <v/>
      </c>
      <c r="D50" s="22" t="inlineStr">
        <is>
          <t>🟢 Assumptions</t>
        </is>
      </c>
      <c r="E50" s="13" t="n"/>
      <c r="F50" s="13" t="n"/>
      <c r="G50" s="13" t="n"/>
      <c r="H50" s="13" t="n"/>
      <c r="I50" s="13" t="n"/>
      <c r="J50" s="13" t="n"/>
      <c r="K50" s="13" t="n"/>
      <c r="L50" s="13" t="n"/>
      <c r="M50" s="14" t="n"/>
    </row>
    <row r="51" ht="15" customHeight="1">
      <c r="B51" s="12" t="inlineStr">
        <is>
          <t>Exit / reversion cap</t>
        </is>
      </c>
      <c r="C51" s="24">
        <f>'Assumptions'!C78</f>
        <v/>
      </c>
      <c r="D51" s="22" t="inlineStr">
        <is>
          <t>🟢 Assumptions</t>
        </is>
      </c>
      <c r="E51" s="13" t="n"/>
      <c r="F51" s="13" t="n"/>
      <c r="G51" s="13" t="n"/>
      <c r="H51" s="13" t="n"/>
      <c r="I51" s="13" t="n"/>
      <c r="J51" s="13" t="n"/>
      <c r="K51" s="13" t="n"/>
      <c r="L51" s="13" t="n"/>
      <c r="M51" s="14" t="n"/>
    </row>
    <row r="52" ht="15" customHeight="1">
      <c r="B52" s="12" t="inlineStr">
        <is>
          <t>Cost of sale at exit</t>
        </is>
      </c>
      <c r="C52" s="84" t="n">
        <v>0.02</v>
      </c>
      <c r="D52" s="22" t="inlineStr">
        <is>
          <t>🔶</t>
        </is>
      </c>
      <c r="E52" s="13" t="n"/>
      <c r="F52" s="13" t="n"/>
      <c r="G52" s="13" t="n"/>
      <c r="H52" s="13" t="n"/>
      <c r="I52" s="13" t="n"/>
      <c r="J52" s="13" t="n"/>
      <c r="K52" s="13" t="n"/>
      <c r="L52" s="13" t="n"/>
      <c r="M52" s="14" t="n"/>
    </row>
    <row r="53" ht="15" customHeight="1">
      <c r="B53" s="12" t="inlineStr">
        <is>
          <t>Hold period (yrs)</t>
        </is>
      </c>
      <c r="C53" s="86" t="n">
        <v>5</v>
      </c>
      <c r="D53" s="22" t="inlineStr">
        <is>
          <t>🔶</t>
        </is>
      </c>
      <c r="E53" s="13" t="n"/>
      <c r="F53" s="13" t="n"/>
      <c r="G53" s="13" t="n"/>
      <c r="H53" s="13" t="n"/>
      <c r="I53" s="13" t="n"/>
      <c r="J53" s="13" t="n"/>
      <c r="K53" s="13" t="n"/>
      <c r="L53" s="13" t="n"/>
      <c r="M53" s="14" t="n"/>
    </row>
    <row r="54" ht="15" customHeight="1">
      <c r="B54" s="12" t="inlineStr">
        <is>
          <t>Discount rate (NPV)</t>
        </is>
      </c>
      <c r="C54" s="84" t="n">
        <v>0.07000000000000001</v>
      </c>
      <c r="D54" s="22" t="inlineStr">
        <is>
          <t>🔶</t>
        </is>
      </c>
      <c r="E54" s="13" t="n"/>
      <c r="F54" s="13" t="n"/>
      <c r="G54" s="13" t="n"/>
      <c r="H54" s="13" t="n"/>
      <c r="I54" s="13" t="n"/>
      <c r="J54" s="13" t="n"/>
      <c r="K54" s="13" t="n"/>
      <c r="L54" s="13" t="n"/>
      <c r="M54" s="14" t="n"/>
    </row>
    <row r="55" ht="15" customHeight="1">
      <c r="B55" s="12" t="inlineStr">
        <is>
          <t>Land value ($/SF)</t>
        </is>
      </c>
      <c r="C55" s="26">
        <f>'Assumptions'!C65</f>
        <v/>
      </c>
      <c r="D55" s="22" t="inlineStr">
        <is>
          <t>🟢 Assumptions</t>
        </is>
      </c>
      <c r="E55" s="13" t="n"/>
      <c r="F55" s="13" t="n"/>
      <c r="G55" s="13" t="n"/>
      <c r="H55" s="13" t="n"/>
      <c r="I55" s="13" t="n"/>
      <c r="J55" s="13" t="n"/>
      <c r="K55" s="13" t="n"/>
      <c r="L55" s="13" t="n"/>
      <c r="M55" s="14" t="n"/>
    </row>
    <row r="56"/>
    <row r="57">
      <c r="B57" s="11" t="inlineStr">
        <is>
          <t>DERIVED VALUES  &amp;  DEBT SIZING</t>
        </is>
      </c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3" t="n"/>
    </row>
    <row r="58" ht="15" customHeight="1">
      <c r="B58" s="12" t="inlineStr">
        <is>
          <t>Senior loan amount</t>
        </is>
      </c>
      <c r="C58" s="51">
        <f>C44*C46</f>
        <v/>
      </c>
      <c r="D58" s="22" t="inlineStr">
        <is>
          <t>price × LTV</t>
        </is>
      </c>
      <c r="E58" s="13" t="n"/>
      <c r="F58" s="13" t="n"/>
      <c r="G58" s="13" t="n"/>
      <c r="H58" s="13" t="n"/>
      <c r="I58" s="13" t="n"/>
      <c r="J58" s="13" t="n"/>
      <c r="K58" s="13" t="n"/>
      <c r="L58" s="13" t="n"/>
      <c r="M58" s="14" t="n"/>
    </row>
    <row r="59" ht="15" customHeight="1">
      <c r="B59" s="12" t="inlineStr">
        <is>
          <t>Monthly rate</t>
        </is>
      </c>
      <c r="C59" s="50">
        <f>C47/12</f>
        <v/>
      </c>
    </row>
    <row r="60" ht="15" customHeight="1">
      <c r="B60" s="12" t="inlineStr">
        <is>
          <t>Annual debt service</t>
        </is>
      </c>
      <c r="C60" s="51">
        <f>C58*(C59/(1-(1+C59)^(-C48*12)))*12</f>
        <v/>
      </c>
    </row>
    <row r="61" ht="15" customHeight="1">
      <c r="B61" s="12" t="inlineStr">
        <is>
          <t>Equity at acquisition</t>
        </is>
      </c>
      <c r="C61" s="51">
        <f>C44*(1+C45)-C58</f>
        <v/>
      </c>
    </row>
    <row r="62" ht="15" customHeight="1">
      <c r="B62" s="12" t="inlineStr">
        <is>
          <t>Absorption SF (lease-up)</t>
        </is>
      </c>
      <c r="C62" s="64">
        <f>C24*(C27-C26)</f>
        <v/>
      </c>
    </row>
    <row r="63" ht="15" customHeight="1">
      <c r="B63" s="12" t="inlineStr">
        <is>
          <t>Initial leasing capital</t>
        </is>
      </c>
      <c r="C63" s="51">
        <f>C62*(C39+C40)</f>
        <v/>
      </c>
    </row>
    <row r="64" ht="15" customHeight="1">
      <c r="B64" s="12" t="inlineStr">
        <is>
          <t>Total cost basis</t>
        </is>
      </c>
      <c r="C64" s="51">
        <f>C44*(1+C45)+C63</f>
        <v/>
      </c>
    </row>
    <row r="65" ht="15" customHeight="1">
      <c r="B65" s="12" t="inlineStr">
        <is>
          <t>Total equity required</t>
        </is>
      </c>
      <c r="C65" s="51">
        <f>C64-C58</f>
        <v/>
      </c>
    </row>
    <row r="66" ht="15" customHeight="1">
      <c r="B66" s="12" t="inlineStr">
        <is>
          <t>Income value (Yr-1 NOI ÷ going-in cap)</t>
        </is>
      </c>
      <c r="C66" s="51">
        <f>D87/C50</f>
        <v/>
      </c>
      <c r="D66" s="22" t="inlineStr">
        <is>
          <t>computed below</t>
        </is>
      </c>
      <c r="E66" s="13" t="n"/>
      <c r="F66" s="13" t="n"/>
      <c r="G66" s="13" t="n"/>
      <c r="H66" s="13" t="n"/>
      <c r="I66" s="13" t="n"/>
      <c r="J66" s="13" t="n"/>
      <c r="K66" s="13" t="n"/>
      <c r="L66" s="13" t="n"/>
      <c r="M66" s="14" t="n"/>
    </row>
    <row r="67" ht="15" customHeight="1">
      <c r="B67" s="12" t="inlineStr">
        <is>
          <t>Land value (land SF × $/SF)</t>
        </is>
      </c>
      <c r="C67" s="51">
        <f>C25*C55</f>
        <v/>
      </c>
      <c r="D67" s="22" t="inlineStr">
        <is>
          <t>land SF × land $/SF (both blue inputs above)</t>
        </is>
      </c>
      <c r="E67" s="13" t="n"/>
      <c r="F67" s="13" t="n"/>
      <c r="G67" s="13" t="n"/>
      <c r="H67" s="13" t="n"/>
      <c r="I67" s="13" t="n"/>
      <c r="J67" s="13" t="n"/>
      <c r="K67" s="13" t="n"/>
      <c r="L67" s="13" t="n"/>
      <c r="M67" s="14" t="n"/>
    </row>
    <row r="68"/>
    <row r="69">
      <c r="B69" s="11" t="inlineStr">
        <is>
          <t>OPERATING CASH FLOW  —  10-year annual</t>
        </is>
      </c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3" t="n"/>
    </row>
    <row r="70" ht="15" customHeight="1">
      <c r="B70" s="15" t="inlineStr">
        <is>
          <t>Year</t>
        </is>
      </c>
      <c r="C70" s="16" t="inlineStr">
        <is>
          <t>0 / Acq</t>
        </is>
      </c>
      <c r="D70" s="41" t="n">
        <v>1</v>
      </c>
      <c r="E70" s="41" t="n">
        <v>2</v>
      </c>
      <c r="F70" s="41" t="n">
        <v>3</v>
      </c>
      <c r="G70" s="41" t="n">
        <v>4</v>
      </c>
      <c r="H70" s="41" t="n">
        <v>5</v>
      </c>
      <c r="I70" s="41" t="n">
        <v>6</v>
      </c>
      <c r="J70" s="41" t="n">
        <v>7</v>
      </c>
      <c r="K70" s="41" t="n">
        <v>8</v>
      </c>
      <c r="L70" s="41" t="n">
        <v>9</v>
      </c>
      <c r="M70" s="41" t="n">
        <v>10</v>
      </c>
    </row>
    <row r="71" ht="15" customHeight="1">
      <c r="B71" s="22" t="inlineStr">
        <is>
          <t>Year ending</t>
        </is>
      </c>
      <c r="C71" s="42" t="inlineStr">
        <is>
          <t>At close</t>
        </is>
      </c>
      <c r="D71" s="42" t="inlineStr">
        <is>
          <t>Dec-2027</t>
        </is>
      </c>
      <c r="E71" s="42" t="inlineStr">
        <is>
          <t>Dec-2028</t>
        </is>
      </c>
      <c r="F71" s="42" t="inlineStr">
        <is>
          <t>Dec-2029</t>
        </is>
      </c>
      <c r="G71" s="42" t="inlineStr">
        <is>
          <t>Dec-2030</t>
        </is>
      </c>
      <c r="H71" s="42" t="inlineStr">
        <is>
          <t>Dec-2031</t>
        </is>
      </c>
      <c r="I71" s="42" t="inlineStr">
        <is>
          <t>Dec-2032</t>
        </is>
      </c>
      <c r="J71" s="42" t="inlineStr">
        <is>
          <t>Dec-2033</t>
        </is>
      </c>
      <c r="K71" s="42" t="inlineStr">
        <is>
          <t>Dec-2034</t>
        </is>
      </c>
      <c r="L71" s="42" t="inlineStr">
        <is>
          <t>Dec-2035</t>
        </is>
      </c>
      <c r="M71" s="42" t="inlineStr">
        <is>
          <t>Dec-2036</t>
        </is>
      </c>
    </row>
    <row r="72" ht="15" customHeight="1">
      <c r="B72" s="12" t="inlineStr">
        <is>
          <t>Occupancy</t>
        </is>
      </c>
      <c r="D72" s="53">
        <f>(C26+C27)/2</f>
        <v/>
      </c>
      <c r="E72" s="53">
        <f>C27</f>
        <v/>
      </c>
      <c r="F72" s="53">
        <f>C27</f>
        <v/>
      </c>
      <c r="G72" s="53">
        <f>C27</f>
        <v/>
      </c>
      <c r="H72" s="53">
        <f>C27</f>
        <v/>
      </c>
      <c r="I72" s="53">
        <f>C27</f>
        <v/>
      </c>
      <c r="J72" s="53">
        <f>C27</f>
        <v/>
      </c>
      <c r="K72" s="53">
        <f>C27</f>
        <v/>
      </c>
      <c r="L72" s="53">
        <f>C27</f>
        <v/>
      </c>
      <c r="M72" s="53">
        <f>C27</f>
        <v/>
      </c>
    </row>
    <row r="73" ht="15" customHeight="1">
      <c r="B73" s="12" t="inlineStr">
        <is>
          <t>Leased SF</t>
        </is>
      </c>
      <c r="D73" s="64">
        <f>C24*D72</f>
        <v/>
      </c>
      <c r="E73" s="64">
        <f>C24*E72</f>
        <v/>
      </c>
      <c r="F73" s="64">
        <f>C24*F72</f>
        <v/>
      </c>
      <c r="G73" s="64">
        <f>C24*G72</f>
        <v/>
      </c>
      <c r="H73" s="64">
        <f>C24*H72</f>
        <v/>
      </c>
      <c r="I73" s="64">
        <f>C24*I72</f>
        <v/>
      </c>
      <c r="J73" s="64">
        <f>C24*J72</f>
        <v/>
      </c>
      <c r="K73" s="64">
        <f>C24*K72</f>
        <v/>
      </c>
      <c r="L73" s="64">
        <f>C24*L72</f>
        <v/>
      </c>
      <c r="M73" s="64">
        <f>C24*M72</f>
        <v/>
      </c>
    </row>
    <row r="74" ht="15" customHeight="1">
      <c r="B74" s="15" t="inlineStr">
        <is>
          <t>REVENUE</t>
        </is>
      </c>
      <c r="C74" s="13" t="n"/>
      <c r="D74" s="13" t="n"/>
      <c r="E74" s="13" t="n"/>
      <c r="F74" s="13" t="n"/>
      <c r="G74" s="13" t="n"/>
      <c r="H74" s="13" t="n"/>
      <c r="I74" s="13" t="n"/>
      <c r="J74" s="13" t="n"/>
      <c r="K74" s="13" t="n"/>
      <c r="L74" s="13" t="n"/>
      <c r="M74" s="14" t="n"/>
    </row>
    <row r="75" ht="15" customHeight="1">
      <c r="B75" s="12" t="inlineStr">
        <is>
          <t>Base rental income (leaseback cliffs at term)</t>
        </is>
      </c>
      <c r="D75" s="51">
        <f>IF(1&lt;='Assumptions'!C70,D73*C28*(1+C29)^(1-1),0)</f>
        <v/>
      </c>
      <c r="E75" s="47">
        <f>IF(2&lt;='Assumptions'!C70,E73*C28*(1+C29)^(2-1),0)</f>
        <v/>
      </c>
      <c r="F75" s="47">
        <f>IF(3&lt;='Assumptions'!C70,F73*C28*(1+C29)^(3-1),0)</f>
        <v/>
      </c>
      <c r="G75" s="47">
        <f>IF(4&lt;='Assumptions'!C70,G73*C28*(1+C29)^(4-1),0)</f>
        <v/>
      </c>
      <c r="H75" s="47">
        <f>IF(5&lt;='Assumptions'!C70,H73*C28*(1+C29)^(5-1),0)</f>
        <v/>
      </c>
      <c r="I75" s="47">
        <f>IF(6&lt;='Assumptions'!C70,I73*C28*(1+C29)^(6-1),0)</f>
        <v/>
      </c>
      <c r="J75" s="47">
        <f>IF(7&lt;='Assumptions'!C70,J73*C28*(1+C29)^(7-1),0)</f>
        <v/>
      </c>
      <c r="K75" s="47">
        <f>IF(8&lt;='Assumptions'!C70,K73*C28*(1+C29)^(8-1),0)</f>
        <v/>
      </c>
      <c r="L75" s="47">
        <f>IF(9&lt;='Assumptions'!C70,L73*C28*(1+C29)^(9-1),0)</f>
        <v/>
      </c>
      <c r="M75" s="47">
        <f>IF(10&lt;='Assumptions'!C70,M73*C28*(1+C29)^(10-1),0)</f>
        <v/>
      </c>
    </row>
    <row r="76" ht="15" customHeight="1">
      <c r="B76" s="12" t="inlineStr">
        <is>
          <t>Recoverable opex (gross)</t>
        </is>
      </c>
      <c r="D76" s="47">
        <f>(C44*C31+C33+C34)*(1+C37)^(1-1)</f>
        <v/>
      </c>
      <c r="E76" s="47">
        <f>(C44*C31+C33+C34)*(1+C37)^(2-1)</f>
        <v/>
      </c>
      <c r="F76" s="47">
        <f>(C44*C31+C33+C34)*(1+C37)^(3-1)</f>
        <v/>
      </c>
      <c r="G76" s="47">
        <f>(C44*C31+C33+C34)*(1+C37)^(4-1)</f>
        <v/>
      </c>
      <c r="H76" s="47">
        <f>(C44*C31+C33+C34)*(1+C37)^(5-1)</f>
        <v/>
      </c>
      <c r="I76" s="47">
        <f>(C44*C31+C33+C34)*(1+C37)^(6-1)</f>
        <v/>
      </c>
      <c r="J76" s="47">
        <f>(C44*C31+C33+C34)*(1+C37)^(7-1)</f>
        <v/>
      </c>
      <c r="K76" s="47">
        <f>(C44*C31+C33+C34)*(1+C37)^(8-1)</f>
        <v/>
      </c>
      <c r="L76" s="47">
        <f>(C44*C31+C33+C34)*(1+C37)^(9-1)</f>
        <v/>
      </c>
      <c r="M76" s="47">
        <f>(C44*C31+C33+C34)*(1+C37)^(10-1)</f>
        <v/>
      </c>
    </row>
    <row r="77" ht="15" customHeight="1">
      <c r="B77" s="12" t="inlineStr">
        <is>
          <t>Expense reimbursements (NNN)</t>
        </is>
      </c>
      <c r="D77" s="47">
        <f>D76*D72</f>
        <v/>
      </c>
      <c r="E77" s="47">
        <f>E76*E72</f>
        <v/>
      </c>
      <c r="F77" s="47">
        <f>F76*F72</f>
        <v/>
      </c>
      <c r="G77" s="47">
        <f>G76*G72</f>
        <v/>
      </c>
      <c r="H77" s="47">
        <f>H76*H72</f>
        <v/>
      </c>
      <c r="I77" s="47">
        <f>I76*I72</f>
        <v/>
      </c>
      <c r="J77" s="47">
        <f>J76*J72</f>
        <v/>
      </c>
      <c r="K77" s="47">
        <f>K76*K72</f>
        <v/>
      </c>
      <c r="L77" s="47">
        <f>L76*L72</f>
        <v/>
      </c>
      <c r="M77" s="47">
        <f>M76*M72</f>
        <v/>
      </c>
    </row>
    <row r="78" ht="15" customHeight="1">
      <c r="B78" s="12" t="inlineStr">
        <is>
          <t>Less: credit &amp; collection loss</t>
        </is>
      </c>
      <c r="D78" s="47">
        <f>-D75*C30</f>
        <v/>
      </c>
      <c r="E78" s="47">
        <f>-E75*C30</f>
        <v/>
      </c>
      <c r="F78" s="47">
        <f>-F75*C30</f>
        <v/>
      </c>
      <c r="G78" s="47">
        <f>-G75*C30</f>
        <v/>
      </c>
      <c r="H78" s="47">
        <f>-H75*C30</f>
        <v/>
      </c>
      <c r="I78" s="47">
        <f>-I75*C30</f>
        <v/>
      </c>
      <c r="J78" s="47">
        <f>-J75*C30</f>
        <v/>
      </c>
      <c r="K78" s="47">
        <f>-K75*C30</f>
        <v/>
      </c>
      <c r="L78" s="47">
        <f>-L75*C30</f>
        <v/>
      </c>
      <c r="M78" s="47">
        <f>-M75*C30</f>
        <v/>
      </c>
    </row>
    <row r="79" ht="15" customHeight="1">
      <c r="B79" s="43" t="inlineStr">
        <is>
          <t>Effective Gross Revenue</t>
        </is>
      </c>
      <c r="D79" s="51">
        <f>D75+D77+D78</f>
        <v/>
      </c>
      <c r="E79" s="47">
        <f>E75+E77+E78</f>
        <v/>
      </c>
      <c r="F79" s="47">
        <f>F75+F77+F78</f>
        <v/>
      </c>
      <c r="G79" s="47">
        <f>G75+G77+G78</f>
        <v/>
      </c>
      <c r="H79" s="47">
        <f>H75+H77+H78</f>
        <v/>
      </c>
      <c r="I79" s="47">
        <f>I75+I77+I78</f>
        <v/>
      </c>
      <c r="J79" s="47">
        <f>J75+J77+J78</f>
        <v/>
      </c>
      <c r="K79" s="47">
        <f>K75+K77+K78</f>
        <v/>
      </c>
      <c r="L79" s="47">
        <f>L75+L77+L78</f>
        <v/>
      </c>
      <c r="M79" s="47">
        <f>M75+M77+M78</f>
        <v/>
      </c>
    </row>
    <row r="80" ht="15" customHeight="1">
      <c r="B80" s="15" t="inlineStr">
        <is>
          <t>OPERATING EXPENSES</t>
        </is>
      </c>
      <c r="C80" s="13" t="n"/>
      <c r="D80" s="13" t="n"/>
      <c r="E80" s="13" t="n"/>
      <c r="F80" s="13" t="n"/>
      <c r="G80" s="13" t="n"/>
      <c r="H80" s="13" t="n"/>
      <c r="I80" s="13" t="n"/>
      <c r="J80" s="13" t="n"/>
      <c r="K80" s="13" t="n"/>
      <c r="L80" s="13" t="n"/>
      <c r="M80" s="14" t="n"/>
    </row>
    <row r="81" ht="15" customHeight="1">
      <c r="B81" s="12" t="inlineStr">
        <is>
          <t>Real-estate taxes (reassessed)</t>
        </is>
      </c>
      <c r="D81" s="47">
        <f>C44*C31*(1+C37)^(1-1)</f>
        <v/>
      </c>
      <c r="E81" s="47">
        <f>C44*C31*(1+C37)^(2-1)</f>
        <v/>
      </c>
      <c r="F81" s="47">
        <f>C44*C31*(1+C37)^(3-1)</f>
        <v/>
      </c>
      <c r="G81" s="47">
        <f>C44*C31*(1+C37)^(4-1)</f>
        <v/>
      </c>
      <c r="H81" s="47">
        <f>C44*C31*(1+C37)^(5-1)</f>
        <v/>
      </c>
      <c r="I81" s="47">
        <f>C44*C31*(1+C37)^(6-1)</f>
        <v/>
      </c>
      <c r="J81" s="47">
        <f>C44*C31*(1+C37)^(7-1)</f>
        <v/>
      </c>
      <c r="K81" s="47">
        <f>C44*C31*(1+C37)^(8-1)</f>
        <v/>
      </c>
      <c r="L81" s="47">
        <f>C44*C31*(1+C37)^(9-1)</f>
        <v/>
      </c>
      <c r="M81" s="47">
        <f>C44*C31*(1+C37)^(10-1)</f>
        <v/>
      </c>
    </row>
    <row r="82" ht="15" customHeight="1">
      <c r="B82" s="12" t="inlineStr">
        <is>
          <t>Insurance</t>
        </is>
      </c>
      <c r="D82" s="47">
        <f>C33*(1+C37)^(1-1)</f>
        <v/>
      </c>
      <c r="E82" s="47">
        <f>C33*(1+C37)^(2-1)</f>
        <v/>
      </c>
      <c r="F82" s="47">
        <f>C33*(1+C37)^(3-1)</f>
        <v/>
      </c>
      <c r="G82" s="47">
        <f>C33*(1+C37)^(4-1)</f>
        <v/>
      </c>
      <c r="H82" s="47">
        <f>C33*(1+C37)^(5-1)</f>
        <v/>
      </c>
      <c r="I82" s="47">
        <f>C33*(1+C37)^(6-1)</f>
        <v/>
      </c>
      <c r="J82" s="47">
        <f>C33*(1+C37)^(7-1)</f>
        <v/>
      </c>
      <c r="K82" s="47">
        <f>C33*(1+C37)^(8-1)</f>
        <v/>
      </c>
      <c r="L82" s="47">
        <f>C33*(1+C37)^(9-1)</f>
        <v/>
      </c>
      <c r="M82" s="47">
        <f>C33*(1+C37)^(10-1)</f>
        <v/>
      </c>
    </row>
    <row r="83" ht="15" customHeight="1">
      <c r="B83" s="12" t="inlineStr">
        <is>
          <t>CAM</t>
        </is>
      </c>
      <c r="D83" s="47">
        <f>C34*(1+C37)^(1-1)</f>
        <v/>
      </c>
      <c r="E83" s="47">
        <f>C34*(1+C37)^(2-1)</f>
        <v/>
      </c>
      <c r="F83" s="47">
        <f>C34*(1+C37)^(3-1)</f>
        <v/>
      </c>
      <c r="G83" s="47">
        <f>C34*(1+C37)^(4-1)</f>
        <v/>
      </c>
      <c r="H83" s="47">
        <f>C34*(1+C37)^(5-1)</f>
        <v/>
      </c>
      <c r="I83" s="47">
        <f>C34*(1+C37)^(6-1)</f>
        <v/>
      </c>
      <c r="J83" s="47">
        <f>C34*(1+C37)^(7-1)</f>
        <v/>
      </c>
      <c r="K83" s="47">
        <f>C34*(1+C37)^(8-1)</f>
        <v/>
      </c>
      <c r="L83" s="47">
        <f>C34*(1+C37)^(9-1)</f>
        <v/>
      </c>
      <c r="M83" s="47">
        <f>C34*(1+C37)^(10-1)</f>
        <v/>
      </c>
    </row>
    <row r="84" ht="15" customHeight="1">
      <c r="B84" s="12" t="inlineStr">
        <is>
          <t>Repairs &amp; maintenance</t>
        </is>
      </c>
      <c r="D84" s="47">
        <f>C35*(1+C37)^(1-1)</f>
        <v/>
      </c>
      <c r="E84" s="47">
        <f>C35*(1+C37)^(2-1)</f>
        <v/>
      </c>
      <c r="F84" s="47">
        <f>C35*(1+C37)^(3-1)</f>
        <v/>
      </c>
      <c r="G84" s="47">
        <f>C35*(1+C37)^(4-1)</f>
        <v/>
      </c>
      <c r="H84" s="47">
        <f>C35*(1+C37)^(5-1)</f>
        <v/>
      </c>
      <c r="I84" s="47">
        <f>C35*(1+C37)^(6-1)</f>
        <v/>
      </c>
      <c r="J84" s="47">
        <f>C35*(1+C37)^(7-1)</f>
        <v/>
      </c>
      <c r="K84" s="47">
        <f>C35*(1+C37)^(8-1)</f>
        <v/>
      </c>
      <c r="L84" s="47">
        <f>C35*(1+C37)^(9-1)</f>
        <v/>
      </c>
      <c r="M84" s="47">
        <f>C35*(1+C37)^(10-1)</f>
        <v/>
      </c>
    </row>
    <row r="85" ht="15" customHeight="1">
      <c r="B85" s="12" t="inlineStr">
        <is>
          <t>Management fee</t>
        </is>
      </c>
      <c r="D85" s="47">
        <f>D79*C36</f>
        <v/>
      </c>
      <c r="E85" s="47">
        <f>E79*C36</f>
        <v/>
      </c>
      <c r="F85" s="47">
        <f>F79*C36</f>
        <v/>
      </c>
      <c r="G85" s="47">
        <f>G79*C36</f>
        <v/>
      </c>
      <c r="H85" s="47">
        <f>H79*C36</f>
        <v/>
      </c>
      <c r="I85" s="47">
        <f>I79*C36</f>
        <v/>
      </c>
      <c r="J85" s="47">
        <f>J79*C36</f>
        <v/>
      </c>
      <c r="K85" s="47">
        <f>K79*C36</f>
        <v/>
      </c>
      <c r="L85" s="47">
        <f>L79*C36</f>
        <v/>
      </c>
      <c r="M85" s="47">
        <f>M79*C36</f>
        <v/>
      </c>
    </row>
    <row r="86" ht="15" customHeight="1">
      <c r="B86" s="43" t="inlineStr">
        <is>
          <t>Total operating expenses</t>
        </is>
      </c>
      <c r="D86" s="51">
        <f>SUM(D81:D85)</f>
        <v/>
      </c>
      <c r="E86" s="47">
        <f>SUM(E81:E85)</f>
        <v/>
      </c>
      <c r="F86" s="47">
        <f>SUM(F81:F85)</f>
        <v/>
      </c>
      <c r="G86" s="47">
        <f>SUM(G81:G85)</f>
        <v/>
      </c>
      <c r="H86" s="47">
        <f>SUM(H81:H85)</f>
        <v/>
      </c>
      <c r="I86" s="47">
        <f>SUM(I81:I85)</f>
        <v/>
      </c>
      <c r="J86" s="47">
        <f>SUM(J81:J85)</f>
        <v/>
      </c>
      <c r="K86" s="47">
        <f>SUM(K81:K85)</f>
        <v/>
      </c>
      <c r="L86" s="47">
        <f>SUM(L81:L85)</f>
        <v/>
      </c>
      <c r="M86" s="47">
        <f>SUM(M81:M85)</f>
        <v/>
      </c>
    </row>
    <row r="87" ht="15" customHeight="1">
      <c r="B87" s="43" t="inlineStr">
        <is>
          <t>NET OPERATING INCOME</t>
        </is>
      </c>
      <c r="D87" s="44">
        <f>D79-D86</f>
        <v/>
      </c>
      <c r="E87" s="45">
        <f>E79-E86</f>
        <v/>
      </c>
      <c r="F87" s="45">
        <f>F79-F86</f>
        <v/>
      </c>
      <c r="G87" s="45">
        <f>G79-G86</f>
        <v/>
      </c>
      <c r="H87" s="45">
        <f>H79-H86</f>
        <v/>
      </c>
      <c r="I87" s="45">
        <f>I79-I86</f>
        <v/>
      </c>
      <c r="J87" s="45">
        <f>J79-J86</f>
        <v/>
      </c>
      <c r="K87" s="45">
        <f>K79-K86</f>
        <v/>
      </c>
      <c r="L87" s="45">
        <f>L79-L86</f>
        <v/>
      </c>
      <c r="M87" s="45">
        <f>M79-M86</f>
        <v/>
      </c>
    </row>
    <row r="88" ht="15" customHeight="1">
      <c r="B88" s="15" t="inlineStr">
        <is>
          <t>CAPITAL</t>
        </is>
      </c>
      <c r="C88" s="13" t="n"/>
      <c r="D88" s="13" t="n"/>
      <c r="E88" s="13" t="n"/>
      <c r="F88" s="13" t="n"/>
      <c r="G88" s="13" t="n"/>
      <c r="H88" s="13" t="n"/>
      <c r="I88" s="13" t="n"/>
      <c r="J88" s="13" t="n"/>
      <c r="K88" s="13" t="n"/>
      <c r="L88" s="13" t="n"/>
      <c r="M88" s="14" t="n"/>
    </row>
    <row r="89" ht="15" customHeight="1">
      <c r="B89" s="12" t="inlineStr">
        <is>
          <t>Replacement reserves</t>
        </is>
      </c>
      <c r="D89" s="47">
        <f>C24*C41*(1+C37)^(1-1)</f>
        <v/>
      </c>
      <c r="E89" s="47">
        <f>C24*C41*(1+C37)^(2-1)</f>
        <v/>
      </c>
      <c r="F89" s="47">
        <f>C24*C41*(1+C37)^(3-1)</f>
        <v/>
      </c>
      <c r="G89" s="47">
        <f>C24*C41*(1+C37)^(4-1)</f>
        <v/>
      </c>
      <c r="H89" s="47">
        <f>C24*C41*(1+C37)^(5-1)</f>
        <v/>
      </c>
      <c r="I89" s="47">
        <f>C24*C41*(1+C37)^(6-1)</f>
        <v/>
      </c>
      <c r="J89" s="47">
        <f>C24*C41*(1+C37)^(7-1)</f>
        <v/>
      </c>
      <c r="K89" s="47">
        <f>C24*C41*(1+C37)^(8-1)</f>
        <v/>
      </c>
      <c r="L89" s="47">
        <f>C24*C41*(1+C37)^(9-1)</f>
        <v/>
      </c>
      <c r="M89" s="47">
        <f>C24*C41*(1+C37)^(10-1)</f>
        <v/>
      </c>
    </row>
    <row r="90" ht="15" customHeight="1">
      <c r="B90" s="12" t="inlineStr">
        <is>
          <t>Leasing costs</t>
        </is>
      </c>
      <c r="D90" s="47">
        <f>C62*(C39+C40)+C24*C42</f>
        <v/>
      </c>
      <c r="E90" s="47">
        <f>C24*C42*(1+C37)^(2-1)</f>
        <v/>
      </c>
      <c r="F90" s="47">
        <f>C24*C42*(1+C37)^(3-1)</f>
        <v/>
      </c>
      <c r="G90" s="47">
        <f>C24*C42*(1+C37)^(4-1)</f>
        <v/>
      </c>
      <c r="H90" s="47">
        <f>C24*C42*(1+C37)^(5-1)</f>
        <v/>
      </c>
      <c r="I90" s="47">
        <f>C24*C42*(1+C37)^(6-1)</f>
        <v/>
      </c>
      <c r="J90" s="47">
        <f>C24*C42*(1+C37)^(7-1)</f>
        <v/>
      </c>
      <c r="K90" s="47">
        <f>C24*C42*(1+C37)^(8-1)</f>
        <v/>
      </c>
      <c r="L90" s="47">
        <f>C24*C42*(1+C37)^(9-1)</f>
        <v/>
      </c>
      <c r="M90" s="47">
        <f>C24*C42*(1+C37)^(10-1)</f>
        <v/>
      </c>
    </row>
    <row r="91" ht="15" customHeight="1">
      <c r="B91" s="43" t="inlineStr">
        <is>
          <t>Total capital</t>
        </is>
      </c>
      <c r="D91" s="51">
        <f>D89+D90</f>
        <v/>
      </c>
      <c r="E91" s="47">
        <f>E89+E90</f>
        <v/>
      </c>
      <c r="F91" s="47">
        <f>F89+F90</f>
        <v/>
      </c>
      <c r="G91" s="47">
        <f>G89+G90</f>
        <v/>
      </c>
      <c r="H91" s="47">
        <f>H89+H90</f>
        <v/>
      </c>
      <c r="I91" s="47">
        <f>I89+I90</f>
        <v/>
      </c>
      <c r="J91" s="47">
        <f>J89+J90</f>
        <v/>
      </c>
      <c r="K91" s="47">
        <f>K89+K90</f>
        <v/>
      </c>
      <c r="L91" s="47">
        <f>L89+L90</f>
        <v/>
      </c>
      <c r="M91" s="47">
        <f>M89+M90</f>
        <v/>
      </c>
    </row>
    <row r="92" ht="15" customHeight="1">
      <c r="B92" s="43" t="inlineStr">
        <is>
          <t>Unlevered cash flow (before reversion)</t>
        </is>
      </c>
      <c r="C92" s="44">
        <f>-C44*(1+C45)</f>
        <v/>
      </c>
      <c r="D92" s="44">
        <f>D87-D91</f>
        <v/>
      </c>
      <c r="E92" s="45">
        <f>E87-E91</f>
        <v/>
      </c>
      <c r="F92" s="45">
        <f>F87-F91</f>
        <v/>
      </c>
      <c r="G92" s="45">
        <f>G87-G91</f>
        <v/>
      </c>
      <c r="H92" s="45">
        <f>H87-H91</f>
        <v/>
      </c>
      <c r="I92" s="45">
        <f>I87-I91</f>
        <v/>
      </c>
      <c r="J92" s="45">
        <f>J87-J91</f>
        <v/>
      </c>
      <c r="K92" s="45">
        <f>K87-K91</f>
        <v/>
      </c>
      <c r="L92" s="45">
        <f>L87-L91</f>
        <v/>
      </c>
      <c r="M92" s="45">
        <f>M87-M91</f>
        <v/>
      </c>
    </row>
    <row r="93"/>
    <row r="94">
      <c r="B94" s="11" t="inlineStr">
        <is>
          <t>REVERSION, DEBT SERVICE  &amp;  LEVERED CASH FLOW</t>
        </is>
      </c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3" t="n"/>
    </row>
    <row r="95" ht="15" customHeight="1">
      <c r="B95" s="12" t="inlineStr">
        <is>
          <t>Net sale — land value (covered-land exit)</t>
        </is>
      </c>
      <c r="D95" s="47">
        <f>IF(1=C53,C67*(1-C52),0)</f>
        <v/>
      </c>
      <c r="E95" s="47">
        <f>IF(2=C53,C67*(1-C52),0)</f>
        <v/>
      </c>
      <c r="F95" s="47">
        <f>IF(3=C53,C67*(1-C52),0)</f>
        <v/>
      </c>
      <c r="G95" s="47">
        <f>IF(4=C53,C67*(1-C52),0)</f>
        <v/>
      </c>
      <c r="H95" s="47">
        <f>IF(5=C53,C67*(1-C52),0)</f>
        <v/>
      </c>
      <c r="I95" s="47">
        <f>IF(6=C53,C67*(1-C52),0)</f>
        <v/>
      </c>
      <c r="J95" s="47">
        <f>IF(7=C53,C67*(1-C52),0)</f>
        <v/>
      </c>
      <c r="K95" s="47">
        <f>IF(8=C53,C67*(1-C52),0)</f>
        <v/>
      </c>
      <c r="L95" s="47">
        <f>IF(9=C53,C67*(1-C52),0)</f>
        <v/>
      </c>
      <c r="M95" s="47">
        <f>IF(10=C53,C67*(1-C52),0)</f>
        <v/>
      </c>
    </row>
    <row r="96" ht="15" customHeight="1">
      <c r="B96" s="43" t="inlineStr">
        <is>
          <t>UNLEVERED PROJECT CASH FLOW</t>
        </is>
      </c>
      <c r="C96" s="44">
        <f>C92</f>
        <v/>
      </c>
      <c r="D96" s="44">
        <f>IF(1&lt;=C53,D92,0)+D95</f>
        <v/>
      </c>
      <c r="E96" s="45">
        <f>IF(2&lt;=C53,E92,0)+E95</f>
        <v/>
      </c>
      <c r="F96" s="45">
        <f>IF(3&lt;=C53,F92,0)+F95</f>
        <v/>
      </c>
      <c r="G96" s="45">
        <f>IF(4&lt;=C53,G92,0)+G95</f>
        <v/>
      </c>
      <c r="H96" s="45">
        <f>IF(5&lt;=C53,H92,0)+H95</f>
        <v/>
      </c>
      <c r="I96" s="45">
        <f>IF(6&lt;=C53,I92,0)+I95</f>
        <v/>
      </c>
      <c r="J96" s="45">
        <f>IF(7&lt;=C53,J92,0)+J95</f>
        <v/>
      </c>
      <c r="K96" s="45">
        <f>IF(8&lt;=C53,K92,0)+K95</f>
        <v/>
      </c>
      <c r="L96" s="45">
        <f>IF(9&lt;=C53,L92,0)+L95</f>
        <v/>
      </c>
      <c r="M96" s="45">
        <f>IF(10&lt;=C53,M92,0)+M95</f>
        <v/>
      </c>
    </row>
    <row r="97" ht="15" customHeight="1">
      <c r="B97" s="12" t="inlineStr">
        <is>
          <t>Debt service</t>
        </is>
      </c>
      <c r="D97" s="47">
        <f>IF(1&lt;=C53,-C60,0)</f>
        <v/>
      </c>
      <c r="E97" s="47">
        <f>IF(2&lt;=C53,-C60,0)</f>
        <v/>
      </c>
      <c r="F97" s="47">
        <f>IF(3&lt;=C53,-C60,0)</f>
        <v/>
      </c>
      <c r="G97" s="47">
        <f>IF(4&lt;=C53,-C60,0)</f>
        <v/>
      </c>
      <c r="H97" s="47">
        <f>IF(5&lt;=C53,-C60,0)</f>
        <v/>
      </c>
      <c r="I97" s="47">
        <f>IF(6&lt;=C53,-C60,0)</f>
        <v/>
      </c>
      <c r="J97" s="47">
        <f>IF(7&lt;=C53,-C60,0)</f>
        <v/>
      </c>
      <c r="K97" s="47">
        <f>IF(8&lt;=C53,-C60,0)</f>
        <v/>
      </c>
      <c r="L97" s="47">
        <f>IF(9&lt;=C53,-C60,0)</f>
        <v/>
      </c>
      <c r="M97" s="47">
        <f>IF(10&lt;=C53,-C60,0)</f>
        <v/>
      </c>
    </row>
    <row r="98" ht="15" customHeight="1">
      <c r="B98" s="12" t="inlineStr">
        <is>
          <t>Loan balance (year-end)</t>
        </is>
      </c>
      <c r="D98" s="47">
        <f>C58*(1+C59)^(12*1)-(C60/12)*((1+C59)^(12*1)-1)/C59</f>
        <v/>
      </c>
      <c r="E98" s="47">
        <f>C58*(1+C59)^(12*2)-(C60/12)*((1+C59)^(12*2)-1)/C59</f>
        <v/>
      </c>
      <c r="F98" s="47">
        <f>C58*(1+C59)^(12*3)-(C60/12)*((1+C59)^(12*3)-1)/C59</f>
        <v/>
      </c>
      <c r="G98" s="47">
        <f>C58*(1+C59)^(12*4)-(C60/12)*((1+C59)^(12*4)-1)/C59</f>
        <v/>
      </c>
      <c r="H98" s="47">
        <f>C58*(1+C59)^(12*5)-(C60/12)*((1+C59)^(12*5)-1)/C59</f>
        <v/>
      </c>
      <c r="I98" s="47">
        <f>C58*(1+C59)^(12*6)-(C60/12)*((1+C59)^(12*6)-1)/C59</f>
        <v/>
      </c>
      <c r="J98" s="47">
        <f>C58*(1+C59)^(12*7)-(C60/12)*((1+C59)^(12*7)-1)/C59</f>
        <v/>
      </c>
      <c r="K98" s="47">
        <f>C58*(1+C59)^(12*8)-(C60/12)*((1+C59)^(12*8)-1)/C59</f>
        <v/>
      </c>
      <c r="L98" s="47">
        <f>C58*(1+C59)^(12*9)-(C60/12)*((1+C59)^(12*9)-1)/C59</f>
        <v/>
      </c>
      <c r="M98" s="47">
        <f>C58*(1+C59)^(12*10)-(C60/12)*((1+C59)^(12*10)-1)/C59</f>
        <v/>
      </c>
    </row>
    <row r="99" ht="15" customHeight="1">
      <c r="B99" s="12" t="inlineStr">
        <is>
          <t>DSCR (NOI ÷ DS)</t>
        </is>
      </c>
      <c r="D99" s="54">
        <f>D87/C60</f>
        <v/>
      </c>
      <c r="E99" s="54">
        <f>E87/C60</f>
        <v/>
      </c>
      <c r="F99" s="54">
        <f>F87/C60</f>
        <v/>
      </c>
      <c r="G99" s="54">
        <f>G87/C60</f>
        <v/>
      </c>
      <c r="H99" s="54">
        <f>H87/C60</f>
        <v/>
      </c>
      <c r="I99" s="54">
        <f>I87/C60</f>
        <v/>
      </c>
      <c r="J99" s="54">
        <f>J87/C60</f>
        <v/>
      </c>
      <c r="K99" s="54">
        <f>K87/C60</f>
        <v/>
      </c>
      <c r="L99" s="54">
        <f>L87/C60</f>
        <v/>
      </c>
      <c r="M99" s="54">
        <f>M87/C60</f>
        <v/>
      </c>
    </row>
    <row r="100" ht="15" customHeight="1">
      <c r="B100" s="12" t="inlineStr">
        <is>
          <t>Debt yield (NOI ÷ loan)</t>
        </is>
      </c>
      <c r="D100" s="53">
        <f>D87/C58</f>
        <v/>
      </c>
      <c r="E100" s="53">
        <f>E87/C58</f>
        <v/>
      </c>
      <c r="F100" s="53">
        <f>F87/C58</f>
        <v/>
      </c>
      <c r="G100" s="53">
        <f>G87/C58</f>
        <v/>
      </c>
      <c r="H100" s="53">
        <f>H87/C58</f>
        <v/>
      </c>
      <c r="I100" s="53">
        <f>I87/C58</f>
        <v/>
      </c>
      <c r="J100" s="53">
        <f>J87/C58</f>
        <v/>
      </c>
      <c r="K100" s="53">
        <f>K87/C58</f>
        <v/>
      </c>
      <c r="L100" s="53">
        <f>L87/C58</f>
        <v/>
      </c>
      <c r="M100" s="53">
        <f>M87/C58</f>
        <v/>
      </c>
    </row>
    <row r="101" ht="15" customHeight="1">
      <c r="B101" s="43" t="inlineStr">
        <is>
          <t>LEVERED CASH FLOW (equity)</t>
        </is>
      </c>
      <c r="C101" s="44">
        <f>-C61</f>
        <v/>
      </c>
      <c r="D101" s="44">
        <f>IF(1&lt;=C53,D92-C60,0)+IF(1=C53,D95-D98,0)</f>
        <v/>
      </c>
      <c r="E101" s="45">
        <f>IF(2&lt;=C53,E92-C60,0)+IF(2=C53,E95-E98,0)</f>
        <v/>
      </c>
      <c r="F101" s="45">
        <f>IF(3&lt;=C53,F92-C60,0)+IF(3=C53,F95-F98,0)</f>
        <v/>
      </c>
      <c r="G101" s="45">
        <f>IF(4&lt;=C53,G92-C60,0)+IF(4=C53,G95-G98,0)</f>
        <v/>
      </c>
      <c r="H101" s="45">
        <f>IF(5&lt;=C53,H92-C60,0)+IF(5=C53,H95-H98,0)</f>
        <v/>
      </c>
      <c r="I101" s="45">
        <f>IF(6&lt;=C53,I92-C60,0)+IF(6=C53,I95-I98,0)</f>
        <v/>
      </c>
      <c r="J101" s="45">
        <f>IF(7&lt;=C53,J92-C60,0)+IF(7=C53,J95-J98,0)</f>
        <v/>
      </c>
      <c r="K101" s="45">
        <f>IF(8&lt;=C53,K92-C60,0)+IF(8=C53,K95-K98,0)</f>
        <v/>
      </c>
      <c r="L101" s="45">
        <f>IF(9&lt;=C53,L92-C60,0)+IF(9=C53,L95-L98,0)</f>
        <v/>
      </c>
      <c r="M101" s="45">
        <f>IF(10&lt;=C53,M92-C60,0)+IF(10=C53,M95-M98,0)</f>
        <v/>
      </c>
    </row>
    <row r="102"/>
    <row r="103">
      <c r="B103" s="11" t="inlineStr">
        <is>
          <t>RETURNS  —  unlevered &amp; levered</t>
        </is>
      </c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3" t="n"/>
    </row>
    <row r="104" ht="15" customHeight="1">
      <c r="B104" s="12" t="inlineStr">
        <is>
          <t>Unlevered IRR</t>
        </is>
      </c>
      <c r="C104" s="53">
        <f>IFERROR(IRR(C96:M96),"n/m")</f>
        <v/>
      </c>
    </row>
    <row r="105" ht="15" customHeight="1">
      <c r="B105" s="12" t="inlineStr">
        <is>
          <t>Unlevered equity multiple</t>
        </is>
      </c>
      <c r="C105" s="54">
        <f>SUM(D96:M96)/-C96</f>
        <v/>
      </c>
    </row>
    <row r="106" ht="15" customHeight="1">
      <c r="B106" s="12" t="inlineStr">
        <is>
          <t>Unlevered NPV @ discount rate</t>
        </is>
      </c>
      <c r="C106" s="51">
        <f>C96+NPV(C54,D96:M96)</f>
        <v/>
      </c>
    </row>
    <row r="107" ht="15" customHeight="1">
      <c r="B107" s="12" t="inlineStr">
        <is>
          <t>Levered IRR</t>
        </is>
      </c>
      <c r="C107" s="53">
        <f>IFERROR(IRR(C101:M101),"n/m")</f>
        <v/>
      </c>
    </row>
    <row r="108" ht="15" customHeight="1">
      <c r="B108" s="12" t="inlineStr">
        <is>
          <t>Levered equity multiple</t>
        </is>
      </c>
      <c r="C108" s="54">
        <f>SUM(D101:M101)/C61</f>
        <v/>
      </c>
    </row>
    <row r="109" ht="15" customHeight="1">
      <c r="B109" s="12" t="inlineStr">
        <is>
          <t>Year-1 NOI (pro-forma)</t>
        </is>
      </c>
      <c r="C109" s="51">
        <f>D87</f>
        <v/>
      </c>
    </row>
    <row r="110" ht="15" customHeight="1">
      <c r="B110" s="12" t="inlineStr">
        <is>
          <t>As-is in-place NOI (at occ0, no lease-up)</t>
        </is>
      </c>
      <c r="C110" s="51">
        <f>(C24*C26*C28)+(C44*C31+C33+C34)*C26-(C24*C26*C28)*C30-(C44*C31+C33+C34+C35)-((C24*C26*C28)+(C44*C31+C33+C34)*C26-(C24*C26*C28)*C30)*C36</f>
        <v/>
      </c>
    </row>
    <row r="111" ht="15" customHeight="1">
      <c r="B111" s="12" t="inlineStr">
        <is>
          <t>Going-in cap (as-is NOI ÷ price)</t>
        </is>
      </c>
      <c r="C111" s="50">
        <f>C110/C44</f>
        <v/>
      </c>
    </row>
    <row r="112" ht="15" customHeight="1">
      <c r="B112" s="12" t="inlineStr">
        <is>
          <t>Stabilized NOI (Yr 2)</t>
        </is>
      </c>
      <c r="C112" s="51">
        <f>E87</f>
        <v/>
      </c>
    </row>
    <row r="113" ht="15" customHeight="1">
      <c r="B113" s="12" t="inlineStr">
        <is>
          <t>Stabilized value (÷ exit cap)</t>
        </is>
      </c>
      <c r="C113" s="51">
        <f>C112/C51</f>
        <v/>
      </c>
    </row>
    <row r="114" ht="15" customHeight="1">
      <c r="B114" s="12" t="inlineStr">
        <is>
          <t>Stabilized yield on cost</t>
        </is>
      </c>
      <c r="C114" s="53">
        <f>C112/C64</f>
        <v/>
      </c>
    </row>
    <row r="115" ht="15" customHeight="1">
      <c r="B115" s="12" t="inlineStr">
        <is>
          <t>Year-1 DSCR</t>
        </is>
      </c>
      <c r="C115" s="54">
        <f>D87/C60</f>
        <v/>
      </c>
    </row>
    <row r="116" ht="15" customHeight="1">
      <c r="B116" s="12" t="inlineStr">
        <is>
          <t>Year-1 debt yield</t>
        </is>
      </c>
      <c r="C116" s="53">
        <f>D87/C58</f>
        <v/>
      </c>
    </row>
    <row r="117"/>
    <row r="118">
      <c r="B118" s="11" t="inlineStr">
        <is>
          <t>SALE-LEASEBACK SOLVER  —  required Publix leaseback rent to hit a target</t>
        </is>
      </c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3" t="n"/>
    </row>
    <row r="119" ht="15" customHeight="1">
      <c r="B119" s="12" t="inlineStr">
        <is>
          <t>Target Year-1 DSCR</t>
        </is>
      </c>
      <c r="C119" s="89" t="n">
        <v>1.2</v>
      </c>
      <c r="D119" s="22" t="inlineStr">
        <is>
          <t>🔵 your coverage target</t>
        </is>
      </c>
      <c r="E119" s="13" t="n"/>
      <c r="F119" s="13" t="n"/>
      <c r="G119" s="13" t="n"/>
      <c r="H119" s="13" t="n"/>
      <c r="I119" s="13" t="n"/>
      <c r="J119" s="13" t="n"/>
      <c r="K119" s="13" t="n"/>
      <c r="L119" s="13" t="n"/>
      <c r="M119" s="14" t="n"/>
    </row>
    <row r="120" ht="15" customHeight="1">
      <c r="B120" s="12" t="inlineStr">
        <is>
          <t>Target going-in cap</t>
        </is>
      </c>
      <c r="C120" s="83" t="n">
        <v>0.05</v>
      </c>
      <c r="D120" s="22" t="inlineStr">
        <is>
          <t>🔵 your yield target</t>
        </is>
      </c>
      <c r="E120" s="13" t="n"/>
      <c r="F120" s="13" t="n"/>
      <c r="G120" s="13" t="n"/>
      <c r="H120" s="13" t="n"/>
      <c r="I120" s="13" t="n"/>
      <c r="J120" s="13" t="n"/>
      <c r="K120" s="13" t="n"/>
      <c r="L120" s="13" t="n"/>
      <c r="M120" s="14" t="n"/>
    </row>
    <row r="121" ht="15" customHeight="1">
      <c r="B121" s="12" t="inlineStr">
        <is>
          <t>K = (1−credit)(1−mgmt)</t>
        </is>
      </c>
      <c r="C121" s="68">
        <f>(1-C30)*(1-C36)</f>
        <v/>
      </c>
    </row>
    <row r="122" ht="15" customHeight="1">
      <c r="B122" s="12" t="inlineStr">
        <is>
          <t>Recoverable opex (taxes+ins+CAM)</t>
        </is>
      </c>
      <c r="C122" s="47">
        <f>C44*C31+C33+C34</f>
        <v/>
      </c>
    </row>
    <row r="123" ht="15" customHeight="1">
      <c r="B123" s="43" t="inlineStr">
        <is>
          <t>→ Required leaseback rent for target DSCR</t>
        </is>
      </c>
      <c r="C123" s="88">
        <f>(((C119*C60+C122*C36+C35)/C121)-'Assumptions'!C69*'Assumptions'!C68)/'Assumptions'!C67</f>
        <v/>
      </c>
      <c r="D123" s="22" t="inlineStr">
        <is>
          <t>$/SF NNN — set Publix leaseback rent (Assumptions) to this</t>
        </is>
      </c>
      <c r="E123" s="13" t="n"/>
      <c r="F123" s="13" t="n"/>
      <c r="G123" s="13" t="n"/>
      <c r="H123" s="13" t="n"/>
      <c r="I123" s="13" t="n"/>
      <c r="J123" s="13" t="n"/>
      <c r="K123" s="13" t="n"/>
      <c r="L123" s="13" t="n"/>
      <c r="M123" s="14" t="n"/>
    </row>
    <row r="124" ht="15" customHeight="1">
      <c r="B124" s="43" t="inlineStr">
        <is>
          <t>→ Required leaseback rent for target cap</t>
        </is>
      </c>
      <c r="C124" s="88">
        <f>(((C120*C44+C122*C36+C35)/C121)-'Assumptions'!C69*'Assumptions'!C68)/'Assumptions'!C67</f>
        <v/>
      </c>
      <c r="D124" s="22" t="inlineStr">
        <is>
          <t>$/SF NNN — set Publix leaseback rent (Assumptions) to this</t>
        </is>
      </c>
      <c r="E124" s="13" t="n"/>
      <c r="F124" s="13" t="n"/>
      <c r="G124" s="13" t="n"/>
      <c r="H124" s="13" t="n"/>
      <c r="I124" s="13" t="n"/>
      <c r="J124" s="13" t="n"/>
      <c r="K124" s="13" t="n"/>
      <c r="L124" s="13" t="n"/>
      <c r="M124" s="14" t="n"/>
    </row>
    <row r="125"/>
    <row r="126">
      <c r="B126" s="11" t="inlineStr">
        <is>
          <t>PROFIT &amp; LOSS STATEMENT  —  Year 1 vs. Stabilized (Yr 2)</t>
        </is>
      </c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3" t="n"/>
    </row>
    <row r="127" ht="15" customHeight="1">
      <c r="B127" s="15" t="inlineStr">
        <is>
          <t>$ / year</t>
        </is>
      </c>
      <c r="F127" s="87" t="inlineStr">
        <is>
          <t>Year 1</t>
        </is>
      </c>
      <c r="G127" s="14" t="n"/>
      <c r="H127" s="87" t="inlineStr">
        <is>
          <t>Stabilized</t>
        </is>
      </c>
      <c r="I127" s="14" t="n"/>
      <c r="J127" s="87" t="inlineStr">
        <is>
          <t>Per SF (stab.)</t>
        </is>
      </c>
      <c r="K127" s="13" t="n"/>
      <c r="L127" s="13" t="n"/>
      <c r="M127" s="14" t="n"/>
    </row>
    <row r="128" ht="15" customHeight="1">
      <c r="B128" s="52" t="inlineStr">
        <is>
          <t>Base rental income</t>
        </is>
      </c>
      <c r="F128" s="45">
        <f>D75</f>
        <v/>
      </c>
      <c r="G128" s="14" t="n"/>
      <c r="H128" s="44">
        <f>E75</f>
        <v/>
      </c>
      <c r="I128" s="14" t="n"/>
      <c r="J128" s="88">
        <f>H128/C24</f>
        <v/>
      </c>
      <c r="K128" s="13" t="n"/>
      <c r="L128" s="13" t="n"/>
      <c r="M128" s="14" t="n"/>
    </row>
    <row r="129" ht="15" customHeight="1">
      <c r="B129" s="12" t="inlineStr">
        <is>
          <t>Expense reimbursements</t>
        </is>
      </c>
      <c r="F129" s="47">
        <f>D77</f>
        <v/>
      </c>
      <c r="G129" s="14" t="n"/>
      <c r="H129" s="47">
        <f>E77</f>
        <v/>
      </c>
      <c r="I129" s="14" t="n"/>
      <c r="J129" s="68">
        <f>H129/C24</f>
        <v/>
      </c>
      <c r="K129" s="13" t="n"/>
      <c r="L129" s="13" t="n"/>
      <c r="M129" s="14" t="n"/>
    </row>
    <row r="130" ht="15" customHeight="1">
      <c r="B130" s="12" t="inlineStr">
        <is>
          <t>Less: credit loss</t>
        </is>
      </c>
      <c r="F130" s="47">
        <f>D78</f>
        <v/>
      </c>
      <c r="G130" s="14" t="n"/>
      <c r="H130" s="47">
        <f>E78</f>
        <v/>
      </c>
      <c r="I130" s="14" t="n"/>
      <c r="J130" s="68">
        <f>H130/C24</f>
        <v/>
      </c>
      <c r="K130" s="13" t="n"/>
      <c r="L130" s="13" t="n"/>
      <c r="M130" s="14" t="n"/>
    </row>
    <row r="131" ht="15" customHeight="1">
      <c r="B131" s="43" t="inlineStr">
        <is>
          <t>Effective Gross Income</t>
        </is>
      </c>
      <c r="F131" s="45">
        <f>D79</f>
        <v/>
      </c>
      <c r="G131" s="14" t="n"/>
      <c r="H131" s="44">
        <f>E79</f>
        <v/>
      </c>
      <c r="I131" s="14" t="n"/>
      <c r="J131" s="88">
        <f>H131/C24</f>
        <v/>
      </c>
      <c r="K131" s="13" t="n"/>
      <c r="L131" s="13" t="n"/>
      <c r="M131" s="14" t="n"/>
    </row>
    <row r="132" ht="15" customHeight="1">
      <c r="B132" s="12" t="inlineStr">
        <is>
          <t>Real-estate taxes</t>
        </is>
      </c>
      <c r="F132" s="47">
        <f>-D81</f>
        <v/>
      </c>
      <c r="G132" s="14" t="n"/>
      <c r="H132" s="47">
        <f>-E81</f>
        <v/>
      </c>
      <c r="I132" s="14" t="n"/>
      <c r="J132" s="68">
        <f>H132/C24</f>
        <v/>
      </c>
      <c r="K132" s="13" t="n"/>
      <c r="L132" s="13" t="n"/>
      <c r="M132" s="14" t="n"/>
    </row>
    <row r="133" ht="15" customHeight="1">
      <c r="B133" s="12" t="inlineStr">
        <is>
          <t>Insurance</t>
        </is>
      </c>
      <c r="F133" s="47">
        <f>-D82</f>
        <v/>
      </c>
      <c r="G133" s="14" t="n"/>
      <c r="H133" s="47">
        <f>-E82</f>
        <v/>
      </c>
      <c r="I133" s="14" t="n"/>
      <c r="J133" s="68">
        <f>H133/C24</f>
        <v/>
      </c>
      <c r="K133" s="13" t="n"/>
      <c r="L133" s="13" t="n"/>
      <c r="M133" s="14" t="n"/>
    </row>
    <row r="134" ht="15" customHeight="1">
      <c r="B134" s="12" t="inlineStr">
        <is>
          <t>CAM</t>
        </is>
      </c>
      <c r="F134" s="47">
        <f>-D83</f>
        <v/>
      </c>
      <c r="G134" s="14" t="n"/>
      <c r="H134" s="47">
        <f>-E83</f>
        <v/>
      </c>
      <c r="I134" s="14" t="n"/>
      <c r="J134" s="68">
        <f>H134/C24</f>
        <v/>
      </c>
      <c r="K134" s="13" t="n"/>
      <c r="L134" s="13" t="n"/>
      <c r="M134" s="14" t="n"/>
    </row>
    <row r="135" ht="15" customHeight="1">
      <c r="B135" s="12" t="inlineStr">
        <is>
          <t>Repairs &amp; maintenance</t>
        </is>
      </c>
      <c r="F135" s="47">
        <f>-D84</f>
        <v/>
      </c>
      <c r="G135" s="14" t="n"/>
      <c r="H135" s="47">
        <f>-E84</f>
        <v/>
      </c>
      <c r="I135" s="14" t="n"/>
      <c r="J135" s="68">
        <f>H135/C24</f>
        <v/>
      </c>
      <c r="K135" s="13" t="n"/>
      <c r="L135" s="13" t="n"/>
      <c r="M135" s="14" t="n"/>
    </row>
    <row r="136" ht="15" customHeight="1">
      <c r="B136" s="12" t="inlineStr">
        <is>
          <t>Management fee</t>
        </is>
      </c>
      <c r="F136" s="47">
        <f>-D85</f>
        <v/>
      </c>
      <c r="G136" s="14" t="n"/>
      <c r="H136" s="47">
        <f>-E85</f>
        <v/>
      </c>
      <c r="I136" s="14" t="n"/>
      <c r="J136" s="68">
        <f>H136/C24</f>
        <v/>
      </c>
      <c r="K136" s="13" t="n"/>
      <c r="L136" s="13" t="n"/>
      <c r="M136" s="14" t="n"/>
    </row>
    <row r="137" ht="15" customHeight="1">
      <c r="B137" s="43" t="inlineStr">
        <is>
          <t>Net Operating Income</t>
        </is>
      </c>
      <c r="F137" s="45">
        <f>D87</f>
        <v/>
      </c>
      <c r="G137" s="14" t="n"/>
      <c r="H137" s="44">
        <f>E87</f>
        <v/>
      </c>
      <c r="I137" s="14" t="n"/>
      <c r="J137" s="88">
        <f>H137/C24</f>
        <v/>
      </c>
      <c r="K137" s="13" t="n"/>
      <c r="L137" s="13" t="n"/>
      <c r="M137" s="14" t="n"/>
    </row>
    <row r="138" ht="15" customHeight="1">
      <c r="B138" s="12" t="inlineStr">
        <is>
          <t>Replacement reserves</t>
        </is>
      </c>
      <c r="F138" s="47">
        <f>-D89</f>
        <v/>
      </c>
      <c r="G138" s="14" t="n"/>
      <c r="H138" s="47">
        <f>-E89</f>
        <v/>
      </c>
      <c r="I138" s="14" t="n"/>
      <c r="J138" s="68">
        <f>H138/C24</f>
        <v/>
      </c>
      <c r="K138" s="13" t="n"/>
      <c r="L138" s="13" t="n"/>
      <c r="M138" s="14" t="n"/>
    </row>
    <row r="139" ht="15" customHeight="1">
      <c r="B139" s="12" t="inlineStr">
        <is>
          <t>Leasing costs</t>
        </is>
      </c>
      <c r="F139" s="47">
        <f>-D90</f>
        <v/>
      </c>
      <c r="G139" s="14" t="n"/>
      <c r="H139" s="47">
        <f>-E90</f>
        <v/>
      </c>
      <c r="I139" s="14" t="n"/>
      <c r="J139" s="68">
        <f>H139/C24</f>
        <v/>
      </c>
      <c r="K139" s="13" t="n"/>
      <c r="L139" s="13" t="n"/>
      <c r="M139" s="14" t="n"/>
    </row>
    <row r="140" ht="15" customHeight="1">
      <c r="B140" s="43" t="inlineStr">
        <is>
          <t>Cash Flow Before Debt</t>
        </is>
      </c>
      <c r="F140" s="45">
        <f>D92</f>
        <v/>
      </c>
      <c r="G140" s="14" t="n"/>
      <c r="H140" s="44">
        <f>E92</f>
        <v/>
      </c>
      <c r="I140" s="14" t="n"/>
      <c r="J140" s="88">
        <f>H140/C24</f>
        <v/>
      </c>
      <c r="K140" s="13" t="n"/>
      <c r="L140" s="13" t="n"/>
      <c r="M140" s="14" t="n"/>
    </row>
    <row r="141" ht="15" customHeight="1">
      <c r="B141" s="12" t="inlineStr">
        <is>
          <t>Debt service</t>
        </is>
      </c>
      <c r="F141" s="47">
        <f>-C60</f>
        <v/>
      </c>
      <c r="G141" s="14" t="n"/>
      <c r="H141" s="47">
        <f>-C60</f>
        <v/>
      </c>
      <c r="I141" s="14" t="n"/>
      <c r="J141" s="68">
        <f>H141/C24</f>
        <v/>
      </c>
      <c r="K141" s="13" t="n"/>
      <c r="L141" s="13" t="n"/>
      <c r="M141" s="14" t="n"/>
    </row>
    <row r="142" ht="15" customHeight="1">
      <c r="B142" s="43" t="inlineStr">
        <is>
          <t>Cash Flow After Debt (levered)</t>
        </is>
      </c>
      <c r="F142" s="44">
        <f>F140-C60</f>
        <v/>
      </c>
      <c r="G142" s="14" t="n"/>
      <c r="H142" s="44">
        <f>H140-C60</f>
        <v/>
      </c>
      <c r="I142" s="14" t="n"/>
      <c r="J142" s="88">
        <f>H142/C24</f>
        <v/>
      </c>
      <c r="K142" s="13" t="n"/>
      <c r="L142" s="13" t="n"/>
      <c r="M142" s="14" t="n"/>
    </row>
  </sheetData>
  <mergeCells count="128">
    <mergeCell ref="L17:M17"/>
    <mergeCell ref="B2:M2"/>
    <mergeCell ref="D37:M37"/>
    <mergeCell ref="D12:M12"/>
    <mergeCell ref="D9:M9"/>
    <mergeCell ref="D30:M30"/>
    <mergeCell ref="D39:M39"/>
    <mergeCell ref="L19:M19"/>
    <mergeCell ref="J138:M138"/>
    <mergeCell ref="D14:M14"/>
    <mergeCell ref="D29:M29"/>
    <mergeCell ref="F133:G133"/>
    <mergeCell ref="H133:I133"/>
    <mergeCell ref="F142:G142"/>
    <mergeCell ref="H142:I142"/>
    <mergeCell ref="I17:K17"/>
    <mergeCell ref="H129:I129"/>
    <mergeCell ref="B118:M118"/>
    <mergeCell ref="D119:M119"/>
    <mergeCell ref="F135:G135"/>
    <mergeCell ref="B20:D20"/>
    <mergeCell ref="B80:M80"/>
    <mergeCell ref="B94:M94"/>
    <mergeCell ref="F134:G134"/>
    <mergeCell ref="H128:I128"/>
    <mergeCell ref="D27:M27"/>
    <mergeCell ref="D120:M120"/>
    <mergeCell ref="D41:M41"/>
    <mergeCell ref="H139:I139"/>
    <mergeCell ref="B43:M43"/>
    <mergeCell ref="J128:M128"/>
    <mergeCell ref="J137:M137"/>
    <mergeCell ref="J134:M134"/>
    <mergeCell ref="B17:D17"/>
    <mergeCell ref="D25:M25"/>
    <mergeCell ref="J139:M139"/>
    <mergeCell ref="B57:M57"/>
    <mergeCell ref="D55:M55"/>
    <mergeCell ref="B88:M88"/>
    <mergeCell ref="J129:M129"/>
    <mergeCell ref="D67:M67"/>
    <mergeCell ref="H130:I130"/>
    <mergeCell ref="D5:M5"/>
    <mergeCell ref="B19:D19"/>
    <mergeCell ref="D54:M54"/>
    <mergeCell ref="F138:G138"/>
    <mergeCell ref="H132:I132"/>
    <mergeCell ref="B74:M74"/>
    <mergeCell ref="J141:M141"/>
    <mergeCell ref="D31:M31"/>
    <mergeCell ref="D46:M46"/>
    <mergeCell ref="L20:M20"/>
    <mergeCell ref="D40:M40"/>
    <mergeCell ref="B4:M4"/>
    <mergeCell ref="B126:M126"/>
    <mergeCell ref="F136:G136"/>
    <mergeCell ref="H136:I136"/>
    <mergeCell ref="D7:M7"/>
    <mergeCell ref="E18:F18"/>
    <mergeCell ref="D58:M58"/>
    <mergeCell ref="B23:M23"/>
    <mergeCell ref="F128:G128"/>
    <mergeCell ref="D8:M8"/>
    <mergeCell ref="F137:G137"/>
    <mergeCell ref="H137:I137"/>
    <mergeCell ref="D42:M42"/>
    <mergeCell ref="D51:M51"/>
    <mergeCell ref="E20:F20"/>
    <mergeCell ref="D123:M123"/>
    <mergeCell ref="F139:G139"/>
    <mergeCell ref="D35:M35"/>
    <mergeCell ref="D50:M50"/>
    <mergeCell ref="D44:M44"/>
    <mergeCell ref="L18:M18"/>
    <mergeCell ref="D34:M34"/>
    <mergeCell ref="I20:K20"/>
    <mergeCell ref="J131:M131"/>
    <mergeCell ref="J140:M140"/>
    <mergeCell ref="D36:M36"/>
    <mergeCell ref="D45:M45"/>
    <mergeCell ref="F141:G141"/>
    <mergeCell ref="D124:M124"/>
    <mergeCell ref="D6:M6"/>
    <mergeCell ref="D13:M13"/>
    <mergeCell ref="J132:M132"/>
    <mergeCell ref="D48:M48"/>
    <mergeCell ref="B22:M22"/>
    <mergeCell ref="H141:I141"/>
    <mergeCell ref="H135:I135"/>
    <mergeCell ref="H134:I134"/>
    <mergeCell ref="J133:M133"/>
    <mergeCell ref="I18:K18"/>
    <mergeCell ref="B1:M1"/>
    <mergeCell ref="F127:G127"/>
    <mergeCell ref="E17:F17"/>
    <mergeCell ref="D24:M24"/>
    <mergeCell ref="H127:I127"/>
    <mergeCell ref="J130:M130"/>
    <mergeCell ref="D33:M33"/>
    <mergeCell ref="J142:M142"/>
    <mergeCell ref="B69:M69"/>
    <mergeCell ref="B38:M38"/>
    <mergeCell ref="B103:M103"/>
    <mergeCell ref="J135:M135"/>
    <mergeCell ref="E19:F19"/>
    <mergeCell ref="D26:M26"/>
    <mergeCell ref="D10:M10"/>
    <mergeCell ref="B49:M49"/>
    <mergeCell ref="I19:K19"/>
    <mergeCell ref="F129:G129"/>
    <mergeCell ref="J127:M127"/>
    <mergeCell ref="J136:M136"/>
    <mergeCell ref="H138:I138"/>
    <mergeCell ref="D52:M52"/>
    <mergeCell ref="B32:M32"/>
    <mergeCell ref="F131:G131"/>
    <mergeCell ref="H131:I131"/>
    <mergeCell ref="F140:G140"/>
    <mergeCell ref="H140:I140"/>
    <mergeCell ref="D11:M11"/>
    <mergeCell ref="B16:M16"/>
    <mergeCell ref="F130:G130"/>
    <mergeCell ref="D66:M66"/>
    <mergeCell ref="B18:D18"/>
    <mergeCell ref="D53:M53"/>
    <mergeCell ref="D47:M47"/>
    <mergeCell ref="F132:G132"/>
    <mergeCell ref="D28:M28"/>
  </mergeCells>
  <printOptions horizontalCentered="1"/>
  <pageMargins left="0.3" right="0.3" top="0.4" bottom="0.4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tabColor rgb="001F2D4E"/>
    <outlinePr summaryBelow="1" summaryRight="1"/>
    <pageSetUpPr fitToPage="1"/>
  </sheetPr>
  <dimension ref="A1:M137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.5" customWidth="1" min="1" max="1"/>
    <col width="34" customWidth="1" min="2" max="2"/>
    <col width="13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 ht="26" customHeight="1">
      <c r="B1" s="1" t="inlineStr">
        <is>
          <t>SUNRISE PLAZA  ·  ADJACENT RETAIL CENTER  (2465–2485, incl. 2473)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3" t="n"/>
    </row>
    <row r="2" ht="31" customHeight="1">
      <c r="B2" s="4" t="inlineStr">
        <is>
          <t>2465–2485 E Sunrise Blvd   |   Folio 49-42-36-12-0011   |   Kar Luen Inc · 25,105 SF · built 1962 (remod. 1987) · SEPARATE parcel from the 2455 office condo · restaurant/jeweler value-add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3" t="n"/>
    </row>
    <row r="3"/>
    <row r="4">
      <c r="B4" s="11" t="inlineStr">
        <is>
          <t>PROPERTY FACTS  —  ⚠️ REPORTED (BCPA blocked in build env; LoopNet/Sunbiz sourced)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3" t="n"/>
    </row>
    <row r="5" ht="15" customHeight="1">
      <c r="B5" s="12" t="inlineStr">
        <is>
          <t>Record owner</t>
        </is>
      </c>
      <c r="D5" s="12" t="inlineStr">
        <is>
          <t>Kar Luen Inc  (FL corp est. 1994; registered at 2465 E Sunrise)</t>
        </is>
      </c>
      <c r="E5" s="13" t="n"/>
      <c r="F5" s="13" t="n"/>
      <c r="G5" s="13" t="n"/>
      <c r="H5" s="13" t="n"/>
      <c r="I5" s="13" t="n"/>
      <c r="J5" s="13" t="n"/>
      <c r="K5" s="13" t="n"/>
      <c r="L5" s="13" t="n"/>
      <c r="M5" s="14" t="n"/>
    </row>
    <row r="6" ht="15" customHeight="1">
      <c r="B6" s="12" t="inlineStr">
        <is>
          <t>Parcel scope</t>
        </is>
      </c>
      <c r="D6" s="12" t="inlineStr">
        <is>
          <t>2465 / 2473 / 2485 E Sunrise — one folio (-0011); DISTINCT from the 2455 office condo (its own tab)</t>
        </is>
      </c>
      <c r="E6" s="13" t="n"/>
      <c r="F6" s="13" t="n"/>
      <c r="G6" s="13" t="n"/>
      <c r="H6" s="13" t="n"/>
      <c r="I6" s="13" t="n"/>
      <c r="J6" s="13" t="n"/>
      <c r="K6" s="13" t="n"/>
      <c r="L6" s="13" t="n"/>
      <c r="M6" s="14" t="n"/>
    </row>
    <row r="7" ht="15" customHeight="1">
      <c r="B7" s="12" t="inlineStr">
        <is>
          <t>Building</t>
        </is>
      </c>
      <c r="D7" s="12" t="inlineStr">
        <is>
          <t>25,105 SF, 2-story retail/commercial</t>
        </is>
      </c>
      <c r="E7" s="13" t="n"/>
      <c r="F7" s="13" t="n"/>
      <c r="G7" s="13" t="n"/>
      <c r="H7" s="13" t="n"/>
      <c r="I7" s="13" t="n"/>
      <c r="J7" s="13" t="n"/>
      <c r="K7" s="13" t="n"/>
      <c r="L7" s="13" t="n"/>
      <c r="M7" s="14" t="n"/>
    </row>
    <row r="8" ht="15" customHeight="1">
      <c r="B8" s="12" t="inlineStr">
        <is>
          <t>Land</t>
        </is>
      </c>
      <c r="D8" s="12" t="inlineStr">
        <is>
          <t>0.71 ac  ≈  30,928 SF</t>
        </is>
      </c>
      <c r="E8" s="13" t="n"/>
      <c r="F8" s="13" t="n"/>
      <c r="G8" s="13" t="n"/>
      <c r="H8" s="13" t="n"/>
      <c r="I8" s="13" t="n"/>
      <c r="J8" s="13" t="n"/>
      <c r="K8" s="13" t="n"/>
      <c r="L8" s="13" t="n"/>
      <c r="M8" s="14" t="n"/>
    </row>
    <row r="9" ht="15" customHeight="1">
      <c r="B9" s="12" t="inlineStr">
        <is>
          <t>Year built</t>
        </is>
      </c>
      <c r="D9" s="12" t="inlineStr">
        <is>
          <t>1962 (remodeled 1987)</t>
        </is>
      </c>
      <c r="E9" s="13" t="n"/>
      <c r="F9" s="13" t="n"/>
      <c r="G9" s="13" t="n"/>
      <c r="H9" s="13" t="n"/>
      <c r="I9" s="13" t="n"/>
      <c r="J9" s="13" t="n"/>
      <c r="K9" s="13" t="n"/>
      <c r="L9" s="13" t="n"/>
      <c r="M9" s="14" t="n"/>
    </row>
    <row r="10" ht="15" customHeight="1">
      <c r="B10" s="12" t="inlineStr">
        <is>
          <t>Zoning</t>
        </is>
      </c>
      <c r="D10" s="12" t="inlineStr">
        <is>
          <t>Community Business (CB) / B-1 corridor</t>
        </is>
      </c>
      <c r="E10" s="13" t="n"/>
      <c r="F10" s="13" t="n"/>
      <c r="G10" s="13" t="n"/>
      <c r="H10" s="13" t="n"/>
      <c r="I10" s="13" t="n"/>
      <c r="J10" s="13" t="n"/>
      <c r="K10" s="13" t="n"/>
      <c r="L10" s="13" t="n"/>
      <c r="M10" s="14" t="n"/>
    </row>
    <row r="11" ht="15" customHeight="1">
      <c r="B11" s="12" t="inlineStr">
        <is>
          <t>Anchor tenant</t>
        </is>
      </c>
      <c r="D11" s="12" t="inlineStr">
        <is>
          <t>Daoud's Fine Jewelry — 100+ yr family jeweler at 2473 (~6,000 SF)</t>
        </is>
      </c>
      <c r="E11" s="13" t="n"/>
      <c r="F11" s="13" t="n"/>
      <c r="G11" s="13" t="n"/>
      <c r="H11" s="13" t="n"/>
      <c r="I11" s="13" t="n"/>
      <c r="J11" s="13" t="n"/>
      <c r="K11" s="13" t="n"/>
      <c r="L11" s="13" t="n"/>
      <c r="M11" s="14" t="n"/>
    </row>
    <row r="12" ht="15" customHeight="1">
      <c r="B12" s="12" t="inlineStr">
        <is>
          <t>Reported value</t>
        </is>
      </c>
      <c r="D12" s="12" t="inlineStr">
        <is>
          <t>≈ $8.5M  (UNVERIFIED — no recent arm's-length sale)</t>
        </is>
      </c>
      <c r="E12" s="13" t="n"/>
      <c r="F12" s="13" t="n"/>
      <c r="G12" s="13" t="n"/>
      <c r="H12" s="13" t="n"/>
      <c r="I12" s="13" t="n"/>
      <c r="J12" s="13" t="n"/>
      <c r="K12" s="13" t="n"/>
      <c r="L12" s="13" t="n"/>
      <c r="M12" s="14" t="n"/>
    </row>
    <row r="13" ht="15" customHeight="1">
      <c r="B13" s="12" t="inlineStr">
        <is>
          <t>Last recorded sale</t>
        </is>
      </c>
      <c r="D13" s="12" t="inlineStr">
        <is>
          <t>Oct 2000 — $128,000 (stale/partial; not a value indicator)</t>
        </is>
      </c>
      <c r="E13" s="13" t="n"/>
      <c r="F13" s="13" t="n"/>
      <c r="G13" s="13" t="n"/>
      <c r="H13" s="13" t="n"/>
      <c r="I13" s="13" t="n"/>
      <c r="J13" s="13" t="n"/>
      <c r="K13" s="13" t="n"/>
      <c r="L13" s="13" t="n"/>
      <c r="M13" s="14" t="n"/>
    </row>
    <row r="14"/>
    <row r="15">
      <c r="B15" s="11" t="inlineStr">
        <is>
          <t>RENT ROLL (2465–2485 E Sunrise, incl. 2473)  —  🔶 tenants REPORTED (Yelp/LoopNet); suite SF &amp; rents estimated</t>
        </is>
      </c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3" t="n"/>
    </row>
    <row r="16" ht="15" customHeight="1">
      <c r="B16" s="15" t="inlineStr">
        <is>
          <t>Tenant / component</t>
        </is>
      </c>
      <c r="C16" s="13" t="n"/>
      <c r="D16" s="14" t="n"/>
      <c r="E16" s="15" t="inlineStr">
        <is>
          <t>Category</t>
        </is>
      </c>
      <c r="F16" s="14" t="n"/>
      <c r="G16" s="16" t="inlineStr">
        <is>
          <t>SF</t>
        </is>
      </c>
      <c r="H16" s="16" t="inlineStr">
        <is>
          <t>$/SF NNN</t>
        </is>
      </c>
      <c r="I16" s="16" t="inlineStr">
        <is>
          <t>Annual rent</t>
        </is>
      </c>
      <c r="J16" s="13" t="n"/>
      <c r="K16" s="14" t="n"/>
      <c r="L16" s="15" t="inlineStr">
        <is>
          <t>Note</t>
        </is>
      </c>
      <c r="M16" s="14" t="n"/>
    </row>
    <row r="17" ht="15" customHeight="1">
      <c r="B17" s="12" t="inlineStr">
        <is>
          <t>2473 · Daoud's Fine Jewelry</t>
        </is>
      </c>
      <c r="C17" s="13" t="n"/>
      <c r="D17" s="14" t="n"/>
      <c r="E17" s="12" t="inlineStr">
        <is>
          <t>Retail – jeweler (anchor)</t>
        </is>
      </c>
      <c r="F17" s="14" t="n"/>
      <c r="G17" s="64" t="n">
        <v>6000</v>
      </c>
      <c r="H17" s="78" t="n">
        <v>34</v>
      </c>
      <c r="I17" s="47">
        <f>G17*H17</f>
        <v/>
      </c>
      <c r="J17" s="13" t="n"/>
      <c r="K17" s="14" t="n"/>
      <c r="L17" s="12" t="inlineStr">
        <is>
          <t>100+ yr family business</t>
        </is>
      </c>
      <c r="M17" s="14" t="n"/>
    </row>
    <row r="18" ht="15" customHeight="1">
      <c r="B18" s="12" t="inlineStr">
        <is>
          <t>2465 · Sunness Supper Club</t>
        </is>
      </c>
      <c r="C18" s="13" t="n"/>
      <c r="D18" s="14" t="n"/>
      <c r="E18" s="12" t="inlineStr">
        <is>
          <t>Restaurant</t>
        </is>
      </c>
      <c r="F18" s="14" t="n"/>
      <c r="G18" s="64" t="n">
        <v>4000</v>
      </c>
      <c r="H18" s="78" t="n">
        <v>36</v>
      </c>
      <c r="I18" s="47">
        <f>G18*H18</f>
        <v/>
      </c>
      <c r="J18" s="13" t="n"/>
      <c r="K18" s="14" t="n"/>
      <c r="L18" s="12" t="inlineStr">
        <is>
          <t>corner restaurant</t>
        </is>
      </c>
      <c r="M18" s="14" t="n"/>
    </row>
    <row r="19" ht="15" customHeight="1">
      <c r="B19" s="12" t="inlineStr">
        <is>
          <t>2475 · BurgerFi</t>
        </is>
      </c>
      <c r="C19" s="13" t="n"/>
      <c r="D19" s="14" t="n"/>
      <c r="E19" s="12" t="inlineStr">
        <is>
          <t>Fast-casual restaurant</t>
        </is>
      </c>
      <c r="F19" s="14" t="n"/>
      <c r="G19" s="64" t="n">
        <v>3000</v>
      </c>
      <c r="H19" s="78" t="n">
        <v>40</v>
      </c>
      <c r="I19" s="47">
        <f>G19*H19</f>
        <v/>
      </c>
      <c r="J19" s="13" t="n"/>
      <c r="K19" s="14" t="n"/>
      <c r="L19" s="12" t="inlineStr">
        <is>
          <t>national franchise</t>
        </is>
      </c>
      <c r="M19" s="14" t="n"/>
    </row>
    <row r="20" ht="15" customHeight="1">
      <c r="B20" s="12" t="inlineStr">
        <is>
          <t>2485 · In-line shops</t>
        </is>
      </c>
      <c r="C20" s="13" t="n"/>
      <c r="D20" s="14" t="n"/>
      <c r="E20" s="12" t="inlineStr">
        <is>
          <t>Various local retail/service</t>
        </is>
      </c>
      <c r="F20" s="14" t="n"/>
      <c r="G20" s="64" t="n">
        <v>6005</v>
      </c>
      <c r="H20" s="78" t="n">
        <v>30</v>
      </c>
      <c r="I20" s="47">
        <f>G20*H20</f>
        <v/>
      </c>
      <c r="J20" s="13" t="n"/>
      <c r="K20" s="14" t="n"/>
      <c r="L20" s="12" t="inlineStr">
        <is>
          <t>balance of occupied</t>
        </is>
      </c>
      <c r="M20" s="14" t="n"/>
    </row>
    <row r="21" ht="15" customHeight="1">
      <c r="B21" s="12" t="inlineStr">
        <is>
          <t>2481 · SFL Maven</t>
        </is>
      </c>
      <c r="C21" s="13" t="n"/>
      <c r="D21" s="14" t="n"/>
      <c r="E21" s="12" t="inlineStr">
        <is>
          <t>Retail / resale</t>
        </is>
      </c>
      <c r="F21" s="14" t="n"/>
      <c r="G21" s="64" t="n">
        <v>1100</v>
      </c>
      <c r="H21" s="78" t="n">
        <v>32</v>
      </c>
      <c r="I21" s="47">
        <f>G21*H21</f>
        <v/>
      </c>
      <c r="J21" s="13" t="n"/>
      <c r="K21" s="14" t="n"/>
      <c r="L21" s="12" t="inlineStr">
        <is>
          <t>small-shop</t>
        </is>
      </c>
      <c r="M21" s="14" t="n"/>
    </row>
    <row r="22" ht="15" customHeight="1">
      <c r="B22" s="40" t="inlineStr">
        <is>
          <t>VACANT / available</t>
        </is>
      </c>
      <c r="C22" s="13" t="n"/>
      <c r="D22" s="14" t="n"/>
      <c r="E22" s="40" t="inlineStr">
        <is>
          <t>Lease-up upside</t>
        </is>
      </c>
      <c r="F22" s="14" t="n"/>
      <c r="G22" s="79" t="n">
        <v>5000</v>
      </c>
      <c r="H22" s="80" t="inlineStr">
        <is>
          <t>—</t>
        </is>
      </c>
      <c r="I22" s="80" t="inlineStr">
        <is>
          <t>—</t>
        </is>
      </c>
      <c r="J22" s="13" t="n"/>
      <c r="K22" s="14" t="n"/>
      <c r="L22" s="40" t="inlineStr">
        <is>
          <t>value-add</t>
        </is>
      </c>
      <c r="M22" s="14" t="n"/>
    </row>
    <row r="23" ht="15" customHeight="1">
      <c r="B23" s="19" t="inlineStr">
        <is>
          <t>TOTAL / WTD AVG</t>
        </is>
      </c>
      <c r="C23" s="13" t="n"/>
      <c r="D23" s="14" t="n"/>
      <c r="E23" s="81" t="inlineStr"/>
      <c r="F23" s="14" t="n"/>
      <c r="G23" s="66">
        <f>SUM(G17:G22)</f>
        <v/>
      </c>
      <c r="H23" s="82">
        <f>IFERROR(SUM(I17:I21)/SUM(G17:G21),0)</f>
        <v/>
      </c>
      <c r="I23" s="20">
        <f>SUM(I17:I21)</f>
        <v/>
      </c>
      <c r="J23" s="13" t="n"/>
      <c r="K23" s="14" t="n"/>
      <c r="L23" s="19" t="inlineStr">
        <is>
          <t>Daoud's = anchor; ~20% vacant</t>
        </is>
      </c>
      <c r="M23" s="14" t="n"/>
    </row>
    <row r="24"/>
    <row r="25">
      <c r="B25" s="11" t="inlineStr">
        <is>
          <t>ASSUMPTIONS  —  🔵 blue = hardcoded inputs</t>
        </is>
      </c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3" t="n"/>
    </row>
    <row r="26" ht="15" customHeight="1">
      <c r="B26" s="15" t="inlineStr">
        <is>
          <t>Property &amp; revenue</t>
        </is>
      </c>
      <c r="C26" s="13" t="n"/>
      <c r="D26" s="13" t="n"/>
      <c r="E26" s="13" t="n"/>
      <c r="F26" s="13" t="n"/>
      <c r="G26" s="13" t="n"/>
      <c r="H26" s="13" t="n"/>
      <c r="I26" s="13" t="n"/>
      <c r="J26" s="13" t="n"/>
      <c r="K26" s="13" t="n"/>
      <c r="L26" s="13" t="n"/>
      <c r="M26" s="14" t="n"/>
    </row>
    <row r="27" ht="15" customHeight="1">
      <c r="B27" s="12" t="inlineStr">
        <is>
          <t>Rentable SF</t>
        </is>
      </c>
      <c r="C27" s="77" t="n">
        <v>25105</v>
      </c>
      <c r="D27" s="22" t="inlineStr">
        <is>
          <t>⚠️ LoopNet (25,105 SF)</t>
        </is>
      </c>
      <c r="E27" s="13" t="n"/>
      <c r="F27" s="13" t="n"/>
      <c r="G27" s="13" t="n"/>
      <c r="H27" s="13" t="n"/>
      <c r="I27" s="13" t="n"/>
      <c r="J27" s="13" t="n"/>
      <c r="K27" s="13" t="n"/>
      <c r="L27" s="13" t="n"/>
      <c r="M27" s="14" t="n"/>
    </row>
    <row r="28" ht="15" customHeight="1">
      <c r="B28" s="12" t="inlineStr">
        <is>
          <t>Land (SF)</t>
        </is>
      </c>
      <c r="C28" s="25">
        <f>'Assumptions'!C84</f>
        <v/>
      </c>
      <c r="D28" s="22" t="inlineStr">
        <is>
          <t>🟢 Assumptions</t>
        </is>
      </c>
      <c r="E28" s="13" t="n"/>
      <c r="F28" s="13" t="n"/>
      <c r="G28" s="13" t="n"/>
      <c r="H28" s="13" t="n"/>
      <c r="I28" s="13" t="n"/>
      <c r="J28" s="13" t="n"/>
      <c r="K28" s="13" t="n"/>
      <c r="L28" s="13" t="n"/>
      <c r="M28" s="14" t="n"/>
    </row>
    <row r="29" ht="15" customHeight="1">
      <c r="B29" s="12" t="inlineStr">
        <is>
          <t>In-place occupancy</t>
        </is>
      </c>
      <c r="C29" s="18">
        <f>'Assumptions'!C87</f>
        <v/>
      </c>
      <c r="D29" s="22" t="inlineStr">
        <is>
          <t>🟢 Assumptions</t>
        </is>
      </c>
      <c r="E29" s="13" t="n"/>
      <c r="F29" s="13" t="n"/>
      <c r="G29" s="13" t="n"/>
      <c r="H29" s="13" t="n"/>
      <c r="I29" s="13" t="n"/>
      <c r="J29" s="13" t="n"/>
      <c r="K29" s="13" t="n"/>
      <c r="L29" s="13" t="n"/>
      <c r="M29" s="14" t="n"/>
    </row>
    <row r="30" ht="15" customHeight="1">
      <c r="B30" s="12" t="inlineStr">
        <is>
          <t>Stabilized occupancy</t>
        </is>
      </c>
      <c r="C30" s="18">
        <f>'Assumptions'!C88</f>
        <v/>
      </c>
      <c r="D30" s="22" t="inlineStr">
        <is>
          <t>🟢 Assumptions</t>
        </is>
      </c>
      <c r="E30" s="13" t="n"/>
      <c r="F30" s="13" t="n"/>
      <c r="G30" s="13" t="n"/>
      <c r="H30" s="13" t="n"/>
      <c r="I30" s="13" t="n"/>
      <c r="J30" s="13" t="n"/>
      <c r="K30" s="13" t="n"/>
      <c r="L30" s="13" t="n"/>
      <c r="M30" s="14" t="n"/>
    </row>
    <row r="31" ht="15" customHeight="1">
      <c r="B31" s="12" t="inlineStr">
        <is>
          <t>Market rent ($/SF NNN)</t>
        </is>
      </c>
      <c r="C31" s="26">
        <f>'Assumptions'!C86</f>
        <v/>
      </c>
      <c r="D31" s="22" t="inlineStr">
        <is>
          <t>🟢 Assumptions</t>
        </is>
      </c>
      <c r="E31" s="13" t="n"/>
      <c r="F31" s="13" t="n"/>
      <c r="G31" s="13" t="n"/>
      <c r="H31" s="13" t="n"/>
      <c r="I31" s="13" t="n"/>
      <c r="J31" s="13" t="n"/>
      <c r="K31" s="13" t="n"/>
      <c r="L31" s="13" t="n"/>
      <c r="M31" s="14" t="n"/>
    </row>
    <row r="32" ht="15" customHeight="1">
      <c r="B32" s="12" t="inlineStr">
        <is>
          <t>Rent growth</t>
        </is>
      </c>
      <c r="C32" s="84" t="n">
        <v>0.03</v>
      </c>
      <c r="D32" s="22" t="inlineStr">
        <is>
          <t>🔶</t>
        </is>
      </c>
      <c r="E32" s="13" t="n"/>
      <c r="F32" s="13" t="n"/>
      <c r="G32" s="13" t="n"/>
      <c r="H32" s="13" t="n"/>
      <c r="I32" s="13" t="n"/>
      <c r="J32" s="13" t="n"/>
      <c r="K32" s="13" t="n"/>
      <c r="L32" s="13" t="n"/>
      <c r="M32" s="14" t="n"/>
    </row>
    <row r="33" ht="15" customHeight="1">
      <c r="B33" s="12" t="inlineStr">
        <is>
          <t>Credit &amp; collection loss</t>
        </is>
      </c>
      <c r="C33" s="84" t="n">
        <v>0.03</v>
      </c>
      <c r="D33" s="22" t="inlineStr">
        <is>
          <t>🔶</t>
        </is>
      </c>
      <c r="E33" s="13" t="n"/>
      <c r="F33" s="13" t="n"/>
      <c r="G33" s="13" t="n"/>
      <c r="H33" s="13" t="n"/>
      <c r="I33" s="13" t="n"/>
      <c r="J33" s="13" t="n"/>
      <c r="K33" s="13" t="n"/>
      <c r="L33" s="13" t="n"/>
      <c r="M33" s="14" t="n"/>
    </row>
    <row r="34" ht="15" customHeight="1">
      <c r="B34" s="12" t="inlineStr">
        <is>
          <t>Effective millage</t>
        </is>
      </c>
      <c r="C34" s="83" t="n">
        <v>0.0191</v>
      </c>
      <c r="D34" s="22" t="inlineStr">
        <is>
          <t>✅ 2025 area millage</t>
        </is>
      </c>
      <c r="E34" s="13" t="n"/>
      <c r="F34" s="13" t="n"/>
      <c r="G34" s="13" t="n"/>
      <c r="H34" s="13" t="n"/>
      <c r="I34" s="13" t="n"/>
      <c r="J34" s="13" t="n"/>
      <c r="K34" s="13" t="n"/>
      <c r="L34" s="13" t="n"/>
      <c r="M34" s="14" t="n"/>
    </row>
    <row r="35" ht="15" customHeight="1">
      <c r="B35" s="15" t="inlineStr">
        <is>
          <t>Operating expenses</t>
        </is>
      </c>
      <c r="C35" s="13" t="n"/>
      <c r="D35" s="13" t="n"/>
      <c r="E35" s="13" t="n"/>
      <c r="F35" s="13" t="n"/>
      <c r="G35" s="13" t="n"/>
      <c r="H35" s="13" t="n"/>
      <c r="I35" s="13" t="n"/>
      <c r="J35" s="13" t="n"/>
      <c r="K35" s="13" t="n"/>
      <c r="L35" s="13" t="n"/>
      <c r="M35" s="14" t="n"/>
    </row>
    <row r="36" ht="15" customHeight="1">
      <c r="B36" s="12" t="inlineStr">
        <is>
          <t>Insurance ($/yr)</t>
        </is>
      </c>
      <c r="C36" s="23">
        <f>'Assumptions'!C89</f>
        <v/>
      </c>
      <c r="D36" s="22" t="inlineStr">
        <is>
          <t>🟢 Assumptions</t>
        </is>
      </c>
      <c r="E36" s="13" t="n"/>
      <c r="F36" s="13" t="n"/>
      <c r="G36" s="13" t="n"/>
      <c r="H36" s="13" t="n"/>
      <c r="I36" s="13" t="n"/>
      <c r="J36" s="13" t="n"/>
      <c r="K36" s="13" t="n"/>
      <c r="L36" s="13" t="n"/>
      <c r="M36" s="14" t="n"/>
    </row>
    <row r="37" ht="15" customHeight="1">
      <c r="B37" s="12" t="inlineStr">
        <is>
          <t>CAM ($/yr, recoverable)</t>
        </is>
      </c>
      <c r="C37" s="23">
        <f>'Assumptions'!C90</f>
        <v/>
      </c>
      <c r="D37" s="22" t="inlineStr">
        <is>
          <t>🟢 Assumptions</t>
        </is>
      </c>
      <c r="E37" s="13" t="n"/>
      <c r="F37" s="13" t="n"/>
      <c r="G37" s="13" t="n"/>
      <c r="H37" s="13" t="n"/>
      <c r="I37" s="13" t="n"/>
      <c r="J37" s="13" t="n"/>
      <c r="K37" s="13" t="n"/>
      <c r="L37" s="13" t="n"/>
      <c r="M37" s="14" t="n"/>
    </row>
    <row r="38" ht="15" customHeight="1">
      <c r="B38" s="12" t="inlineStr">
        <is>
          <t>Repairs &amp; maintenance ($/yr)</t>
        </is>
      </c>
      <c r="C38" s="23">
        <f>'Assumptions'!C91</f>
        <v/>
      </c>
      <c r="D38" s="22" t="inlineStr">
        <is>
          <t>🟢 Assumptions</t>
        </is>
      </c>
      <c r="E38" s="13" t="n"/>
      <c r="F38" s="13" t="n"/>
      <c r="G38" s="13" t="n"/>
      <c r="H38" s="13" t="n"/>
      <c r="I38" s="13" t="n"/>
      <c r="J38" s="13" t="n"/>
      <c r="K38" s="13" t="n"/>
      <c r="L38" s="13" t="n"/>
      <c r="M38" s="14" t="n"/>
    </row>
    <row r="39" ht="15" customHeight="1">
      <c r="B39" s="12" t="inlineStr">
        <is>
          <t>Management fee (% EGR)</t>
        </is>
      </c>
      <c r="C39" s="18">
        <f>'Assumptions'!C92</f>
        <v/>
      </c>
      <c r="D39" s="22" t="inlineStr">
        <is>
          <t>🟢 Assumptions</t>
        </is>
      </c>
      <c r="E39" s="13" t="n"/>
      <c r="F39" s="13" t="n"/>
      <c r="G39" s="13" t="n"/>
      <c r="H39" s="13" t="n"/>
      <c r="I39" s="13" t="n"/>
      <c r="J39" s="13" t="n"/>
      <c r="K39" s="13" t="n"/>
      <c r="L39" s="13" t="n"/>
      <c r="M39" s="14" t="n"/>
    </row>
    <row r="40" ht="15" customHeight="1">
      <c r="B40" s="12" t="inlineStr">
        <is>
          <t>Expense growth</t>
        </is>
      </c>
      <c r="C40" s="84" t="n">
        <v>0.03</v>
      </c>
      <c r="D40" s="22" t="inlineStr">
        <is>
          <t>🔶</t>
        </is>
      </c>
      <c r="E40" s="13" t="n"/>
      <c r="F40" s="13" t="n"/>
      <c r="G40" s="13" t="n"/>
      <c r="H40" s="13" t="n"/>
      <c r="I40" s="13" t="n"/>
      <c r="J40" s="13" t="n"/>
      <c r="K40" s="13" t="n"/>
      <c r="L40" s="13" t="n"/>
      <c r="M40" s="14" t="n"/>
    </row>
    <row r="41" ht="15" customHeight="1">
      <c r="B41" s="15" t="inlineStr">
        <is>
          <t>Capital</t>
        </is>
      </c>
      <c r="C41" s="13" t="n"/>
      <c r="D41" s="13" t="n"/>
      <c r="E41" s="13" t="n"/>
      <c r="F41" s="13" t="n"/>
      <c r="G41" s="13" t="n"/>
      <c r="H41" s="13" t="n"/>
      <c r="I41" s="13" t="n"/>
      <c r="J41" s="13" t="n"/>
      <c r="K41" s="13" t="n"/>
      <c r="L41" s="13" t="n"/>
      <c r="M41" s="14" t="n"/>
    </row>
    <row r="42" ht="15" customHeight="1">
      <c r="B42" s="12" t="inlineStr">
        <is>
          <t>Tenant improvements ($/SF)</t>
        </is>
      </c>
      <c r="C42" s="78" t="n">
        <v>30</v>
      </c>
      <c r="D42" s="22" t="inlineStr">
        <is>
          <t>🔶 on leased-up SF</t>
        </is>
      </c>
      <c r="E42" s="13" t="n"/>
      <c r="F42" s="13" t="n"/>
      <c r="G42" s="13" t="n"/>
      <c r="H42" s="13" t="n"/>
      <c r="I42" s="13" t="n"/>
      <c r="J42" s="13" t="n"/>
      <c r="K42" s="13" t="n"/>
      <c r="L42" s="13" t="n"/>
      <c r="M42" s="14" t="n"/>
    </row>
    <row r="43" ht="15" customHeight="1">
      <c r="B43" s="12" t="inlineStr">
        <is>
          <t>Leasing commissions ($/SF)</t>
        </is>
      </c>
      <c r="C43" s="78" t="n">
        <v>20</v>
      </c>
      <c r="D43" s="22" t="inlineStr">
        <is>
          <t>🔶 on leased-up SF</t>
        </is>
      </c>
      <c r="E43" s="13" t="n"/>
      <c r="F43" s="13" t="n"/>
      <c r="G43" s="13" t="n"/>
      <c r="H43" s="13" t="n"/>
      <c r="I43" s="13" t="n"/>
      <c r="J43" s="13" t="n"/>
      <c r="K43" s="13" t="n"/>
      <c r="L43" s="13" t="n"/>
      <c r="M43" s="14" t="n"/>
    </row>
    <row r="44" ht="15" customHeight="1">
      <c r="B44" s="12" t="inlineStr">
        <is>
          <t>Replacement reserves ($/SF/yr)</t>
        </is>
      </c>
      <c r="C44" s="78" t="n">
        <v>0.15</v>
      </c>
      <c r="D44" s="22" t="inlineStr">
        <is>
          <t>🔶</t>
        </is>
      </c>
      <c r="E44" s="13" t="n"/>
      <c r="F44" s="13" t="n"/>
      <c r="G44" s="13" t="n"/>
      <c r="H44" s="13" t="n"/>
      <c r="I44" s="13" t="n"/>
      <c r="J44" s="13" t="n"/>
      <c r="K44" s="13" t="n"/>
      <c r="L44" s="13" t="n"/>
      <c r="M44" s="14" t="n"/>
    </row>
    <row r="45" ht="15" customHeight="1">
      <c r="B45" s="12" t="inlineStr">
        <is>
          <t>Rollover leasing reserve ($/SF/yr)</t>
        </is>
      </c>
      <c r="C45" s="78" t="n">
        <v>0.75</v>
      </c>
      <c r="D45" s="22" t="inlineStr">
        <is>
          <t>🔶</t>
        </is>
      </c>
      <c r="E45" s="13" t="n"/>
      <c r="F45" s="13" t="n"/>
      <c r="G45" s="13" t="n"/>
      <c r="H45" s="13" t="n"/>
      <c r="I45" s="13" t="n"/>
      <c r="J45" s="13" t="n"/>
      <c r="K45" s="13" t="n"/>
      <c r="L45" s="13" t="n"/>
      <c r="M45" s="14" t="n"/>
    </row>
    <row r="46" ht="15" customHeight="1">
      <c r="B46" s="15" t="inlineStr">
        <is>
          <t>Acquisition &amp; financing</t>
        </is>
      </c>
      <c r="C46" s="13" t="n"/>
      <c r="D46" s="13" t="n"/>
      <c r="E46" s="13" t="n"/>
      <c r="F46" s="13" t="n"/>
      <c r="G46" s="13" t="n"/>
      <c r="H46" s="13" t="n"/>
      <c r="I46" s="13" t="n"/>
      <c r="J46" s="13" t="n"/>
      <c r="K46" s="13" t="n"/>
      <c r="L46" s="13" t="n"/>
      <c r="M46" s="14" t="n"/>
    </row>
    <row r="47" ht="15" customHeight="1">
      <c r="B47" s="12" t="inlineStr">
        <is>
          <t>Purchase price / basis</t>
        </is>
      </c>
      <c r="C47" s="23">
        <f>'Assumptions'!C83</f>
        <v/>
      </c>
      <c r="D47" s="22" t="inlineStr">
        <is>
          <t>🟢 Assumptions</t>
        </is>
      </c>
      <c r="E47" s="13" t="n"/>
      <c r="F47" s="13" t="n"/>
      <c r="G47" s="13" t="n"/>
      <c r="H47" s="13" t="n"/>
      <c r="I47" s="13" t="n"/>
      <c r="J47" s="13" t="n"/>
      <c r="K47" s="13" t="n"/>
      <c r="L47" s="13" t="n"/>
      <c r="M47" s="14" t="n"/>
    </row>
    <row r="48" ht="15" customHeight="1">
      <c r="B48" s="12" t="inlineStr">
        <is>
          <t>Closing &amp; acq costs (% price)</t>
        </is>
      </c>
      <c r="C48" s="84" t="n">
        <v>0.025</v>
      </c>
      <c r="D48" s="22" t="inlineStr">
        <is>
          <t>🔶</t>
        </is>
      </c>
      <c r="E48" s="13" t="n"/>
      <c r="F48" s="13" t="n"/>
      <c r="G48" s="13" t="n"/>
      <c r="H48" s="13" t="n"/>
      <c r="I48" s="13" t="n"/>
      <c r="J48" s="13" t="n"/>
      <c r="K48" s="13" t="n"/>
      <c r="L48" s="13" t="n"/>
      <c r="M48" s="14" t="n"/>
    </row>
    <row r="49" ht="15" customHeight="1">
      <c r="B49" s="12" t="inlineStr">
        <is>
          <t>Senior loan LTV</t>
        </is>
      </c>
      <c r="C49" s="18">
        <f>'Assumptions'!C95</f>
        <v/>
      </c>
      <c r="D49" s="22" t="inlineStr">
        <is>
          <t>🟢 Assumptions</t>
        </is>
      </c>
      <c r="E49" s="13" t="n"/>
      <c r="F49" s="13" t="n"/>
      <c r="G49" s="13" t="n"/>
      <c r="H49" s="13" t="n"/>
      <c r="I49" s="13" t="n"/>
      <c r="J49" s="13" t="n"/>
      <c r="K49" s="13" t="n"/>
      <c r="L49" s="13" t="n"/>
      <c r="M49" s="14" t="n"/>
    </row>
    <row r="50" ht="15" customHeight="1">
      <c r="B50" s="12" t="inlineStr">
        <is>
          <t>Senior loan rate</t>
        </is>
      </c>
      <c r="C50" s="24">
        <f>'Assumptions'!C96</f>
        <v/>
      </c>
      <c r="D50" s="22" t="inlineStr">
        <is>
          <t>🟢 Assumptions</t>
        </is>
      </c>
      <c r="E50" s="13" t="n"/>
      <c r="F50" s="13" t="n"/>
      <c r="G50" s="13" t="n"/>
      <c r="H50" s="13" t="n"/>
      <c r="I50" s="13" t="n"/>
      <c r="J50" s="13" t="n"/>
      <c r="K50" s="13" t="n"/>
      <c r="L50" s="13" t="n"/>
      <c r="M50" s="14" t="n"/>
    </row>
    <row r="51" ht="15" customHeight="1">
      <c r="B51" s="12" t="inlineStr">
        <is>
          <t>Senior loan amortization (yrs)</t>
        </is>
      </c>
      <c r="C51" s="86" t="n">
        <v>30</v>
      </c>
      <c r="D51" s="22" t="inlineStr">
        <is>
          <t>🔶</t>
        </is>
      </c>
      <c r="E51" s="13" t="n"/>
      <c r="F51" s="13" t="n"/>
      <c r="G51" s="13" t="n"/>
      <c r="H51" s="13" t="n"/>
      <c r="I51" s="13" t="n"/>
      <c r="J51" s="13" t="n"/>
      <c r="K51" s="13" t="n"/>
      <c r="L51" s="13" t="n"/>
      <c r="M51" s="14" t="n"/>
    </row>
    <row r="52" ht="15" customHeight="1">
      <c r="B52" s="15" t="inlineStr">
        <is>
          <t>Valuation &amp; hold</t>
        </is>
      </c>
      <c r="C52" s="13" t="n"/>
      <c r="D52" s="13" t="n"/>
      <c r="E52" s="13" t="n"/>
      <c r="F52" s="13" t="n"/>
      <c r="G52" s="13" t="n"/>
      <c r="H52" s="13" t="n"/>
      <c r="I52" s="13" t="n"/>
      <c r="J52" s="13" t="n"/>
      <c r="K52" s="13" t="n"/>
      <c r="L52" s="13" t="n"/>
      <c r="M52" s="14" t="n"/>
    </row>
    <row r="53" ht="15" customHeight="1">
      <c r="B53" s="12" t="inlineStr">
        <is>
          <t>Going-in cap</t>
        </is>
      </c>
      <c r="C53" s="24">
        <f>'Assumptions'!C93</f>
        <v/>
      </c>
      <c r="D53" s="22" t="inlineStr">
        <is>
          <t>🟢 Assumptions</t>
        </is>
      </c>
      <c r="E53" s="13" t="n"/>
      <c r="F53" s="13" t="n"/>
      <c r="G53" s="13" t="n"/>
      <c r="H53" s="13" t="n"/>
      <c r="I53" s="13" t="n"/>
      <c r="J53" s="13" t="n"/>
      <c r="K53" s="13" t="n"/>
      <c r="L53" s="13" t="n"/>
      <c r="M53" s="14" t="n"/>
    </row>
    <row r="54" ht="15" customHeight="1">
      <c r="B54" s="12" t="inlineStr">
        <is>
          <t>Exit / reversion cap</t>
        </is>
      </c>
      <c r="C54" s="24">
        <f>'Assumptions'!C94</f>
        <v/>
      </c>
      <c r="D54" s="22" t="inlineStr">
        <is>
          <t>🟢 Assumptions</t>
        </is>
      </c>
      <c r="E54" s="13" t="n"/>
      <c r="F54" s="13" t="n"/>
      <c r="G54" s="13" t="n"/>
      <c r="H54" s="13" t="n"/>
      <c r="I54" s="13" t="n"/>
      <c r="J54" s="13" t="n"/>
      <c r="K54" s="13" t="n"/>
      <c r="L54" s="13" t="n"/>
      <c r="M54" s="14" t="n"/>
    </row>
    <row r="55" ht="15" customHeight="1">
      <c r="B55" s="12" t="inlineStr">
        <is>
          <t>Cost of sale at exit</t>
        </is>
      </c>
      <c r="C55" s="84" t="n">
        <v>0.02</v>
      </c>
      <c r="D55" s="22" t="inlineStr">
        <is>
          <t>🔶</t>
        </is>
      </c>
      <c r="E55" s="13" t="n"/>
      <c r="F55" s="13" t="n"/>
      <c r="G55" s="13" t="n"/>
      <c r="H55" s="13" t="n"/>
      <c r="I55" s="13" t="n"/>
      <c r="J55" s="13" t="n"/>
      <c r="K55" s="13" t="n"/>
      <c r="L55" s="13" t="n"/>
      <c r="M55" s="14" t="n"/>
    </row>
    <row r="56" ht="15" customHeight="1">
      <c r="B56" s="12" t="inlineStr">
        <is>
          <t>Hold period (yrs)</t>
        </is>
      </c>
      <c r="C56" s="86" t="n">
        <v>5</v>
      </c>
      <c r="D56" s="22" t="inlineStr">
        <is>
          <t>🔶</t>
        </is>
      </c>
      <c r="E56" s="13" t="n"/>
      <c r="F56" s="13" t="n"/>
      <c r="G56" s="13" t="n"/>
      <c r="H56" s="13" t="n"/>
      <c r="I56" s="13" t="n"/>
      <c r="J56" s="13" t="n"/>
      <c r="K56" s="13" t="n"/>
      <c r="L56" s="13" t="n"/>
      <c r="M56" s="14" t="n"/>
    </row>
    <row r="57" ht="15" customHeight="1">
      <c r="B57" s="12" t="inlineStr">
        <is>
          <t>Discount rate (NPV)</t>
        </is>
      </c>
      <c r="C57" s="84" t="n">
        <v>0.09</v>
      </c>
      <c r="D57" s="22" t="inlineStr">
        <is>
          <t>🔶</t>
        </is>
      </c>
      <c r="E57" s="13" t="n"/>
      <c r="F57" s="13" t="n"/>
      <c r="G57" s="13" t="n"/>
      <c r="H57" s="13" t="n"/>
      <c r="I57" s="13" t="n"/>
      <c r="J57" s="13" t="n"/>
      <c r="K57" s="13" t="n"/>
      <c r="L57" s="13" t="n"/>
      <c r="M57" s="14" t="n"/>
    </row>
    <row r="58" ht="15" customHeight="1">
      <c r="B58" s="12" t="inlineStr">
        <is>
          <t>Land value ($/SF)</t>
        </is>
      </c>
      <c r="C58" s="26">
        <f>'Assumptions'!C85</f>
        <v/>
      </c>
      <c r="D58" s="22" t="inlineStr">
        <is>
          <t>🟢 Assumptions</t>
        </is>
      </c>
      <c r="E58" s="13" t="n"/>
      <c r="F58" s="13" t="n"/>
      <c r="G58" s="13" t="n"/>
      <c r="H58" s="13" t="n"/>
      <c r="I58" s="13" t="n"/>
      <c r="J58" s="13" t="n"/>
      <c r="K58" s="13" t="n"/>
      <c r="L58" s="13" t="n"/>
      <c r="M58" s="14" t="n"/>
    </row>
    <row r="59"/>
    <row r="60">
      <c r="B60" s="11" t="inlineStr">
        <is>
          <t>DERIVED VALUES  &amp;  DEBT SIZING</t>
        </is>
      </c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3" t="n"/>
    </row>
    <row r="61" ht="15" customHeight="1">
      <c r="B61" s="12" t="inlineStr">
        <is>
          <t>Senior loan amount</t>
        </is>
      </c>
      <c r="C61" s="51">
        <f>C47*C49</f>
        <v/>
      </c>
      <c r="D61" s="22" t="inlineStr">
        <is>
          <t>price × LTV</t>
        </is>
      </c>
      <c r="E61" s="13" t="n"/>
      <c r="F61" s="13" t="n"/>
      <c r="G61" s="13" t="n"/>
      <c r="H61" s="13" t="n"/>
      <c r="I61" s="13" t="n"/>
      <c r="J61" s="13" t="n"/>
      <c r="K61" s="13" t="n"/>
      <c r="L61" s="13" t="n"/>
      <c r="M61" s="14" t="n"/>
    </row>
    <row r="62" ht="15" customHeight="1">
      <c r="B62" s="12" t="inlineStr">
        <is>
          <t>Monthly rate</t>
        </is>
      </c>
      <c r="C62" s="50">
        <f>C50/12</f>
        <v/>
      </c>
    </row>
    <row r="63" ht="15" customHeight="1">
      <c r="B63" s="12" t="inlineStr">
        <is>
          <t>Annual debt service</t>
        </is>
      </c>
      <c r="C63" s="51">
        <f>C61*(C62/(1-(1+C62)^(-C51*12)))*12</f>
        <v/>
      </c>
    </row>
    <row r="64" ht="15" customHeight="1">
      <c r="B64" s="12" t="inlineStr">
        <is>
          <t>Equity at acquisition</t>
        </is>
      </c>
      <c r="C64" s="51">
        <f>C47*(1+C48)-C61</f>
        <v/>
      </c>
    </row>
    <row r="65" ht="15" customHeight="1">
      <c r="B65" s="12" t="inlineStr">
        <is>
          <t>Absorption SF (lease-up)</t>
        </is>
      </c>
      <c r="C65" s="64">
        <f>C27*(C30-C29)</f>
        <v/>
      </c>
    </row>
    <row r="66" ht="15" customHeight="1">
      <c r="B66" s="12" t="inlineStr">
        <is>
          <t>Initial leasing capital</t>
        </is>
      </c>
      <c r="C66" s="51">
        <f>C65*(C42+C43)</f>
        <v/>
      </c>
    </row>
    <row r="67" ht="15" customHeight="1">
      <c r="B67" s="12" t="inlineStr">
        <is>
          <t>Total cost basis</t>
        </is>
      </c>
      <c r="C67" s="51">
        <f>C47*(1+C48)+C66</f>
        <v/>
      </c>
    </row>
    <row r="68" ht="15" customHeight="1">
      <c r="B68" s="12" t="inlineStr">
        <is>
          <t>Total equity required</t>
        </is>
      </c>
      <c r="C68" s="51">
        <f>C67-C61</f>
        <v/>
      </c>
    </row>
    <row r="69" ht="15" customHeight="1">
      <c r="B69" s="12" t="inlineStr">
        <is>
          <t>Income value (Yr-1 NOI ÷ going-in cap)</t>
        </is>
      </c>
      <c r="C69" s="51">
        <f>D90/C53</f>
        <v/>
      </c>
      <c r="D69" s="22" t="inlineStr">
        <is>
          <t>computed below</t>
        </is>
      </c>
      <c r="E69" s="13" t="n"/>
      <c r="F69" s="13" t="n"/>
      <c r="G69" s="13" t="n"/>
      <c r="H69" s="13" t="n"/>
      <c r="I69" s="13" t="n"/>
      <c r="J69" s="13" t="n"/>
      <c r="K69" s="13" t="n"/>
      <c r="L69" s="13" t="n"/>
      <c r="M69" s="14" t="n"/>
    </row>
    <row r="70" ht="15" customHeight="1">
      <c r="B70" s="12" t="inlineStr">
        <is>
          <t>Land value (land SF × $/SF)</t>
        </is>
      </c>
      <c r="C70" s="51">
        <f>C28*C58</f>
        <v/>
      </c>
      <c r="D70" s="22" t="inlineStr">
        <is>
          <t>land SF × land $/SF (both blue inputs above)</t>
        </is>
      </c>
      <c r="E70" s="13" t="n"/>
      <c r="F70" s="13" t="n"/>
      <c r="G70" s="13" t="n"/>
      <c r="H70" s="13" t="n"/>
      <c r="I70" s="13" t="n"/>
      <c r="J70" s="13" t="n"/>
      <c r="K70" s="13" t="n"/>
      <c r="L70" s="13" t="n"/>
      <c r="M70" s="14" t="n"/>
    </row>
    <row r="71"/>
    <row r="72">
      <c r="B72" s="11" t="inlineStr">
        <is>
          <t>OPERATING CASH FLOW  —  10-year annual</t>
        </is>
      </c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3" t="n"/>
    </row>
    <row r="73" ht="15" customHeight="1">
      <c r="B73" s="15" t="inlineStr">
        <is>
          <t>Year</t>
        </is>
      </c>
      <c r="C73" s="16" t="inlineStr">
        <is>
          <t>0 / Acq</t>
        </is>
      </c>
      <c r="D73" s="41" t="n">
        <v>1</v>
      </c>
      <c r="E73" s="41" t="n">
        <v>2</v>
      </c>
      <c r="F73" s="41" t="n">
        <v>3</v>
      </c>
      <c r="G73" s="41" t="n">
        <v>4</v>
      </c>
      <c r="H73" s="41" t="n">
        <v>5</v>
      </c>
      <c r="I73" s="41" t="n">
        <v>6</v>
      </c>
      <c r="J73" s="41" t="n">
        <v>7</v>
      </c>
      <c r="K73" s="41" t="n">
        <v>8</v>
      </c>
      <c r="L73" s="41" t="n">
        <v>9</v>
      </c>
      <c r="M73" s="41" t="n">
        <v>10</v>
      </c>
    </row>
    <row r="74" ht="15" customHeight="1">
      <c r="B74" s="22" t="inlineStr">
        <is>
          <t>Year ending</t>
        </is>
      </c>
      <c r="C74" s="42" t="inlineStr">
        <is>
          <t>At close</t>
        </is>
      </c>
      <c r="D74" s="42" t="inlineStr">
        <is>
          <t>Dec-2027</t>
        </is>
      </c>
      <c r="E74" s="42" t="inlineStr">
        <is>
          <t>Dec-2028</t>
        </is>
      </c>
      <c r="F74" s="42" t="inlineStr">
        <is>
          <t>Dec-2029</t>
        </is>
      </c>
      <c r="G74" s="42" t="inlineStr">
        <is>
          <t>Dec-2030</t>
        </is>
      </c>
      <c r="H74" s="42" t="inlineStr">
        <is>
          <t>Dec-2031</t>
        </is>
      </c>
      <c r="I74" s="42" t="inlineStr">
        <is>
          <t>Dec-2032</t>
        </is>
      </c>
      <c r="J74" s="42" t="inlineStr">
        <is>
          <t>Dec-2033</t>
        </is>
      </c>
      <c r="K74" s="42" t="inlineStr">
        <is>
          <t>Dec-2034</t>
        </is>
      </c>
      <c r="L74" s="42" t="inlineStr">
        <is>
          <t>Dec-2035</t>
        </is>
      </c>
      <c r="M74" s="42" t="inlineStr">
        <is>
          <t>Dec-2036</t>
        </is>
      </c>
    </row>
    <row r="75" ht="15" customHeight="1">
      <c r="B75" s="12" t="inlineStr">
        <is>
          <t>Occupancy</t>
        </is>
      </c>
      <c r="D75" s="53">
        <f>(C29+C30)/2</f>
        <v/>
      </c>
      <c r="E75" s="53">
        <f>C30</f>
        <v/>
      </c>
      <c r="F75" s="53">
        <f>C30</f>
        <v/>
      </c>
      <c r="G75" s="53">
        <f>C30</f>
        <v/>
      </c>
      <c r="H75" s="53">
        <f>C30</f>
        <v/>
      </c>
      <c r="I75" s="53">
        <f>C30</f>
        <v/>
      </c>
      <c r="J75" s="53">
        <f>C30</f>
        <v/>
      </c>
      <c r="K75" s="53">
        <f>C30</f>
        <v/>
      </c>
      <c r="L75" s="53">
        <f>C30</f>
        <v/>
      </c>
      <c r="M75" s="53">
        <f>C30</f>
        <v/>
      </c>
    </row>
    <row r="76" ht="15" customHeight="1">
      <c r="B76" s="12" t="inlineStr">
        <is>
          <t>Leased SF</t>
        </is>
      </c>
      <c r="D76" s="64">
        <f>C27*D75</f>
        <v/>
      </c>
      <c r="E76" s="64">
        <f>C27*E75</f>
        <v/>
      </c>
      <c r="F76" s="64">
        <f>C27*F75</f>
        <v/>
      </c>
      <c r="G76" s="64">
        <f>C27*G75</f>
        <v/>
      </c>
      <c r="H76" s="64">
        <f>C27*H75</f>
        <v/>
      </c>
      <c r="I76" s="64">
        <f>C27*I75</f>
        <v/>
      </c>
      <c r="J76" s="64">
        <f>C27*J75</f>
        <v/>
      </c>
      <c r="K76" s="64">
        <f>C27*K75</f>
        <v/>
      </c>
      <c r="L76" s="64">
        <f>C27*L75</f>
        <v/>
      </c>
      <c r="M76" s="64">
        <f>C27*M75</f>
        <v/>
      </c>
    </row>
    <row r="77" ht="15" customHeight="1">
      <c r="B77" s="15" t="inlineStr">
        <is>
          <t>REVENUE</t>
        </is>
      </c>
      <c r="C77" s="13" t="n"/>
      <c r="D77" s="13" t="n"/>
      <c r="E77" s="13" t="n"/>
      <c r="F77" s="13" t="n"/>
      <c r="G77" s="13" t="n"/>
      <c r="H77" s="13" t="n"/>
      <c r="I77" s="13" t="n"/>
      <c r="J77" s="13" t="n"/>
      <c r="K77" s="13" t="n"/>
      <c r="L77" s="13" t="n"/>
      <c r="M77" s="14" t="n"/>
    </row>
    <row r="78" ht="15" customHeight="1">
      <c r="B78" s="12" t="inlineStr">
        <is>
          <t>Base rental income</t>
        </is>
      </c>
      <c r="D78" s="51">
        <f>D76*C31*(1+C32)^(1-1)</f>
        <v/>
      </c>
      <c r="E78" s="47">
        <f>E76*C31*(1+C32)^(2-1)</f>
        <v/>
      </c>
      <c r="F78" s="47">
        <f>F76*C31*(1+C32)^(3-1)</f>
        <v/>
      </c>
      <c r="G78" s="47">
        <f>G76*C31*(1+C32)^(4-1)</f>
        <v/>
      </c>
      <c r="H78" s="47">
        <f>H76*C31*(1+C32)^(5-1)</f>
        <v/>
      </c>
      <c r="I78" s="47">
        <f>I76*C31*(1+C32)^(6-1)</f>
        <v/>
      </c>
      <c r="J78" s="47">
        <f>J76*C31*(1+C32)^(7-1)</f>
        <v/>
      </c>
      <c r="K78" s="47">
        <f>K76*C31*(1+C32)^(8-1)</f>
        <v/>
      </c>
      <c r="L78" s="47">
        <f>L76*C31*(1+C32)^(9-1)</f>
        <v/>
      </c>
      <c r="M78" s="47">
        <f>M76*C31*(1+C32)^(10-1)</f>
        <v/>
      </c>
    </row>
    <row r="79" ht="15" customHeight="1">
      <c r="B79" s="12" t="inlineStr">
        <is>
          <t>Recoverable opex (gross)</t>
        </is>
      </c>
      <c r="D79" s="47">
        <f>(C47*C34+C36+C37)*(1+C40)^(1-1)</f>
        <v/>
      </c>
      <c r="E79" s="47">
        <f>(C47*C34+C36+C37)*(1+C40)^(2-1)</f>
        <v/>
      </c>
      <c r="F79" s="47">
        <f>(C47*C34+C36+C37)*(1+C40)^(3-1)</f>
        <v/>
      </c>
      <c r="G79" s="47">
        <f>(C47*C34+C36+C37)*(1+C40)^(4-1)</f>
        <v/>
      </c>
      <c r="H79" s="47">
        <f>(C47*C34+C36+C37)*(1+C40)^(5-1)</f>
        <v/>
      </c>
      <c r="I79" s="47">
        <f>(C47*C34+C36+C37)*(1+C40)^(6-1)</f>
        <v/>
      </c>
      <c r="J79" s="47">
        <f>(C47*C34+C36+C37)*(1+C40)^(7-1)</f>
        <v/>
      </c>
      <c r="K79" s="47">
        <f>(C47*C34+C36+C37)*(1+C40)^(8-1)</f>
        <v/>
      </c>
      <c r="L79" s="47">
        <f>(C47*C34+C36+C37)*(1+C40)^(9-1)</f>
        <v/>
      </c>
      <c r="M79" s="47">
        <f>(C47*C34+C36+C37)*(1+C40)^(10-1)</f>
        <v/>
      </c>
    </row>
    <row r="80" ht="15" customHeight="1">
      <c r="B80" s="12" t="inlineStr">
        <is>
          <t>Expense reimbursements (NNN)</t>
        </is>
      </c>
      <c r="D80" s="47">
        <f>D79*D75</f>
        <v/>
      </c>
      <c r="E80" s="47">
        <f>E79*E75</f>
        <v/>
      </c>
      <c r="F80" s="47">
        <f>F79*F75</f>
        <v/>
      </c>
      <c r="G80" s="47">
        <f>G79*G75</f>
        <v/>
      </c>
      <c r="H80" s="47">
        <f>H79*H75</f>
        <v/>
      </c>
      <c r="I80" s="47">
        <f>I79*I75</f>
        <v/>
      </c>
      <c r="J80" s="47">
        <f>J79*J75</f>
        <v/>
      </c>
      <c r="K80" s="47">
        <f>K79*K75</f>
        <v/>
      </c>
      <c r="L80" s="47">
        <f>L79*L75</f>
        <v/>
      </c>
      <c r="M80" s="47">
        <f>M79*M75</f>
        <v/>
      </c>
    </row>
    <row r="81" ht="15" customHeight="1">
      <c r="B81" s="12" t="inlineStr">
        <is>
          <t>Less: credit &amp; collection loss</t>
        </is>
      </c>
      <c r="D81" s="47">
        <f>-D78*C33</f>
        <v/>
      </c>
      <c r="E81" s="47">
        <f>-E78*C33</f>
        <v/>
      </c>
      <c r="F81" s="47">
        <f>-F78*C33</f>
        <v/>
      </c>
      <c r="G81" s="47">
        <f>-G78*C33</f>
        <v/>
      </c>
      <c r="H81" s="47">
        <f>-H78*C33</f>
        <v/>
      </c>
      <c r="I81" s="47">
        <f>-I78*C33</f>
        <v/>
      </c>
      <c r="J81" s="47">
        <f>-J78*C33</f>
        <v/>
      </c>
      <c r="K81" s="47">
        <f>-K78*C33</f>
        <v/>
      </c>
      <c r="L81" s="47">
        <f>-L78*C33</f>
        <v/>
      </c>
      <c r="M81" s="47">
        <f>-M78*C33</f>
        <v/>
      </c>
    </row>
    <row r="82" ht="15" customHeight="1">
      <c r="B82" s="43" t="inlineStr">
        <is>
          <t>Effective Gross Revenue</t>
        </is>
      </c>
      <c r="D82" s="51">
        <f>D78+D80+D81</f>
        <v/>
      </c>
      <c r="E82" s="47">
        <f>E78+E80+E81</f>
        <v/>
      </c>
      <c r="F82" s="47">
        <f>F78+F80+F81</f>
        <v/>
      </c>
      <c r="G82" s="47">
        <f>G78+G80+G81</f>
        <v/>
      </c>
      <c r="H82" s="47">
        <f>H78+H80+H81</f>
        <v/>
      </c>
      <c r="I82" s="47">
        <f>I78+I80+I81</f>
        <v/>
      </c>
      <c r="J82" s="47">
        <f>J78+J80+J81</f>
        <v/>
      </c>
      <c r="K82" s="47">
        <f>K78+K80+K81</f>
        <v/>
      </c>
      <c r="L82" s="47">
        <f>L78+L80+L81</f>
        <v/>
      </c>
      <c r="M82" s="47">
        <f>M78+M80+M81</f>
        <v/>
      </c>
    </row>
    <row r="83" ht="15" customHeight="1">
      <c r="B83" s="15" t="inlineStr">
        <is>
          <t>OPERATING EXPENSES</t>
        </is>
      </c>
      <c r="C83" s="13" t="n"/>
      <c r="D83" s="13" t="n"/>
      <c r="E83" s="13" t="n"/>
      <c r="F83" s="13" t="n"/>
      <c r="G83" s="13" t="n"/>
      <c r="H83" s="13" t="n"/>
      <c r="I83" s="13" t="n"/>
      <c r="J83" s="13" t="n"/>
      <c r="K83" s="13" t="n"/>
      <c r="L83" s="13" t="n"/>
      <c r="M83" s="14" t="n"/>
    </row>
    <row r="84" ht="15" customHeight="1">
      <c r="B84" s="12" t="inlineStr">
        <is>
          <t>Real-estate taxes (reassessed)</t>
        </is>
      </c>
      <c r="D84" s="47">
        <f>C47*C34*(1+C40)^(1-1)</f>
        <v/>
      </c>
      <c r="E84" s="47">
        <f>C47*C34*(1+C40)^(2-1)</f>
        <v/>
      </c>
      <c r="F84" s="47">
        <f>C47*C34*(1+C40)^(3-1)</f>
        <v/>
      </c>
      <c r="G84" s="47">
        <f>C47*C34*(1+C40)^(4-1)</f>
        <v/>
      </c>
      <c r="H84" s="47">
        <f>C47*C34*(1+C40)^(5-1)</f>
        <v/>
      </c>
      <c r="I84" s="47">
        <f>C47*C34*(1+C40)^(6-1)</f>
        <v/>
      </c>
      <c r="J84" s="47">
        <f>C47*C34*(1+C40)^(7-1)</f>
        <v/>
      </c>
      <c r="K84" s="47">
        <f>C47*C34*(1+C40)^(8-1)</f>
        <v/>
      </c>
      <c r="L84" s="47">
        <f>C47*C34*(1+C40)^(9-1)</f>
        <v/>
      </c>
      <c r="M84" s="47">
        <f>C47*C34*(1+C40)^(10-1)</f>
        <v/>
      </c>
    </row>
    <row r="85" ht="15" customHeight="1">
      <c r="B85" s="12" t="inlineStr">
        <is>
          <t>Insurance</t>
        </is>
      </c>
      <c r="D85" s="47">
        <f>C36*(1+C40)^(1-1)</f>
        <v/>
      </c>
      <c r="E85" s="47">
        <f>C36*(1+C40)^(2-1)</f>
        <v/>
      </c>
      <c r="F85" s="47">
        <f>C36*(1+C40)^(3-1)</f>
        <v/>
      </c>
      <c r="G85" s="47">
        <f>C36*(1+C40)^(4-1)</f>
        <v/>
      </c>
      <c r="H85" s="47">
        <f>C36*(1+C40)^(5-1)</f>
        <v/>
      </c>
      <c r="I85" s="47">
        <f>C36*(1+C40)^(6-1)</f>
        <v/>
      </c>
      <c r="J85" s="47">
        <f>C36*(1+C40)^(7-1)</f>
        <v/>
      </c>
      <c r="K85" s="47">
        <f>C36*(1+C40)^(8-1)</f>
        <v/>
      </c>
      <c r="L85" s="47">
        <f>C36*(1+C40)^(9-1)</f>
        <v/>
      </c>
      <c r="M85" s="47">
        <f>C36*(1+C40)^(10-1)</f>
        <v/>
      </c>
    </row>
    <row r="86" ht="15" customHeight="1">
      <c r="B86" s="12" t="inlineStr">
        <is>
          <t>CAM</t>
        </is>
      </c>
      <c r="D86" s="47">
        <f>C37*(1+C40)^(1-1)</f>
        <v/>
      </c>
      <c r="E86" s="47">
        <f>C37*(1+C40)^(2-1)</f>
        <v/>
      </c>
      <c r="F86" s="47">
        <f>C37*(1+C40)^(3-1)</f>
        <v/>
      </c>
      <c r="G86" s="47">
        <f>C37*(1+C40)^(4-1)</f>
        <v/>
      </c>
      <c r="H86" s="47">
        <f>C37*(1+C40)^(5-1)</f>
        <v/>
      </c>
      <c r="I86" s="47">
        <f>C37*(1+C40)^(6-1)</f>
        <v/>
      </c>
      <c r="J86" s="47">
        <f>C37*(1+C40)^(7-1)</f>
        <v/>
      </c>
      <c r="K86" s="47">
        <f>C37*(1+C40)^(8-1)</f>
        <v/>
      </c>
      <c r="L86" s="47">
        <f>C37*(1+C40)^(9-1)</f>
        <v/>
      </c>
      <c r="M86" s="47">
        <f>C37*(1+C40)^(10-1)</f>
        <v/>
      </c>
    </row>
    <row r="87" ht="15" customHeight="1">
      <c r="B87" s="12" t="inlineStr">
        <is>
          <t>Repairs &amp; maintenance</t>
        </is>
      </c>
      <c r="D87" s="47">
        <f>C38*(1+C40)^(1-1)</f>
        <v/>
      </c>
      <c r="E87" s="47">
        <f>C38*(1+C40)^(2-1)</f>
        <v/>
      </c>
      <c r="F87" s="47">
        <f>C38*(1+C40)^(3-1)</f>
        <v/>
      </c>
      <c r="G87" s="47">
        <f>C38*(1+C40)^(4-1)</f>
        <v/>
      </c>
      <c r="H87" s="47">
        <f>C38*(1+C40)^(5-1)</f>
        <v/>
      </c>
      <c r="I87" s="47">
        <f>C38*(1+C40)^(6-1)</f>
        <v/>
      </c>
      <c r="J87" s="47">
        <f>C38*(1+C40)^(7-1)</f>
        <v/>
      </c>
      <c r="K87" s="47">
        <f>C38*(1+C40)^(8-1)</f>
        <v/>
      </c>
      <c r="L87" s="47">
        <f>C38*(1+C40)^(9-1)</f>
        <v/>
      </c>
      <c r="M87" s="47">
        <f>C38*(1+C40)^(10-1)</f>
        <v/>
      </c>
    </row>
    <row r="88" ht="15" customHeight="1">
      <c r="B88" s="12" t="inlineStr">
        <is>
          <t>Management fee</t>
        </is>
      </c>
      <c r="D88" s="47">
        <f>D82*C39</f>
        <v/>
      </c>
      <c r="E88" s="47">
        <f>E82*C39</f>
        <v/>
      </c>
      <c r="F88" s="47">
        <f>F82*C39</f>
        <v/>
      </c>
      <c r="G88" s="47">
        <f>G82*C39</f>
        <v/>
      </c>
      <c r="H88" s="47">
        <f>H82*C39</f>
        <v/>
      </c>
      <c r="I88" s="47">
        <f>I82*C39</f>
        <v/>
      </c>
      <c r="J88" s="47">
        <f>J82*C39</f>
        <v/>
      </c>
      <c r="K88" s="47">
        <f>K82*C39</f>
        <v/>
      </c>
      <c r="L88" s="47">
        <f>L82*C39</f>
        <v/>
      </c>
      <c r="M88" s="47">
        <f>M82*C39</f>
        <v/>
      </c>
    </row>
    <row r="89" ht="15" customHeight="1">
      <c r="B89" s="43" t="inlineStr">
        <is>
          <t>Total operating expenses</t>
        </is>
      </c>
      <c r="D89" s="51">
        <f>SUM(D84:D88)</f>
        <v/>
      </c>
      <c r="E89" s="47">
        <f>SUM(E84:E88)</f>
        <v/>
      </c>
      <c r="F89" s="47">
        <f>SUM(F84:F88)</f>
        <v/>
      </c>
      <c r="G89" s="47">
        <f>SUM(G84:G88)</f>
        <v/>
      </c>
      <c r="H89" s="47">
        <f>SUM(H84:H88)</f>
        <v/>
      </c>
      <c r="I89" s="47">
        <f>SUM(I84:I88)</f>
        <v/>
      </c>
      <c r="J89" s="47">
        <f>SUM(J84:J88)</f>
        <v/>
      </c>
      <c r="K89" s="47">
        <f>SUM(K84:K88)</f>
        <v/>
      </c>
      <c r="L89" s="47">
        <f>SUM(L84:L88)</f>
        <v/>
      </c>
      <c r="M89" s="47">
        <f>SUM(M84:M88)</f>
        <v/>
      </c>
    </row>
    <row r="90" ht="15" customHeight="1">
      <c r="B90" s="43" t="inlineStr">
        <is>
          <t>NET OPERATING INCOME</t>
        </is>
      </c>
      <c r="D90" s="44">
        <f>D82-D89</f>
        <v/>
      </c>
      <c r="E90" s="45">
        <f>E82-E89</f>
        <v/>
      </c>
      <c r="F90" s="45">
        <f>F82-F89</f>
        <v/>
      </c>
      <c r="G90" s="45">
        <f>G82-G89</f>
        <v/>
      </c>
      <c r="H90" s="45">
        <f>H82-H89</f>
        <v/>
      </c>
      <c r="I90" s="45">
        <f>I82-I89</f>
        <v/>
      </c>
      <c r="J90" s="45">
        <f>J82-J89</f>
        <v/>
      </c>
      <c r="K90" s="45">
        <f>K82-K89</f>
        <v/>
      </c>
      <c r="L90" s="45">
        <f>L82-L89</f>
        <v/>
      </c>
      <c r="M90" s="45">
        <f>M82-M89</f>
        <v/>
      </c>
    </row>
    <row r="91" ht="15" customHeight="1">
      <c r="B91" s="15" t="inlineStr">
        <is>
          <t>CAPITAL</t>
        </is>
      </c>
      <c r="C91" s="13" t="n"/>
      <c r="D91" s="13" t="n"/>
      <c r="E91" s="13" t="n"/>
      <c r="F91" s="13" t="n"/>
      <c r="G91" s="13" t="n"/>
      <c r="H91" s="13" t="n"/>
      <c r="I91" s="13" t="n"/>
      <c r="J91" s="13" t="n"/>
      <c r="K91" s="13" t="n"/>
      <c r="L91" s="13" t="n"/>
      <c r="M91" s="14" t="n"/>
    </row>
    <row r="92" ht="15" customHeight="1">
      <c r="B92" s="12" t="inlineStr">
        <is>
          <t>Replacement reserves</t>
        </is>
      </c>
      <c r="D92" s="47">
        <f>C27*C44*(1+C40)^(1-1)</f>
        <v/>
      </c>
      <c r="E92" s="47">
        <f>C27*C44*(1+C40)^(2-1)</f>
        <v/>
      </c>
      <c r="F92" s="47">
        <f>C27*C44*(1+C40)^(3-1)</f>
        <v/>
      </c>
      <c r="G92" s="47">
        <f>C27*C44*(1+C40)^(4-1)</f>
        <v/>
      </c>
      <c r="H92" s="47">
        <f>C27*C44*(1+C40)^(5-1)</f>
        <v/>
      </c>
      <c r="I92" s="47">
        <f>C27*C44*(1+C40)^(6-1)</f>
        <v/>
      </c>
      <c r="J92" s="47">
        <f>C27*C44*(1+C40)^(7-1)</f>
        <v/>
      </c>
      <c r="K92" s="47">
        <f>C27*C44*(1+C40)^(8-1)</f>
        <v/>
      </c>
      <c r="L92" s="47">
        <f>C27*C44*(1+C40)^(9-1)</f>
        <v/>
      </c>
      <c r="M92" s="47">
        <f>C27*C44*(1+C40)^(10-1)</f>
        <v/>
      </c>
    </row>
    <row r="93" ht="15" customHeight="1">
      <c r="B93" s="12" t="inlineStr">
        <is>
          <t>Leasing costs</t>
        </is>
      </c>
      <c r="D93" s="47">
        <f>C65*(C42+C43)+C27*C45</f>
        <v/>
      </c>
      <c r="E93" s="47">
        <f>C27*C45*(1+C40)^(2-1)</f>
        <v/>
      </c>
      <c r="F93" s="47">
        <f>C27*C45*(1+C40)^(3-1)</f>
        <v/>
      </c>
      <c r="G93" s="47">
        <f>C27*C45*(1+C40)^(4-1)</f>
        <v/>
      </c>
      <c r="H93" s="47">
        <f>C27*C45*(1+C40)^(5-1)</f>
        <v/>
      </c>
      <c r="I93" s="47">
        <f>C27*C45*(1+C40)^(6-1)</f>
        <v/>
      </c>
      <c r="J93" s="47">
        <f>C27*C45*(1+C40)^(7-1)</f>
        <v/>
      </c>
      <c r="K93" s="47">
        <f>C27*C45*(1+C40)^(8-1)</f>
        <v/>
      </c>
      <c r="L93" s="47">
        <f>C27*C45*(1+C40)^(9-1)</f>
        <v/>
      </c>
      <c r="M93" s="47">
        <f>C27*C45*(1+C40)^(10-1)</f>
        <v/>
      </c>
    </row>
    <row r="94" ht="15" customHeight="1">
      <c r="B94" s="43" t="inlineStr">
        <is>
          <t>Total capital</t>
        </is>
      </c>
      <c r="D94" s="51">
        <f>D92+D93</f>
        <v/>
      </c>
      <c r="E94" s="47">
        <f>E92+E93</f>
        <v/>
      </c>
      <c r="F94" s="47">
        <f>F92+F93</f>
        <v/>
      </c>
      <c r="G94" s="47">
        <f>G92+G93</f>
        <v/>
      </c>
      <c r="H94" s="47">
        <f>H92+H93</f>
        <v/>
      </c>
      <c r="I94" s="47">
        <f>I92+I93</f>
        <v/>
      </c>
      <c r="J94" s="47">
        <f>J92+J93</f>
        <v/>
      </c>
      <c r="K94" s="47">
        <f>K92+K93</f>
        <v/>
      </c>
      <c r="L94" s="47">
        <f>L92+L93</f>
        <v/>
      </c>
      <c r="M94" s="47">
        <f>M92+M93</f>
        <v/>
      </c>
    </row>
    <row r="95" ht="15" customHeight="1">
      <c r="B95" s="43" t="inlineStr">
        <is>
          <t>Unlevered cash flow (before reversion)</t>
        </is>
      </c>
      <c r="C95" s="44">
        <f>-C47*(1+C48)</f>
        <v/>
      </c>
      <c r="D95" s="44">
        <f>D90-D94</f>
        <v/>
      </c>
      <c r="E95" s="45">
        <f>E90-E94</f>
        <v/>
      </c>
      <c r="F95" s="45">
        <f>F90-F94</f>
        <v/>
      </c>
      <c r="G95" s="45">
        <f>G90-G94</f>
        <v/>
      </c>
      <c r="H95" s="45">
        <f>H90-H94</f>
        <v/>
      </c>
      <c r="I95" s="45">
        <f>I90-I94</f>
        <v/>
      </c>
      <c r="J95" s="45">
        <f>J90-J94</f>
        <v/>
      </c>
      <c r="K95" s="45">
        <f>K90-K94</f>
        <v/>
      </c>
      <c r="L95" s="45">
        <f>L90-L94</f>
        <v/>
      </c>
      <c r="M95" s="45">
        <f>M90-M94</f>
        <v/>
      </c>
    </row>
    <row r="96"/>
    <row r="97">
      <c r="B97" s="11" t="inlineStr">
        <is>
          <t>REVERSION, DEBT SERVICE  &amp;  LEVERED CASH FLOW</t>
        </is>
      </c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3" t="n"/>
    </row>
    <row r="98" ht="15" customHeight="1">
      <c r="B98" s="12" t="inlineStr">
        <is>
          <t>Net sale proceeds (exit year)</t>
        </is>
      </c>
      <c r="D98" s="47">
        <f>IF(1=C56,(D90*(1+C32)/C54)*(1-C55),0)</f>
        <v/>
      </c>
      <c r="E98" s="47">
        <f>IF(2=C56,(E90*(1+C32)/C54)*(1-C55),0)</f>
        <v/>
      </c>
      <c r="F98" s="47">
        <f>IF(3=C56,(F90*(1+C32)/C54)*(1-C55),0)</f>
        <v/>
      </c>
      <c r="G98" s="47">
        <f>IF(4=C56,(G90*(1+C32)/C54)*(1-C55),0)</f>
        <v/>
      </c>
      <c r="H98" s="47">
        <f>IF(5=C56,(H90*(1+C32)/C54)*(1-C55),0)</f>
        <v/>
      </c>
      <c r="I98" s="47">
        <f>IF(6=C56,(I90*(1+C32)/C54)*(1-C55),0)</f>
        <v/>
      </c>
      <c r="J98" s="47">
        <f>IF(7=C56,(J90*(1+C32)/C54)*(1-C55),0)</f>
        <v/>
      </c>
      <c r="K98" s="47">
        <f>IF(8=C56,(K90*(1+C32)/C54)*(1-C55),0)</f>
        <v/>
      </c>
      <c r="L98" s="47">
        <f>IF(9=C56,(L90*(1+C32)/C54)*(1-C55),0)</f>
        <v/>
      </c>
      <c r="M98" s="47">
        <f>IF(10=C56,(M90*(1+C32)/C54)*(1-C55),0)</f>
        <v/>
      </c>
    </row>
    <row r="99" ht="15" customHeight="1">
      <c r="B99" s="43" t="inlineStr">
        <is>
          <t>UNLEVERED PROJECT CASH FLOW</t>
        </is>
      </c>
      <c r="C99" s="44">
        <f>C95</f>
        <v/>
      </c>
      <c r="D99" s="44">
        <f>IF(1&lt;=C56,D95,0)+D98</f>
        <v/>
      </c>
      <c r="E99" s="45">
        <f>IF(2&lt;=C56,E95,0)+E98</f>
        <v/>
      </c>
      <c r="F99" s="45">
        <f>IF(3&lt;=C56,F95,0)+F98</f>
        <v/>
      </c>
      <c r="G99" s="45">
        <f>IF(4&lt;=C56,G95,0)+G98</f>
        <v/>
      </c>
      <c r="H99" s="45">
        <f>IF(5&lt;=C56,H95,0)+H98</f>
        <v/>
      </c>
      <c r="I99" s="45">
        <f>IF(6&lt;=C56,I95,0)+I98</f>
        <v/>
      </c>
      <c r="J99" s="45">
        <f>IF(7&lt;=C56,J95,0)+J98</f>
        <v/>
      </c>
      <c r="K99" s="45">
        <f>IF(8&lt;=C56,K95,0)+K98</f>
        <v/>
      </c>
      <c r="L99" s="45">
        <f>IF(9&lt;=C56,L95,0)+L98</f>
        <v/>
      </c>
      <c r="M99" s="45">
        <f>IF(10&lt;=C56,M95,0)+M98</f>
        <v/>
      </c>
    </row>
    <row r="100" ht="15" customHeight="1">
      <c r="B100" s="12" t="inlineStr">
        <is>
          <t>Debt service</t>
        </is>
      </c>
      <c r="D100" s="47">
        <f>IF(1&lt;=C56,-C63,0)</f>
        <v/>
      </c>
      <c r="E100" s="47">
        <f>IF(2&lt;=C56,-C63,0)</f>
        <v/>
      </c>
      <c r="F100" s="47">
        <f>IF(3&lt;=C56,-C63,0)</f>
        <v/>
      </c>
      <c r="G100" s="47">
        <f>IF(4&lt;=C56,-C63,0)</f>
        <v/>
      </c>
      <c r="H100" s="47">
        <f>IF(5&lt;=C56,-C63,0)</f>
        <v/>
      </c>
      <c r="I100" s="47">
        <f>IF(6&lt;=C56,-C63,0)</f>
        <v/>
      </c>
      <c r="J100" s="47">
        <f>IF(7&lt;=C56,-C63,0)</f>
        <v/>
      </c>
      <c r="K100" s="47">
        <f>IF(8&lt;=C56,-C63,0)</f>
        <v/>
      </c>
      <c r="L100" s="47">
        <f>IF(9&lt;=C56,-C63,0)</f>
        <v/>
      </c>
      <c r="M100" s="47">
        <f>IF(10&lt;=C56,-C63,0)</f>
        <v/>
      </c>
    </row>
    <row r="101" ht="15" customHeight="1">
      <c r="B101" s="12" t="inlineStr">
        <is>
          <t>Loan balance (year-end)</t>
        </is>
      </c>
      <c r="D101" s="47">
        <f>C61*(1+C62)^(12*1)-(C63/12)*((1+C62)^(12*1)-1)/C62</f>
        <v/>
      </c>
      <c r="E101" s="47">
        <f>C61*(1+C62)^(12*2)-(C63/12)*((1+C62)^(12*2)-1)/C62</f>
        <v/>
      </c>
      <c r="F101" s="47">
        <f>C61*(1+C62)^(12*3)-(C63/12)*((1+C62)^(12*3)-1)/C62</f>
        <v/>
      </c>
      <c r="G101" s="47">
        <f>C61*(1+C62)^(12*4)-(C63/12)*((1+C62)^(12*4)-1)/C62</f>
        <v/>
      </c>
      <c r="H101" s="47">
        <f>C61*(1+C62)^(12*5)-(C63/12)*((1+C62)^(12*5)-1)/C62</f>
        <v/>
      </c>
      <c r="I101" s="47">
        <f>C61*(1+C62)^(12*6)-(C63/12)*((1+C62)^(12*6)-1)/C62</f>
        <v/>
      </c>
      <c r="J101" s="47">
        <f>C61*(1+C62)^(12*7)-(C63/12)*((1+C62)^(12*7)-1)/C62</f>
        <v/>
      </c>
      <c r="K101" s="47">
        <f>C61*(1+C62)^(12*8)-(C63/12)*((1+C62)^(12*8)-1)/C62</f>
        <v/>
      </c>
      <c r="L101" s="47">
        <f>C61*(1+C62)^(12*9)-(C63/12)*((1+C62)^(12*9)-1)/C62</f>
        <v/>
      </c>
      <c r="M101" s="47">
        <f>C61*(1+C62)^(12*10)-(C63/12)*((1+C62)^(12*10)-1)/C62</f>
        <v/>
      </c>
    </row>
    <row r="102" ht="15" customHeight="1">
      <c r="B102" s="12" t="inlineStr">
        <is>
          <t>DSCR (NOI ÷ DS)</t>
        </is>
      </c>
      <c r="D102" s="54">
        <f>D90/C63</f>
        <v/>
      </c>
      <c r="E102" s="54">
        <f>E90/C63</f>
        <v/>
      </c>
      <c r="F102" s="54">
        <f>F90/C63</f>
        <v/>
      </c>
      <c r="G102" s="54">
        <f>G90/C63</f>
        <v/>
      </c>
      <c r="H102" s="54">
        <f>H90/C63</f>
        <v/>
      </c>
      <c r="I102" s="54">
        <f>I90/C63</f>
        <v/>
      </c>
      <c r="J102" s="54">
        <f>J90/C63</f>
        <v/>
      </c>
      <c r="K102" s="54">
        <f>K90/C63</f>
        <v/>
      </c>
      <c r="L102" s="54">
        <f>L90/C63</f>
        <v/>
      </c>
      <c r="M102" s="54">
        <f>M90/C63</f>
        <v/>
      </c>
    </row>
    <row r="103" ht="15" customHeight="1">
      <c r="B103" s="12" t="inlineStr">
        <is>
          <t>Debt yield (NOI ÷ loan)</t>
        </is>
      </c>
      <c r="D103" s="53">
        <f>D90/C61</f>
        <v/>
      </c>
      <c r="E103" s="53">
        <f>E90/C61</f>
        <v/>
      </c>
      <c r="F103" s="53">
        <f>F90/C61</f>
        <v/>
      </c>
      <c r="G103" s="53">
        <f>G90/C61</f>
        <v/>
      </c>
      <c r="H103" s="53">
        <f>H90/C61</f>
        <v/>
      </c>
      <c r="I103" s="53">
        <f>I90/C61</f>
        <v/>
      </c>
      <c r="J103" s="53">
        <f>J90/C61</f>
        <v/>
      </c>
      <c r="K103" s="53">
        <f>K90/C61</f>
        <v/>
      </c>
      <c r="L103" s="53">
        <f>L90/C61</f>
        <v/>
      </c>
      <c r="M103" s="53">
        <f>M90/C61</f>
        <v/>
      </c>
    </row>
    <row r="104" ht="15" customHeight="1">
      <c r="B104" s="43" t="inlineStr">
        <is>
          <t>LEVERED CASH FLOW (equity)</t>
        </is>
      </c>
      <c r="C104" s="44">
        <f>-C64</f>
        <v/>
      </c>
      <c r="D104" s="44">
        <f>IF(1&lt;=C56,D95-C63,0)+IF(1=C56,D98-D101,0)</f>
        <v/>
      </c>
      <c r="E104" s="45">
        <f>IF(2&lt;=C56,E95-C63,0)+IF(2=C56,E98-E101,0)</f>
        <v/>
      </c>
      <c r="F104" s="45">
        <f>IF(3&lt;=C56,F95-C63,0)+IF(3=C56,F98-F101,0)</f>
        <v/>
      </c>
      <c r="G104" s="45">
        <f>IF(4&lt;=C56,G95-C63,0)+IF(4=C56,G98-G101,0)</f>
        <v/>
      </c>
      <c r="H104" s="45">
        <f>IF(5&lt;=C56,H95-C63,0)+IF(5=C56,H98-H101,0)</f>
        <v/>
      </c>
      <c r="I104" s="45">
        <f>IF(6&lt;=C56,I95-C63,0)+IF(6=C56,I98-I101,0)</f>
        <v/>
      </c>
      <c r="J104" s="45">
        <f>IF(7&lt;=C56,J95-C63,0)+IF(7=C56,J98-J101,0)</f>
        <v/>
      </c>
      <c r="K104" s="45">
        <f>IF(8&lt;=C56,K95-C63,0)+IF(8=C56,K98-K101,0)</f>
        <v/>
      </c>
      <c r="L104" s="45">
        <f>IF(9&lt;=C56,L95-C63,0)+IF(9=C56,L98-L101,0)</f>
        <v/>
      </c>
      <c r="M104" s="45">
        <f>IF(10&lt;=C56,M95-C63,0)+IF(10=C56,M98-M101,0)</f>
        <v/>
      </c>
    </row>
    <row r="105"/>
    <row r="106">
      <c r="B106" s="11" t="inlineStr">
        <is>
          <t>RETURNS  —  unlevered &amp; levered</t>
        </is>
      </c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3" t="n"/>
    </row>
    <row r="107" ht="15" customHeight="1">
      <c r="B107" s="12" t="inlineStr">
        <is>
          <t>Unlevered IRR</t>
        </is>
      </c>
      <c r="C107" s="53">
        <f>IFERROR(IRR(C99:M99),"n/m")</f>
        <v/>
      </c>
    </row>
    <row r="108" ht="15" customHeight="1">
      <c r="B108" s="12" t="inlineStr">
        <is>
          <t>Unlevered equity multiple</t>
        </is>
      </c>
      <c r="C108" s="54">
        <f>SUM(D99:M99)/-C99</f>
        <v/>
      </c>
    </row>
    <row r="109" ht="15" customHeight="1">
      <c r="B109" s="12" t="inlineStr">
        <is>
          <t>Unlevered NPV @ discount rate</t>
        </is>
      </c>
      <c r="C109" s="51">
        <f>C99+NPV(C57,D99:M99)</f>
        <v/>
      </c>
    </row>
    <row r="110" ht="15" customHeight="1">
      <c r="B110" s="12" t="inlineStr">
        <is>
          <t>Levered IRR</t>
        </is>
      </c>
      <c r="C110" s="53">
        <f>IFERROR(IRR(C104:M104),"n/m")</f>
        <v/>
      </c>
    </row>
    <row r="111" ht="15" customHeight="1">
      <c r="B111" s="12" t="inlineStr">
        <is>
          <t>Levered equity multiple</t>
        </is>
      </c>
      <c r="C111" s="54">
        <f>SUM(D104:M104)/C64</f>
        <v/>
      </c>
    </row>
    <row r="112" ht="15" customHeight="1">
      <c r="B112" s="12" t="inlineStr">
        <is>
          <t>Year-1 NOI (pro-forma)</t>
        </is>
      </c>
      <c r="C112" s="51">
        <f>D90</f>
        <v/>
      </c>
    </row>
    <row r="113" ht="15" customHeight="1">
      <c r="B113" s="12" t="inlineStr">
        <is>
          <t>As-is in-place NOI (at occ0, no lease-up)</t>
        </is>
      </c>
      <c r="C113" s="51">
        <f>(C27*C29*C31)+(C47*C34+C36+C37)*C29-(C27*C29*C31)*C33-(C47*C34+C36+C37+C38)-((C27*C29*C31)+(C47*C34+C36+C37)*C29-(C27*C29*C31)*C33)*C39</f>
        <v/>
      </c>
    </row>
    <row r="114" ht="15" customHeight="1">
      <c r="B114" s="12" t="inlineStr">
        <is>
          <t>Going-in cap (as-is NOI ÷ price)</t>
        </is>
      </c>
      <c r="C114" s="50">
        <f>C113/C47</f>
        <v/>
      </c>
    </row>
    <row r="115" ht="15" customHeight="1">
      <c r="B115" s="12" t="inlineStr">
        <is>
          <t>Stabilized NOI (Yr 2)</t>
        </is>
      </c>
      <c r="C115" s="51">
        <f>E90</f>
        <v/>
      </c>
    </row>
    <row r="116" ht="15" customHeight="1">
      <c r="B116" s="12" t="inlineStr">
        <is>
          <t>Stabilized value (÷ exit cap)</t>
        </is>
      </c>
      <c r="C116" s="51">
        <f>C115/C54</f>
        <v/>
      </c>
    </row>
    <row r="117" ht="15" customHeight="1">
      <c r="B117" s="12" t="inlineStr">
        <is>
          <t>Stabilized yield on cost</t>
        </is>
      </c>
      <c r="C117" s="53">
        <f>C115/C67</f>
        <v/>
      </c>
    </row>
    <row r="118" ht="15" customHeight="1">
      <c r="B118" s="12" t="inlineStr">
        <is>
          <t>Year-1 DSCR</t>
        </is>
      </c>
      <c r="C118" s="54">
        <f>D90/C63</f>
        <v/>
      </c>
    </row>
    <row r="119" ht="15" customHeight="1">
      <c r="B119" s="12" t="inlineStr">
        <is>
          <t>Year-1 debt yield</t>
        </is>
      </c>
      <c r="C119" s="53">
        <f>D90/C61</f>
        <v/>
      </c>
    </row>
    <row r="120"/>
    <row r="121">
      <c r="B121" s="11" t="inlineStr">
        <is>
          <t>PROFIT &amp; LOSS STATEMENT  —  Year 1 vs. Stabilized (Yr 2)</t>
        </is>
      </c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3" t="n"/>
    </row>
    <row r="122" ht="15" customHeight="1">
      <c r="B122" s="15" t="inlineStr">
        <is>
          <t>$ / year</t>
        </is>
      </c>
      <c r="F122" s="87" t="inlineStr">
        <is>
          <t>Year 1</t>
        </is>
      </c>
      <c r="G122" s="14" t="n"/>
      <c r="H122" s="87" t="inlineStr">
        <is>
          <t>Stabilized</t>
        </is>
      </c>
      <c r="I122" s="14" t="n"/>
      <c r="J122" s="87" t="inlineStr">
        <is>
          <t>Per SF (stab.)</t>
        </is>
      </c>
      <c r="K122" s="13" t="n"/>
      <c r="L122" s="13" t="n"/>
      <c r="M122" s="14" t="n"/>
    </row>
    <row r="123" ht="15" customHeight="1">
      <c r="B123" s="52" t="inlineStr">
        <is>
          <t>Base rental income</t>
        </is>
      </c>
      <c r="F123" s="45">
        <f>D78</f>
        <v/>
      </c>
      <c r="G123" s="14" t="n"/>
      <c r="H123" s="44">
        <f>E78</f>
        <v/>
      </c>
      <c r="I123" s="14" t="n"/>
      <c r="J123" s="88">
        <f>H123/C27</f>
        <v/>
      </c>
      <c r="K123" s="13" t="n"/>
      <c r="L123" s="13" t="n"/>
      <c r="M123" s="14" t="n"/>
    </row>
    <row r="124" ht="15" customHeight="1">
      <c r="B124" s="12" t="inlineStr">
        <is>
          <t>Expense reimbursements</t>
        </is>
      </c>
      <c r="F124" s="47">
        <f>D80</f>
        <v/>
      </c>
      <c r="G124" s="14" t="n"/>
      <c r="H124" s="47">
        <f>E80</f>
        <v/>
      </c>
      <c r="I124" s="14" t="n"/>
      <c r="J124" s="68">
        <f>H124/C27</f>
        <v/>
      </c>
      <c r="K124" s="13" t="n"/>
      <c r="L124" s="13" t="n"/>
      <c r="M124" s="14" t="n"/>
    </row>
    <row r="125" ht="15" customHeight="1">
      <c r="B125" s="12" t="inlineStr">
        <is>
          <t>Less: credit loss</t>
        </is>
      </c>
      <c r="F125" s="47">
        <f>D81</f>
        <v/>
      </c>
      <c r="G125" s="14" t="n"/>
      <c r="H125" s="47">
        <f>E81</f>
        <v/>
      </c>
      <c r="I125" s="14" t="n"/>
      <c r="J125" s="68">
        <f>H125/C27</f>
        <v/>
      </c>
      <c r="K125" s="13" t="n"/>
      <c r="L125" s="13" t="n"/>
      <c r="M125" s="14" t="n"/>
    </row>
    <row r="126" ht="15" customHeight="1">
      <c r="B126" s="43" t="inlineStr">
        <is>
          <t>Effective Gross Income</t>
        </is>
      </c>
      <c r="F126" s="45">
        <f>D82</f>
        <v/>
      </c>
      <c r="G126" s="14" t="n"/>
      <c r="H126" s="44">
        <f>E82</f>
        <v/>
      </c>
      <c r="I126" s="14" t="n"/>
      <c r="J126" s="88">
        <f>H126/C27</f>
        <v/>
      </c>
      <c r="K126" s="13" t="n"/>
      <c r="L126" s="13" t="n"/>
      <c r="M126" s="14" t="n"/>
    </row>
    <row r="127" ht="15" customHeight="1">
      <c r="B127" s="12" t="inlineStr">
        <is>
          <t>Real-estate taxes</t>
        </is>
      </c>
      <c r="F127" s="47">
        <f>-D84</f>
        <v/>
      </c>
      <c r="G127" s="14" t="n"/>
      <c r="H127" s="47">
        <f>-E84</f>
        <v/>
      </c>
      <c r="I127" s="14" t="n"/>
      <c r="J127" s="68">
        <f>H127/C27</f>
        <v/>
      </c>
      <c r="K127" s="13" t="n"/>
      <c r="L127" s="13" t="n"/>
      <c r="M127" s="14" t="n"/>
    </row>
    <row r="128" ht="15" customHeight="1">
      <c r="B128" s="12" t="inlineStr">
        <is>
          <t>Insurance</t>
        </is>
      </c>
      <c r="F128" s="47">
        <f>-D85</f>
        <v/>
      </c>
      <c r="G128" s="14" t="n"/>
      <c r="H128" s="47">
        <f>-E85</f>
        <v/>
      </c>
      <c r="I128" s="14" t="n"/>
      <c r="J128" s="68">
        <f>H128/C27</f>
        <v/>
      </c>
      <c r="K128" s="13" t="n"/>
      <c r="L128" s="13" t="n"/>
      <c r="M128" s="14" t="n"/>
    </row>
    <row r="129" ht="15" customHeight="1">
      <c r="B129" s="12" t="inlineStr">
        <is>
          <t>CAM</t>
        </is>
      </c>
      <c r="F129" s="47">
        <f>-D86</f>
        <v/>
      </c>
      <c r="G129" s="14" t="n"/>
      <c r="H129" s="47">
        <f>-E86</f>
        <v/>
      </c>
      <c r="I129" s="14" t="n"/>
      <c r="J129" s="68">
        <f>H129/C27</f>
        <v/>
      </c>
      <c r="K129" s="13" t="n"/>
      <c r="L129" s="13" t="n"/>
      <c r="M129" s="14" t="n"/>
    </row>
    <row r="130" ht="15" customHeight="1">
      <c r="B130" s="12" t="inlineStr">
        <is>
          <t>Repairs &amp; maintenance</t>
        </is>
      </c>
      <c r="F130" s="47">
        <f>-D87</f>
        <v/>
      </c>
      <c r="G130" s="14" t="n"/>
      <c r="H130" s="47">
        <f>-E87</f>
        <v/>
      </c>
      <c r="I130" s="14" t="n"/>
      <c r="J130" s="68">
        <f>H130/C27</f>
        <v/>
      </c>
      <c r="K130" s="13" t="n"/>
      <c r="L130" s="13" t="n"/>
      <c r="M130" s="14" t="n"/>
    </row>
    <row r="131" ht="15" customHeight="1">
      <c r="B131" s="12" t="inlineStr">
        <is>
          <t>Management fee</t>
        </is>
      </c>
      <c r="F131" s="47">
        <f>-D88</f>
        <v/>
      </c>
      <c r="G131" s="14" t="n"/>
      <c r="H131" s="47">
        <f>-E88</f>
        <v/>
      </c>
      <c r="I131" s="14" t="n"/>
      <c r="J131" s="68">
        <f>H131/C27</f>
        <v/>
      </c>
      <c r="K131" s="13" t="n"/>
      <c r="L131" s="13" t="n"/>
      <c r="M131" s="14" t="n"/>
    </row>
    <row r="132" ht="15" customHeight="1">
      <c r="B132" s="43" t="inlineStr">
        <is>
          <t>Net Operating Income</t>
        </is>
      </c>
      <c r="F132" s="45">
        <f>D90</f>
        <v/>
      </c>
      <c r="G132" s="14" t="n"/>
      <c r="H132" s="44">
        <f>E90</f>
        <v/>
      </c>
      <c r="I132" s="14" t="n"/>
      <c r="J132" s="88">
        <f>H132/C27</f>
        <v/>
      </c>
      <c r="K132" s="13" t="n"/>
      <c r="L132" s="13" t="n"/>
      <c r="M132" s="14" t="n"/>
    </row>
    <row r="133" ht="15" customHeight="1">
      <c r="B133" s="12" t="inlineStr">
        <is>
          <t>Replacement reserves</t>
        </is>
      </c>
      <c r="F133" s="47">
        <f>-D92</f>
        <v/>
      </c>
      <c r="G133" s="14" t="n"/>
      <c r="H133" s="47">
        <f>-E92</f>
        <v/>
      </c>
      <c r="I133" s="14" t="n"/>
      <c r="J133" s="68">
        <f>H133/C27</f>
        <v/>
      </c>
      <c r="K133" s="13" t="n"/>
      <c r="L133" s="13" t="n"/>
      <c r="M133" s="14" t="n"/>
    </row>
    <row r="134" ht="15" customHeight="1">
      <c r="B134" s="12" t="inlineStr">
        <is>
          <t>Leasing costs</t>
        </is>
      </c>
      <c r="F134" s="47">
        <f>-D93</f>
        <v/>
      </c>
      <c r="G134" s="14" t="n"/>
      <c r="H134" s="47">
        <f>-E93</f>
        <v/>
      </c>
      <c r="I134" s="14" t="n"/>
      <c r="J134" s="68">
        <f>H134/C27</f>
        <v/>
      </c>
      <c r="K134" s="13" t="n"/>
      <c r="L134" s="13" t="n"/>
      <c r="M134" s="14" t="n"/>
    </row>
    <row r="135" ht="15" customHeight="1">
      <c r="B135" s="43" t="inlineStr">
        <is>
          <t>Cash Flow Before Debt</t>
        </is>
      </c>
      <c r="F135" s="45">
        <f>D95</f>
        <v/>
      </c>
      <c r="G135" s="14" t="n"/>
      <c r="H135" s="44">
        <f>E95</f>
        <v/>
      </c>
      <c r="I135" s="14" t="n"/>
      <c r="J135" s="88">
        <f>H135/C27</f>
        <v/>
      </c>
      <c r="K135" s="13" t="n"/>
      <c r="L135" s="13" t="n"/>
      <c r="M135" s="14" t="n"/>
    </row>
    <row r="136" ht="15" customHeight="1">
      <c r="B136" s="12" t="inlineStr">
        <is>
          <t>Debt service</t>
        </is>
      </c>
      <c r="F136" s="47">
        <f>-C63</f>
        <v/>
      </c>
      <c r="G136" s="14" t="n"/>
      <c r="H136" s="47">
        <f>-C63</f>
        <v/>
      </c>
      <c r="I136" s="14" t="n"/>
      <c r="J136" s="68">
        <f>H136/C27</f>
        <v/>
      </c>
      <c r="K136" s="13" t="n"/>
      <c r="L136" s="13" t="n"/>
      <c r="M136" s="14" t="n"/>
    </row>
    <row r="137" ht="15" customHeight="1">
      <c r="B137" s="43" t="inlineStr">
        <is>
          <t>Cash Flow After Debt (levered)</t>
        </is>
      </c>
      <c r="F137" s="44">
        <f>F135-C63</f>
        <v/>
      </c>
      <c r="G137" s="14" t="n"/>
      <c r="H137" s="44">
        <f>H135-C63</f>
        <v/>
      </c>
      <c r="I137" s="14" t="n"/>
      <c r="J137" s="88">
        <f>H137/C27</f>
        <v/>
      </c>
      <c r="K137" s="13" t="n"/>
      <c r="L137" s="13" t="n"/>
      <c r="M137" s="14" t="n"/>
    </row>
  </sheetData>
  <mergeCells count="138">
    <mergeCell ref="L17:M17"/>
    <mergeCell ref="B2:M2"/>
    <mergeCell ref="D37:M37"/>
    <mergeCell ref="D12:M12"/>
    <mergeCell ref="B60:M60"/>
    <mergeCell ref="D9:M9"/>
    <mergeCell ref="E23:F23"/>
    <mergeCell ref="D30:M30"/>
    <mergeCell ref="D39:M39"/>
    <mergeCell ref="L19:M19"/>
    <mergeCell ref="D29:M29"/>
    <mergeCell ref="F133:G133"/>
    <mergeCell ref="H133:I133"/>
    <mergeCell ref="J126:M126"/>
    <mergeCell ref="I17:K17"/>
    <mergeCell ref="H129:I129"/>
    <mergeCell ref="F135:G135"/>
    <mergeCell ref="B20:D20"/>
    <mergeCell ref="F122:G122"/>
    <mergeCell ref="B15:M15"/>
    <mergeCell ref="F125:G125"/>
    <mergeCell ref="F134:G134"/>
    <mergeCell ref="H128:I128"/>
    <mergeCell ref="D57:M57"/>
    <mergeCell ref="D49:M49"/>
    <mergeCell ref="D27:M27"/>
    <mergeCell ref="L21:M21"/>
    <mergeCell ref="B72:M72"/>
    <mergeCell ref="B121:M121"/>
    <mergeCell ref="E22:F22"/>
    <mergeCell ref="D43:M43"/>
    <mergeCell ref="J128:M128"/>
    <mergeCell ref="J137:M137"/>
    <mergeCell ref="J124:M124"/>
    <mergeCell ref="I22:K22"/>
    <mergeCell ref="L16:M16"/>
    <mergeCell ref="J134:M134"/>
    <mergeCell ref="B17:D17"/>
    <mergeCell ref="D55:M55"/>
    <mergeCell ref="I21:K21"/>
    <mergeCell ref="J129:M129"/>
    <mergeCell ref="H130:I130"/>
    <mergeCell ref="D5:M5"/>
    <mergeCell ref="B19:D19"/>
    <mergeCell ref="D54:M54"/>
    <mergeCell ref="I23:K23"/>
    <mergeCell ref="D69:M69"/>
    <mergeCell ref="H132:I132"/>
    <mergeCell ref="B83:M83"/>
    <mergeCell ref="F126:G126"/>
    <mergeCell ref="D31:M31"/>
    <mergeCell ref="L20:M20"/>
    <mergeCell ref="D40:M40"/>
    <mergeCell ref="B4:M4"/>
    <mergeCell ref="L22:M22"/>
    <mergeCell ref="E16:F16"/>
    <mergeCell ref="D32:M32"/>
    <mergeCell ref="B46:M46"/>
    <mergeCell ref="F136:G136"/>
    <mergeCell ref="H136:I136"/>
    <mergeCell ref="D7:M7"/>
    <mergeCell ref="B21:D21"/>
    <mergeCell ref="E18:F18"/>
    <mergeCell ref="B23:D23"/>
    <mergeCell ref="D58:M58"/>
    <mergeCell ref="F128:G128"/>
    <mergeCell ref="H122:I122"/>
    <mergeCell ref="J125:M125"/>
    <mergeCell ref="D8:M8"/>
    <mergeCell ref="F137:G137"/>
    <mergeCell ref="H137:I137"/>
    <mergeCell ref="F124:G124"/>
    <mergeCell ref="D42:M42"/>
    <mergeCell ref="D51:M51"/>
    <mergeCell ref="E20:F20"/>
    <mergeCell ref="D50:M50"/>
    <mergeCell ref="D44:M44"/>
    <mergeCell ref="L18:M18"/>
    <mergeCell ref="H123:I123"/>
    <mergeCell ref="D34:M34"/>
    <mergeCell ref="I20:K20"/>
    <mergeCell ref="J131:M131"/>
    <mergeCell ref="D36:M36"/>
    <mergeCell ref="D45:M45"/>
    <mergeCell ref="D6:M6"/>
    <mergeCell ref="D13:M13"/>
    <mergeCell ref="B91:M91"/>
    <mergeCell ref="E21:F21"/>
    <mergeCell ref="D61:M61"/>
    <mergeCell ref="J132:M132"/>
    <mergeCell ref="D70:M70"/>
    <mergeCell ref="B22:D22"/>
    <mergeCell ref="D48:M48"/>
    <mergeCell ref="H135:I135"/>
    <mergeCell ref="B77:M77"/>
    <mergeCell ref="I16:K16"/>
    <mergeCell ref="H125:I125"/>
    <mergeCell ref="D56:M56"/>
    <mergeCell ref="H134:I134"/>
    <mergeCell ref="J133:M133"/>
    <mergeCell ref="I18:K18"/>
    <mergeCell ref="B1:M1"/>
    <mergeCell ref="F127:G127"/>
    <mergeCell ref="E17:F17"/>
    <mergeCell ref="J130:M130"/>
    <mergeCell ref="H127:I127"/>
    <mergeCell ref="D38:M38"/>
    <mergeCell ref="D33:M33"/>
    <mergeCell ref="J135:M135"/>
    <mergeCell ref="E19:F19"/>
    <mergeCell ref="J122:M122"/>
    <mergeCell ref="L23:M23"/>
    <mergeCell ref="D10:M10"/>
    <mergeCell ref="I19:K19"/>
    <mergeCell ref="F129:G129"/>
    <mergeCell ref="J127:M127"/>
    <mergeCell ref="J136:M136"/>
    <mergeCell ref="J123:M123"/>
    <mergeCell ref="B26:M26"/>
    <mergeCell ref="B41:M41"/>
    <mergeCell ref="B97:M97"/>
    <mergeCell ref="F131:G131"/>
    <mergeCell ref="B35:M35"/>
    <mergeCell ref="H131:I131"/>
    <mergeCell ref="B106:M106"/>
    <mergeCell ref="B16:D16"/>
    <mergeCell ref="D11:M11"/>
    <mergeCell ref="B25:M25"/>
    <mergeCell ref="F130:G130"/>
    <mergeCell ref="H124:I124"/>
    <mergeCell ref="B18:D18"/>
    <mergeCell ref="D53:M53"/>
    <mergeCell ref="D47:M47"/>
    <mergeCell ref="F123:G123"/>
    <mergeCell ref="B52:M52"/>
    <mergeCell ref="F132:G132"/>
    <mergeCell ref="H126:I126"/>
    <mergeCell ref="D28:M28"/>
  </mergeCells>
  <printOptions horizontalCentered="1"/>
  <pageMargins left="0.3" right="0.3" top="0.4" bottom="0.4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tabColor rgb="001F2D4E"/>
    <outlinePr summaryBelow="1" summaryRight="1"/>
    <pageSetUpPr fitToPage="1"/>
  </sheetPr>
  <dimension ref="A1:M112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.5" customWidth="1" min="1" max="1"/>
    <col width="34" customWidth="1" min="2" max="2"/>
    <col width="13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 ht="26" customHeight="1">
      <c r="B1" s="1" t="inlineStr">
        <is>
          <t>GALLERIA CORPORATE CENTRE  ·  OFFICE CONDOMINIUM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3" t="n"/>
    </row>
    <row r="2" ht="20" customHeight="1">
      <c r="B2" s="4" t="inlineStr">
        <is>
          <t>2455 E Sunrise Blvd   |   13-story Class B office condo · ~168,807 SF · built 1973 (renov. 2007) · fractured ownership — every owner modeled individually + full buy-out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3" t="n"/>
    </row>
    <row r="3"/>
    <row r="4">
      <c r="B4" s="11" t="inlineStr">
        <is>
          <t>PROPERTY FACTS  —  ⚠️ REPORTED (LoopNet / Daily Business Review / Sunbiz; BCPA blocked in build env)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3" t="n"/>
    </row>
    <row r="5" ht="15" customHeight="1">
      <c r="B5" s="12" t="inlineStr">
        <is>
          <t>Building</t>
        </is>
      </c>
      <c r="D5" s="12" t="inlineStr">
        <is>
          <t>~168,807 SF, 13-story Class B office condominium (+ ground-floor retail)</t>
        </is>
      </c>
      <c r="E5" s="13" t="n"/>
      <c r="F5" s="13" t="n"/>
      <c r="G5" s="13" t="n"/>
      <c r="H5" s="13" t="n"/>
      <c r="I5" s="13" t="n"/>
      <c r="J5" s="13" t="n"/>
      <c r="K5" s="13" t="n"/>
      <c r="L5" s="13" t="n"/>
      <c r="M5" s="14" t="n"/>
    </row>
    <row r="6" ht="15" customHeight="1">
      <c r="B6" s="12" t="inlineStr">
        <is>
          <t>Year built / reno</t>
        </is>
      </c>
      <c r="D6" s="12" t="inlineStr">
        <is>
          <t>1973 (renovated 2007)</t>
        </is>
      </c>
      <c r="E6" s="13" t="n"/>
      <c r="F6" s="13" t="n"/>
      <c r="G6" s="13" t="n"/>
      <c r="H6" s="13" t="n"/>
      <c r="I6" s="13" t="n"/>
      <c r="J6" s="13" t="n"/>
      <c r="K6" s="13" t="n"/>
      <c r="L6" s="13" t="n"/>
      <c r="M6" s="14" t="n"/>
    </row>
    <row r="7" ht="15" customHeight="1">
      <c r="B7" s="12" t="inlineStr">
        <is>
          <t>Condo regime</t>
        </is>
      </c>
      <c r="D7" s="12" t="inlineStr">
        <is>
          <t>Created 2007; converted to condos 2011 by Bush Development Group</t>
        </is>
      </c>
      <c r="E7" s="13" t="n"/>
      <c r="F7" s="13" t="n"/>
      <c r="G7" s="13" t="n"/>
      <c r="H7" s="13" t="n"/>
      <c r="I7" s="13" t="n"/>
      <c r="J7" s="13" t="n"/>
      <c r="K7" s="13" t="n"/>
      <c r="L7" s="13" t="n"/>
      <c r="M7" s="14" t="n"/>
    </row>
    <row r="8" ht="15" customHeight="1">
      <c r="B8" s="12" t="inlineStr">
        <is>
          <t>Association</t>
        </is>
      </c>
      <c r="D8" s="12" t="inlineStr">
        <is>
          <t>Galleria Corporate Centre Condominium Association, Inc. (Sunbiz N07000001902)</t>
        </is>
      </c>
      <c r="E8" s="13" t="n"/>
      <c r="F8" s="13" t="n"/>
      <c r="G8" s="13" t="n"/>
      <c r="H8" s="13" t="n"/>
      <c r="I8" s="13" t="n"/>
      <c r="J8" s="13" t="n"/>
      <c r="K8" s="13" t="n"/>
      <c r="L8" s="13" t="n"/>
      <c r="M8" s="14" t="n"/>
    </row>
    <row r="9" ht="15" customHeight="1">
      <c r="B9" s="12" t="inlineStr">
        <is>
          <t>Lease economics</t>
        </is>
      </c>
      <c r="D9" s="12" t="inlineStr">
        <is>
          <t>Office units leased ≈ $26/SF Modified Gross</t>
        </is>
      </c>
      <c r="E9" s="13" t="n"/>
      <c r="F9" s="13" t="n"/>
      <c r="G9" s="13" t="n"/>
      <c r="H9" s="13" t="n"/>
      <c r="I9" s="13" t="n"/>
      <c r="J9" s="13" t="n"/>
      <c r="K9" s="13" t="n"/>
      <c r="L9" s="13" t="n"/>
      <c r="M9" s="14" t="n"/>
    </row>
    <row r="10" ht="15" customHeight="1">
      <c r="B10" s="12" t="inlineStr">
        <is>
          <t>Sale comp (historical)</t>
        </is>
      </c>
      <c r="D10" s="12" t="inlineStr">
        <is>
          <t>Unit sales ≈ $300/SF (pre-2020; office values since softened)</t>
        </is>
      </c>
      <c r="E10" s="13" t="n"/>
      <c r="F10" s="13" t="n"/>
      <c r="G10" s="13" t="n"/>
      <c r="H10" s="13" t="n"/>
      <c r="I10" s="13" t="n"/>
      <c r="J10" s="13" t="n"/>
      <c r="K10" s="13" t="n"/>
      <c r="L10" s="13" t="n"/>
      <c r="M10" s="14" t="n"/>
    </row>
    <row r="11" ht="15" customHeight="1">
      <c r="B11" s="12" t="inlineStr">
        <is>
          <t>Amenities</t>
        </is>
      </c>
      <c r="D11" s="12" t="inlineStr">
        <is>
          <t>Covered/valet parking, concierge, on-site café, two conference facilities</t>
        </is>
      </c>
      <c r="E11" s="13" t="n"/>
      <c r="F11" s="13" t="n"/>
      <c r="G11" s="13" t="n"/>
      <c r="H11" s="13" t="n"/>
      <c r="I11" s="13" t="n"/>
      <c r="J11" s="13" t="n"/>
      <c r="K11" s="13" t="n"/>
      <c r="L11" s="13" t="n"/>
      <c r="M11" s="14" t="n"/>
    </row>
    <row r="12" ht="27" customHeight="1">
      <c r="B12" s="12" t="inlineStr">
        <is>
          <t>Ownership</t>
        </is>
      </c>
      <c r="D12" s="12" t="inlineStr">
        <is>
          <t>Fractured condo: Main St Fund (Grove Gate) held 57.4% and is NOW RESELLING units individually; the balance is International Sunrise + a growing number of small owners (Jorgensen, Hublot, Merrimac, individual suites)</t>
        </is>
      </c>
      <c r="E12" s="13" t="n"/>
      <c r="F12" s="13" t="n"/>
      <c r="G12" s="13" t="n"/>
      <c r="H12" s="13" t="n"/>
      <c r="I12" s="13" t="n"/>
      <c r="J12" s="13" t="n"/>
      <c r="K12" s="13" t="n"/>
      <c r="L12" s="13" t="n"/>
      <c r="M12" s="14" t="n"/>
    </row>
    <row r="13" ht="15" customHeight="1">
      <c r="B13" s="12" t="inlineStr">
        <is>
          <t>Buy-out note</t>
        </is>
      </c>
      <c r="D13" s="12" t="inlineStr">
        <is>
          <t>Assembling the building = buying out EVERY unit owner (modeled individually below; the un-itemizable balance is grouped)</t>
        </is>
      </c>
      <c r="E13" s="13" t="n"/>
      <c r="F13" s="13" t="n"/>
      <c r="G13" s="13" t="n"/>
      <c r="H13" s="13" t="n"/>
      <c r="I13" s="13" t="n"/>
      <c r="J13" s="13" t="n"/>
      <c r="K13" s="13" t="n"/>
      <c r="L13" s="13" t="n"/>
      <c r="M13" s="14" t="n"/>
    </row>
    <row r="14" ht="27" customHeight="1">
      <c r="B14" s="12" t="inlineStr">
        <is>
          <t>⚠️ BCPA limitation</t>
        </is>
      </c>
      <c r="D14" s="12" t="inlineStr">
        <is>
          <t>bcpa.net and the Broward Clerk are egress-blocked in this build; the complete per-unit folio roster (every unit, owner, price, date) needs a direct BCPA pull to finish</t>
        </is>
      </c>
      <c r="E14" s="13" t="n"/>
      <c r="F14" s="13" t="n"/>
      <c r="G14" s="13" t="n"/>
      <c r="H14" s="13" t="n"/>
      <c r="I14" s="13" t="n"/>
      <c r="J14" s="13" t="n"/>
      <c r="K14" s="13" t="n"/>
      <c r="L14" s="13" t="n"/>
      <c r="M14" s="14" t="n"/>
    </row>
    <row r="15"/>
    <row r="16">
      <c r="B16" s="11" t="inlineStr">
        <is>
          <t>ASSUMPTIONS  —  🔵 blue = hardcoded inputs (Modified-Gross office)</t>
        </is>
      </c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3" t="n"/>
    </row>
    <row r="17" ht="15" customHeight="1">
      <c r="B17" s="12" t="inlineStr">
        <is>
          <t>Rentable SF (both owners)</t>
        </is>
      </c>
      <c r="C17" s="77" t="n">
        <v>168807</v>
      </c>
      <c r="D17" s="22" t="inlineStr">
        <is>
          <t>⚠️ ~168,807 SF</t>
        </is>
      </c>
      <c r="E17" s="13" t="n"/>
      <c r="F17" s="13" t="n"/>
      <c r="G17" s="13" t="n"/>
      <c r="H17" s="13" t="n"/>
      <c r="I17" s="13" t="n"/>
      <c r="J17" s="13" t="n"/>
      <c r="K17" s="13" t="n"/>
      <c r="L17" s="13" t="n"/>
      <c r="M17" s="14" t="n"/>
    </row>
    <row r="18" ht="15" customHeight="1">
      <c r="B18" s="12" t="inlineStr">
        <is>
          <t>In-place occupancy</t>
        </is>
      </c>
      <c r="C18" s="18">
        <f>'Assumptions'!C101</f>
        <v/>
      </c>
      <c r="D18" s="22" t="inlineStr">
        <is>
          <t>🟢 Assumptions</t>
        </is>
      </c>
      <c r="E18" s="13" t="n"/>
      <c r="F18" s="13" t="n"/>
      <c r="G18" s="13" t="n"/>
      <c r="H18" s="13" t="n"/>
      <c r="I18" s="13" t="n"/>
      <c r="J18" s="13" t="n"/>
      <c r="K18" s="13" t="n"/>
      <c r="L18" s="13" t="n"/>
      <c r="M18" s="14" t="n"/>
    </row>
    <row r="19" ht="15" customHeight="1">
      <c r="B19" s="12" t="inlineStr">
        <is>
          <t>Stabilized occupancy</t>
        </is>
      </c>
      <c r="C19" s="18">
        <f>'Assumptions'!C102</f>
        <v/>
      </c>
      <c r="D19" s="22" t="inlineStr">
        <is>
          <t>🟢 Assumptions</t>
        </is>
      </c>
      <c r="E19" s="13" t="n"/>
      <c r="F19" s="13" t="n"/>
      <c r="G19" s="13" t="n"/>
      <c r="H19" s="13" t="n"/>
      <c r="I19" s="13" t="n"/>
      <c r="J19" s="13" t="n"/>
      <c r="K19" s="13" t="n"/>
      <c r="L19" s="13" t="n"/>
      <c r="M19" s="14" t="n"/>
    </row>
    <row r="20" ht="15" customHeight="1">
      <c r="B20" s="12" t="inlineStr">
        <is>
          <t>Market rent ($/SF Modified Gross)</t>
        </is>
      </c>
      <c r="C20" s="26">
        <f>'Assumptions'!C100</f>
        <v/>
      </c>
      <c r="D20" s="22" t="inlineStr">
        <is>
          <t>🟢 Assumptions</t>
        </is>
      </c>
      <c r="E20" s="13" t="n"/>
      <c r="F20" s="13" t="n"/>
      <c r="G20" s="13" t="n"/>
      <c r="H20" s="13" t="n"/>
      <c r="I20" s="13" t="n"/>
      <c r="J20" s="13" t="n"/>
      <c r="K20" s="13" t="n"/>
      <c r="L20" s="13" t="n"/>
      <c r="M20" s="14" t="n"/>
    </row>
    <row r="21" ht="15" customHeight="1">
      <c r="B21" s="12" t="inlineStr">
        <is>
          <t>Rent growth</t>
        </is>
      </c>
      <c r="C21" s="84" t="n">
        <v>0.03</v>
      </c>
      <c r="D21" s="22" t="inlineStr">
        <is>
          <t>🔶</t>
        </is>
      </c>
      <c r="E21" s="13" t="n"/>
      <c r="F21" s="13" t="n"/>
      <c r="G21" s="13" t="n"/>
      <c r="H21" s="13" t="n"/>
      <c r="I21" s="13" t="n"/>
      <c r="J21" s="13" t="n"/>
      <c r="K21" s="13" t="n"/>
      <c r="L21" s="13" t="n"/>
      <c r="M21" s="14" t="n"/>
    </row>
    <row r="22" ht="15" customHeight="1">
      <c r="B22" s="12" t="inlineStr">
        <is>
          <t>Credit &amp; vacancy loss</t>
        </is>
      </c>
      <c r="C22" s="84" t="n">
        <v>0.03</v>
      </c>
      <c r="D22" s="22" t="inlineStr">
        <is>
          <t>🔶</t>
        </is>
      </c>
      <c r="E22" s="13" t="n"/>
      <c r="F22" s="13" t="n"/>
      <c r="G22" s="13" t="n"/>
      <c r="H22" s="13" t="n"/>
      <c r="I22" s="13" t="n"/>
      <c r="J22" s="13" t="n"/>
      <c r="K22" s="13" t="n"/>
      <c r="L22" s="13" t="n"/>
      <c r="M22" s="14" t="n"/>
    </row>
    <row r="23" ht="15" customHeight="1">
      <c r="B23" s="12" t="inlineStr">
        <is>
          <t>Effective millage</t>
        </is>
      </c>
      <c r="C23" s="83" t="n">
        <v>0.0191</v>
      </c>
      <c r="D23" s="22" t="inlineStr">
        <is>
          <t>✅ area millage</t>
        </is>
      </c>
      <c r="E23" s="13" t="n"/>
      <c r="F23" s="13" t="n"/>
      <c r="G23" s="13" t="n"/>
      <c r="H23" s="13" t="n"/>
      <c r="I23" s="13" t="n"/>
      <c r="J23" s="13" t="n"/>
      <c r="K23" s="13" t="n"/>
      <c r="L23" s="13" t="n"/>
      <c r="M23" s="14" t="n"/>
    </row>
    <row r="24" ht="15" customHeight="1">
      <c r="B24" s="12" t="inlineStr">
        <is>
          <t>Office opex ex-taxes ($/SF, landlord)</t>
        </is>
      </c>
      <c r="C24" s="26">
        <f>'Assumptions'!C103</f>
        <v/>
      </c>
      <c r="D24" s="22" t="inlineStr">
        <is>
          <t>🟢 Assumptions</t>
        </is>
      </c>
      <c r="E24" s="13" t="n"/>
      <c r="F24" s="13" t="n"/>
      <c r="G24" s="13" t="n"/>
      <c r="H24" s="13" t="n"/>
      <c r="I24" s="13" t="n"/>
      <c r="J24" s="13" t="n"/>
      <c r="K24" s="13" t="n"/>
      <c r="L24" s="13" t="n"/>
      <c r="M24" s="14" t="n"/>
    </row>
    <row r="25" ht="15" customHeight="1">
      <c r="B25" s="12" t="inlineStr">
        <is>
          <t>Management fee (% EGR)</t>
        </is>
      </c>
      <c r="C25" s="18">
        <f>'Assumptions'!C104</f>
        <v/>
      </c>
      <c r="D25" s="22" t="inlineStr">
        <is>
          <t>🟢 Assumptions</t>
        </is>
      </c>
      <c r="E25" s="13" t="n"/>
      <c r="F25" s="13" t="n"/>
      <c r="G25" s="13" t="n"/>
      <c r="H25" s="13" t="n"/>
      <c r="I25" s="13" t="n"/>
      <c r="J25" s="13" t="n"/>
      <c r="K25" s="13" t="n"/>
      <c r="L25" s="13" t="n"/>
      <c r="M25" s="14" t="n"/>
    </row>
    <row r="26" ht="15" customHeight="1">
      <c r="B26" s="12" t="inlineStr">
        <is>
          <t>Expense growth</t>
        </is>
      </c>
      <c r="C26" s="84" t="n">
        <v>0.03</v>
      </c>
      <c r="D26" s="22" t="inlineStr">
        <is>
          <t>🔶</t>
        </is>
      </c>
      <c r="E26" s="13" t="n"/>
      <c r="F26" s="13" t="n"/>
      <c r="G26" s="13" t="n"/>
      <c r="H26" s="13" t="n"/>
      <c r="I26" s="13" t="n"/>
      <c r="J26" s="13" t="n"/>
      <c r="K26" s="13" t="n"/>
      <c r="L26" s="13" t="n"/>
      <c r="M26" s="14" t="n"/>
    </row>
    <row r="27" ht="15" customHeight="1">
      <c r="B27" s="12" t="inlineStr">
        <is>
          <t>Replacement reserves ($/SF/yr)</t>
        </is>
      </c>
      <c r="C27" s="78" t="n">
        <v>0.2</v>
      </c>
      <c r="D27" s="22" t="inlineStr">
        <is>
          <t>🔶</t>
        </is>
      </c>
      <c r="E27" s="13" t="n"/>
      <c r="F27" s="13" t="n"/>
      <c r="G27" s="13" t="n"/>
      <c r="H27" s="13" t="n"/>
      <c r="I27" s="13" t="n"/>
      <c r="J27" s="13" t="n"/>
      <c r="K27" s="13" t="n"/>
      <c r="L27" s="13" t="n"/>
      <c r="M27" s="14" t="n"/>
    </row>
    <row r="28" ht="15" customHeight="1">
      <c r="B28" s="12" t="inlineStr">
        <is>
          <t>Acquisition basis (income value)</t>
        </is>
      </c>
      <c r="C28" s="23">
        <f>'Assumptions'!C99</f>
        <v/>
      </c>
      <c r="D28" s="22" t="inlineStr">
        <is>
          <t>🟢 Assumptions</t>
        </is>
      </c>
      <c r="E28" s="13" t="n"/>
      <c r="F28" s="13" t="n"/>
      <c r="G28" s="13" t="n"/>
      <c r="H28" s="13" t="n"/>
      <c r="I28" s="13" t="n"/>
      <c r="J28" s="13" t="n"/>
      <c r="K28" s="13" t="n"/>
      <c r="L28" s="13" t="n"/>
      <c r="M28" s="14" t="n"/>
    </row>
    <row r="29" ht="15" customHeight="1">
      <c r="B29" s="12" t="inlineStr">
        <is>
          <t>Closing &amp; acq costs (% price)</t>
        </is>
      </c>
      <c r="C29" s="84" t="n">
        <v>0.02</v>
      </c>
      <c r="D29" s="22" t="inlineStr">
        <is>
          <t>🔶</t>
        </is>
      </c>
      <c r="E29" s="13" t="n"/>
      <c r="F29" s="13" t="n"/>
      <c r="G29" s="13" t="n"/>
      <c r="H29" s="13" t="n"/>
      <c r="I29" s="13" t="n"/>
      <c r="J29" s="13" t="n"/>
      <c r="K29" s="13" t="n"/>
      <c r="L29" s="13" t="n"/>
      <c r="M29" s="14" t="n"/>
    </row>
    <row r="30" ht="15" customHeight="1">
      <c r="B30" s="12" t="inlineStr">
        <is>
          <t>Senior loan LTV</t>
        </is>
      </c>
      <c r="C30" s="18">
        <f>'Assumptions'!C107</f>
        <v/>
      </c>
      <c r="D30" s="22" t="inlineStr">
        <is>
          <t>🟢 Assumptions</t>
        </is>
      </c>
      <c r="E30" s="13" t="n"/>
      <c r="F30" s="13" t="n"/>
      <c r="G30" s="13" t="n"/>
      <c r="H30" s="13" t="n"/>
      <c r="I30" s="13" t="n"/>
      <c r="J30" s="13" t="n"/>
      <c r="K30" s="13" t="n"/>
      <c r="L30" s="13" t="n"/>
      <c r="M30" s="14" t="n"/>
    </row>
    <row r="31" ht="15" customHeight="1">
      <c r="B31" s="12" t="inlineStr">
        <is>
          <t>Senior loan rate</t>
        </is>
      </c>
      <c r="C31" s="24">
        <f>'Assumptions'!C108</f>
        <v/>
      </c>
      <c r="D31" s="22" t="inlineStr">
        <is>
          <t>🟢 Assumptions</t>
        </is>
      </c>
      <c r="E31" s="13" t="n"/>
      <c r="F31" s="13" t="n"/>
      <c r="G31" s="13" t="n"/>
      <c r="H31" s="13" t="n"/>
      <c r="I31" s="13" t="n"/>
      <c r="J31" s="13" t="n"/>
      <c r="K31" s="13" t="n"/>
      <c r="L31" s="13" t="n"/>
      <c r="M31" s="14" t="n"/>
    </row>
    <row r="32" ht="15" customHeight="1">
      <c r="B32" s="12" t="inlineStr">
        <is>
          <t>Amortization (yrs)</t>
        </is>
      </c>
      <c r="C32" s="86" t="n">
        <v>30</v>
      </c>
      <c r="D32" s="22" t="inlineStr">
        <is>
          <t>🔶</t>
        </is>
      </c>
      <c r="E32" s="13" t="n"/>
      <c r="F32" s="13" t="n"/>
      <c r="G32" s="13" t="n"/>
      <c r="H32" s="13" t="n"/>
      <c r="I32" s="13" t="n"/>
      <c r="J32" s="13" t="n"/>
      <c r="K32" s="13" t="n"/>
      <c r="L32" s="13" t="n"/>
      <c r="M32" s="14" t="n"/>
    </row>
    <row r="33" ht="15" customHeight="1">
      <c r="B33" s="12" t="inlineStr">
        <is>
          <t>Going-in cap</t>
        </is>
      </c>
      <c r="C33" s="24">
        <f>'Assumptions'!C105</f>
        <v/>
      </c>
      <c r="D33" s="22" t="inlineStr">
        <is>
          <t>🟢 Assumptions</t>
        </is>
      </c>
      <c r="E33" s="13" t="n"/>
      <c r="F33" s="13" t="n"/>
      <c r="G33" s="13" t="n"/>
      <c r="H33" s="13" t="n"/>
      <c r="I33" s="13" t="n"/>
      <c r="J33" s="13" t="n"/>
      <c r="K33" s="13" t="n"/>
      <c r="L33" s="13" t="n"/>
      <c r="M33" s="14" t="n"/>
    </row>
    <row r="34" ht="15" customHeight="1">
      <c r="B34" s="12" t="inlineStr">
        <is>
          <t>Exit cap</t>
        </is>
      </c>
      <c r="C34" s="24">
        <f>'Assumptions'!C106</f>
        <v/>
      </c>
      <c r="D34" s="22" t="inlineStr">
        <is>
          <t>🟢 Assumptions</t>
        </is>
      </c>
      <c r="E34" s="13" t="n"/>
      <c r="F34" s="13" t="n"/>
      <c r="G34" s="13" t="n"/>
      <c r="H34" s="13" t="n"/>
      <c r="I34" s="13" t="n"/>
      <c r="J34" s="13" t="n"/>
      <c r="K34" s="13" t="n"/>
      <c r="L34" s="13" t="n"/>
      <c r="M34" s="14" t="n"/>
    </row>
    <row r="35" ht="15" customHeight="1">
      <c r="B35" s="12" t="inlineStr">
        <is>
          <t>Cost of sale</t>
        </is>
      </c>
      <c r="C35" s="84" t="n">
        <v>0.02</v>
      </c>
      <c r="D35" s="22" t="inlineStr">
        <is>
          <t>🔶</t>
        </is>
      </c>
      <c r="E35" s="13" t="n"/>
      <c r="F35" s="13" t="n"/>
      <c r="G35" s="13" t="n"/>
      <c r="H35" s="13" t="n"/>
      <c r="I35" s="13" t="n"/>
      <c r="J35" s="13" t="n"/>
      <c r="K35" s="13" t="n"/>
      <c r="L35" s="13" t="n"/>
      <c r="M35" s="14" t="n"/>
    </row>
    <row r="36" ht="15" customHeight="1">
      <c r="B36" s="12" t="inlineStr">
        <is>
          <t>Hold period (yrs)</t>
        </is>
      </c>
      <c r="C36" s="86" t="n">
        <v>5</v>
      </c>
      <c r="D36" s="22" t="inlineStr">
        <is>
          <t>🔶</t>
        </is>
      </c>
      <c r="E36" s="13" t="n"/>
      <c r="F36" s="13" t="n"/>
      <c r="G36" s="13" t="n"/>
      <c r="H36" s="13" t="n"/>
      <c r="I36" s="13" t="n"/>
      <c r="J36" s="13" t="n"/>
      <c r="K36" s="13" t="n"/>
      <c r="L36" s="13" t="n"/>
      <c r="M36" s="14" t="n"/>
    </row>
    <row r="37" ht="15" customHeight="1">
      <c r="B37" s="12" t="inlineStr">
        <is>
          <t>Discount rate (NPV)</t>
        </is>
      </c>
      <c r="C37" s="84" t="n">
        <v>0.1</v>
      </c>
      <c r="D37" s="22" t="inlineStr">
        <is>
          <t>🔶</t>
        </is>
      </c>
      <c r="E37" s="13" t="n"/>
      <c r="F37" s="13" t="n"/>
      <c r="G37" s="13" t="n"/>
      <c r="H37" s="13" t="n"/>
      <c r="I37" s="13" t="n"/>
      <c r="J37" s="13" t="n"/>
      <c r="K37" s="13" t="n"/>
      <c r="L37" s="13" t="n"/>
      <c r="M37" s="14" t="n"/>
    </row>
    <row r="38" ht="15" customHeight="1">
      <c r="B38" s="12" t="inlineStr">
        <is>
          <t>Sale comp ($/SF)</t>
        </is>
      </c>
      <c r="C38" s="78" t="n">
        <v>300</v>
      </c>
      <c r="D38" s="22" t="inlineStr">
        <is>
          <t>⚠️ historical ~$300/SF</t>
        </is>
      </c>
      <c r="E38" s="13" t="n"/>
      <c r="F38" s="13" t="n"/>
      <c r="G38" s="13" t="n"/>
      <c r="H38" s="13" t="n"/>
      <c r="I38" s="13" t="n"/>
      <c r="J38" s="13" t="n"/>
      <c r="K38" s="13" t="n"/>
      <c r="L38" s="13" t="n"/>
      <c r="M38" s="14" t="n"/>
    </row>
    <row r="39"/>
    <row r="40">
      <c r="B40" s="11" t="inlineStr">
        <is>
          <t>DERIVED VALUES  &amp;  DEBT SIZING</t>
        </is>
      </c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3" t="n"/>
    </row>
    <row r="41" ht="15" customHeight="1">
      <c r="B41" s="12" t="inlineStr">
        <is>
          <t>Senior loan amount</t>
        </is>
      </c>
      <c r="C41" s="51">
        <f>C28*C30</f>
        <v/>
      </c>
      <c r="D41" s="22" t="inlineStr">
        <is>
          <t>price × LTV</t>
        </is>
      </c>
      <c r="E41" s="13" t="n"/>
      <c r="F41" s="13" t="n"/>
      <c r="G41" s="13" t="n"/>
      <c r="H41" s="13" t="n"/>
      <c r="I41" s="13" t="n"/>
      <c r="J41" s="13" t="n"/>
      <c r="K41" s="13" t="n"/>
      <c r="L41" s="13" t="n"/>
      <c r="M41" s="14" t="n"/>
    </row>
    <row r="42" ht="15" customHeight="1">
      <c r="B42" s="12" t="inlineStr">
        <is>
          <t>Monthly rate</t>
        </is>
      </c>
      <c r="C42" s="50">
        <f>C31/12</f>
        <v/>
      </c>
    </row>
    <row r="43" ht="15" customHeight="1">
      <c r="B43" s="12" t="inlineStr">
        <is>
          <t>Annual debt service</t>
        </is>
      </c>
      <c r="C43" s="51">
        <f>C41*(C42/(1-(1+C42)^(-C32*12)))*12</f>
        <v/>
      </c>
    </row>
    <row r="44" ht="15" customHeight="1">
      <c r="B44" s="12" t="inlineStr">
        <is>
          <t>Equity at acquisition</t>
        </is>
      </c>
      <c r="C44" s="51">
        <f>C28*(1+C29)-C41</f>
        <v/>
      </c>
    </row>
    <row r="45" ht="15" customHeight="1">
      <c r="B45" s="12" t="inlineStr">
        <is>
          <t>Total cost basis</t>
        </is>
      </c>
      <c r="C45" s="51">
        <f>C28*(1+C29)</f>
        <v/>
      </c>
    </row>
    <row r="46" ht="15" customHeight="1">
      <c r="B46" s="12" t="inlineStr">
        <is>
          <t>Total equity required</t>
        </is>
      </c>
      <c r="C46" s="51">
        <f>C45-C41</f>
        <v/>
      </c>
    </row>
    <row r="47"/>
    <row r="48">
      <c r="B48" s="11" t="inlineStr">
        <is>
          <t>OPERATING CASH FLOW  —  10-year annual (Modified Gross)</t>
        </is>
      </c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3" t="n"/>
    </row>
    <row r="49" ht="15" customHeight="1">
      <c r="B49" s="15" t="inlineStr">
        <is>
          <t>Year</t>
        </is>
      </c>
      <c r="C49" s="16" t="inlineStr">
        <is>
          <t>0 / Acq</t>
        </is>
      </c>
      <c r="D49" s="41" t="n">
        <v>1</v>
      </c>
      <c r="E49" s="41" t="n">
        <v>2</v>
      </c>
      <c r="F49" s="41" t="n">
        <v>3</v>
      </c>
      <c r="G49" s="41" t="n">
        <v>4</v>
      </c>
      <c r="H49" s="41" t="n">
        <v>5</v>
      </c>
      <c r="I49" s="41" t="n">
        <v>6</v>
      </c>
      <c r="J49" s="41" t="n">
        <v>7</v>
      </c>
      <c r="K49" s="41" t="n">
        <v>8</v>
      </c>
      <c r="L49" s="41" t="n">
        <v>9</v>
      </c>
      <c r="M49" s="41" t="n">
        <v>10</v>
      </c>
    </row>
    <row r="50" ht="15" customHeight="1">
      <c r="B50" s="22" t="inlineStr">
        <is>
          <t>Year ending</t>
        </is>
      </c>
      <c r="C50" s="42" t="inlineStr">
        <is>
          <t>At close</t>
        </is>
      </c>
      <c r="D50" s="42" t="inlineStr">
        <is>
          <t>Dec-2027</t>
        </is>
      </c>
      <c r="E50" s="42" t="inlineStr">
        <is>
          <t>Dec-2028</t>
        </is>
      </c>
      <c r="F50" s="42" t="inlineStr">
        <is>
          <t>Dec-2029</t>
        </is>
      </c>
      <c r="G50" s="42" t="inlineStr">
        <is>
          <t>Dec-2030</t>
        </is>
      </c>
      <c r="H50" s="42" t="inlineStr">
        <is>
          <t>Dec-2031</t>
        </is>
      </c>
      <c r="I50" s="42" t="inlineStr">
        <is>
          <t>Dec-2032</t>
        </is>
      </c>
      <c r="J50" s="42" t="inlineStr">
        <is>
          <t>Dec-2033</t>
        </is>
      </c>
      <c r="K50" s="42" t="inlineStr">
        <is>
          <t>Dec-2034</t>
        </is>
      </c>
      <c r="L50" s="42" t="inlineStr">
        <is>
          <t>Dec-2035</t>
        </is>
      </c>
      <c r="M50" s="42" t="inlineStr">
        <is>
          <t>Dec-2036</t>
        </is>
      </c>
    </row>
    <row r="51" ht="15" customHeight="1">
      <c r="B51" s="12" t="inlineStr">
        <is>
          <t>Occupancy</t>
        </is>
      </c>
      <c r="D51" s="53">
        <f>(C18+C19)/2</f>
        <v/>
      </c>
      <c r="E51" s="53">
        <f>C19</f>
        <v/>
      </c>
      <c r="F51" s="53">
        <f>C19</f>
        <v/>
      </c>
      <c r="G51" s="53">
        <f>C19</f>
        <v/>
      </c>
      <c r="H51" s="53">
        <f>C19</f>
        <v/>
      </c>
      <c r="I51" s="53">
        <f>C19</f>
        <v/>
      </c>
      <c r="J51" s="53">
        <f>C19</f>
        <v/>
      </c>
      <c r="K51" s="53">
        <f>C19</f>
        <v/>
      </c>
      <c r="L51" s="53">
        <f>C19</f>
        <v/>
      </c>
      <c r="M51" s="53">
        <f>C19</f>
        <v/>
      </c>
    </row>
    <row r="52" ht="15" customHeight="1">
      <c r="B52" s="12" t="inlineStr">
        <is>
          <t>Leased SF</t>
        </is>
      </c>
      <c r="D52" s="64">
        <f>C17*D51</f>
        <v/>
      </c>
      <c r="E52" s="64">
        <f>C17*E51</f>
        <v/>
      </c>
      <c r="F52" s="64">
        <f>C17*F51</f>
        <v/>
      </c>
      <c r="G52" s="64">
        <f>C17*G51</f>
        <v/>
      </c>
      <c r="H52" s="64">
        <f>C17*H51</f>
        <v/>
      </c>
      <c r="I52" s="64">
        <f>C17*I51</f>
        <v/>
      </c>
      <c r="J52" s="64">
        <f>C17*J51</f>
        <v/>
      </c>
      <c r="K52" s="64">
        <f>C17*K51</f>
        <v/>
      </c>
      <c r="L52" s="64">
        <f>C17*L51</f>
        <v/>
      </c>
      <c r="M52" s="64">
        <f>C17*M51</f>
        <v/>
      </c>
    </row>
    <row r="53" ht="15" customHeight="1">
      <c r="B53" s="52" t="inlineStr">
        <is>
          <t>Gross rental income (MG)</t>
        </is>
      </c>
      <c r="D53" s="51">
        <f>D52*C20*(1+C21)^(1-1)</f>
        <v/>
      </c>
      <c r="E53" s="47">
        <f>E52*C20*(1+C21)^(2-1)</f>
        <v/>
      </c>
      <c r="F53" s="47">
        <f>F52*C20*(1+C21)^(3-1)</f>
        <v/>
      </c>
      <c r="G53" s="47">
        <f>G52*C20*(1+C21)^(4-1)</f>
        <v/>
      </c>
      <c r="H53" s="47">
        <f>H52*C20*(1+C21)^(5-1)</f>
        <v/>
      </c>
      <c r="I53" s="47">
        <f>I52*C20*(1+C21)^(6-1)</f>
        <v/>
      </c>
      <c r="J53" s="47">
        <f>J52*C20*(1+C21)^(7-1)</f>
        <v/>
      </c>
      <c r="K53" s="47">
        <f>K52*C20*(1+C21)^(8-1)</f>
        <v/>
      </c>
      <c r="L53" s="47">
        <f>L52*C20*(1+C21)^(9-1)</f>
        <v/>
      </c>
      <c r="M53" s="47">
        <f>M52*C20*(1+C21)^(10-1)</f>
        <v/>
      </c>
    </row>
    <row r="54" ht="15" customHeight="1">
      <c r="B54" s="12" t="inlineStr">
        <is>
          <t>Less: credit &amp; vacancy loss</t>
        </is>
      </c>
      <c r="D54" s="47">
        <f>-D53*C22</f>
        <v/>
      </c>
      <c r="E54" s="47">
        <f>-E53*C22</f>
        <v/>
      </c>
      <c r="F54" s="47">
        <f>-F53*C22</f>
        <v/>
      </c>
      <c r="G54" s="47">
        <f>-G53*C22</f>
        <v/>
      </c>
      <c r="H54" s="47">
        <f>-H53*C22</f>
        <v/>
      </c>
      <c r="I54" s="47">
        <f>-I53*C22</f>
        <v/>
      </c>
      <c r="J54" s="47">
        <f>-J53*C22</f>
        <v/>
      </c>
      <c r="K54" s="47">
        <f>-K53*C22</f>
        <v/>
      </c>
      <c r="L54" s="47">
        <f>-L53*C22</f>
        <v/>
      </c>
      <c r="M54" s="47">
        <f>-M53*C22</f>
        <v/>
      </c>
    </row>
    <row r="55" ht="15" customHeight="1">
      <c r="B55" s="43" t="inlineStr">
        <is>
          <t>Effective Gross Revenue</t>
        </is>
      </c>
      <c r="D55" s="51">
        <f>D53+D54</f>
        <v/>
      </c>
      <c r="E55" s="47">
        <f>E53+E54</f>
        <v/>
      </c>
      <c r="F55" s="47">
        <f>F53+F54</f>
        <v/>
      </c>
      <c r="G55" s="47">
        <f>G53+G54</f>
        <v/>
      </c>
      <c r="H55" s="47">
        <f>H53+H54</f>
        <v/>
      </c>
      <c r="I55" s="47">
        <f>I53+I54</f>
        <v/>
      </c>
      <c r="J55" s="47">
        <f>J53+J54</f>
        <v/>
      </c>
      <c r="K55" s="47">
        <f>K53+K54</f>
        <v/>
      </c>
      <c r="L55" s="47">
        <f>L53+L54</f>
        <v/>
      </c>
      <c r="M55" s="47">
        <f>M53+M54</f>
        <v/>
      </c>
    </row>
    <row r="56" ht="15" customHeight="1">
      <c r="B56" s="15" t="inlineStr">
        <is>
          <t>OPERATING EXPENSES (landlord — Modified Gross)</t>
        </is>
      </c>
      <c r="C56" s="13" t="n"/>
      <c r="D56" s="13" t="n"/>
      <c r="E56" s="13" t="n"/>
      <c r="F56" s="13" t="n"/>
      <c r="G56" s="13" t="n"/>
      <c r="H56" s="13" t="n"/>
      <c r="I56" s="13" t="n"/>
      <c r="J56" s="13" t="n"/>
      <c r="K56" s="13" t="n"/>
      <c r="L56" s="13" t="n"/>
      <c r="M56" s="14" t="n"/>
    </row>
    <row r="57" ht="15" customHeight="1">
      <c r="B57" s="12" t="inlineStr">
        <is>
          <t>Real-estate taxes</t>
        </is>
      </c>
      <c r="D57" s="47">
        <f>C28*C23*(1+C26)^(1-1)</f>
        <v/>
      </c>
      <c r="E57" s="47">
        <f>C28*C23*(1+C26)^(2-1)</f>
        <v/>
      </c>
      <c r="F57" s="47">
        <f>C28*C23*(1+C26)^(3-1)</f>
        <v/>
      </c>
      <c r="G57" s="47">
        <f>C28*C23*(1+C26)^(4-1)</f>
        <v/>
      </c>
      <c r="H57" s="47">
        <f>C28*C23*(1+C26)^(5-1)</f>
        <v/>
      </c>
      <c r="I57" s="47">
        <f>C28*C23*(1+C26)^(6-1)</f>
        <v/>
      </c>
      <c r="J57" s="47">
        <f>C28*C23*(1+C26)^(7-1)</f>
        <v/>
      </c>
      <c r="K57" s="47">
        <f>C28*C23*(1+C26)^(8-1)</f>
        <v/>
      </c>
      <c r="L57" s="47">
        <f>C28*C23*(1+C26)^(9-1)</f>
        <v/>
      </c>
      <c r="M57" s="47">
        <f>C28*C23*(1+C26)^(10-1)</f>
        <v/>
      </c>
    </row>
    <row r="58" ht="15" customHeight="1">
      <c r="B58" s="12" t="inlineStr">
        <is>
          <t>Office opex (utilities, R&amp;M, ins, CAM)</t>
        </is>
      </c>
      <c r="D58" s="47">
        <f>C17*C24*(1+C26)^(1-1)</f>
        <v/>
      </c>
      <c r="E58" s="47">
        <f>C17*C24*(1+C26)^(2-1)</f>
        <v/>
      </c>
      <c r="F58" s="47">
        <f>C17*C24*(1+C26)^(3-1)</f>
        <v/>
      </c>
      <c r="G58" s="47">
        <f>C17*C24*(1+C26)^(4-1)</f>
        <v/>
      </c>
      <c r="H58" s="47">
        <f>C17*C24*(1+C26)^(5-1)</f>
        <v/>
      </c>
      <c r="I58" s="47">
        <f>C17*C24*(1+C26)^(6-1)</f>
        <v/>
      </c>
      <c r="J58" s="47">
        <f>C17*C24*(1+C26)^(7-1)</f>
        <v/>
      </c>
      <c r="K58" s="47">
        <f>C17*C24*(1+C26)^(8-1)</f>
        <v/>
      </c>
      <c r="L58" s="47">
        <f>C17*C24*(1+C26)^(9-1)</f>
        <v/>
      </c>
      <c r="M58" s="47">
        <f>C17*C24*(1+C26)^(10-1)</f>
        <v/>
      </c>
    </row>
    <row r="59" ht="15" customHeight="1">
      <c r="B59" s="12" t="inlineStr">
        <is>
          <t>Management fee</t>
        </is>
      </c>
      <c r="D59" s="47">
        <f>D55*C25</f>
        <v/>
      </c>
      <c r="E59" s="47">
        <f>E55*C25</f>
        <v/>
      </c>
      <c r="F59" s="47">
        <f>F55*C25</f>
        <v/>
      </c>
      <c r="G59" s="47">
        <f>G55*C25</f>
        <v/>
      </c>
      <c r="H59" s="47">
        <f>H55*C25</f>
        <v/>
      </c>
      <c r="I59" s="47">
        <f>I55*C25</f>
        <v/>
      </c>
      <c r="J59" s="47">
        <f>J55*C25</f>
        <v/>
      </c>
      <c r="K59" s="47">
        <f>K55*C25</f>
        <v/>
      </c>
      <c r="L59" s="47">
        <f>L55*C25</f>
        <v/>
      </c>
      <c r="M59" s="47">
        <f>M55*C25</f>
        <v/>
      </c>
    </row>
    <row r="60" ht="15" customHeight="1">
      <c r="B60" s="43" t="inlineStr">
        <is>
          <t>Total operating expenses</t>
        </is>
      </c>
      <c r="D60" s="51">
        <f>SUM(D57:D59)</f>
        <v/>
      </c>
      <c r="E60" s="47">
        <f>SUM(E57:E59)</f>
        <v/>
      </c>
      <c r="F60" s="47">
        <f>SUM(F57:F59)</f>
        <v/>
      </c>
      <c r="G60" s="47">
        <f>SUM(G57:G59)</f>
        <v/>
      </c>
      <c r="H60" s="47">
        <f>SUM(H57:H59)</f>
        <v/>
      </c>
      <c r="I60" s="47">
        <f>SUM(I57:I59)</f>
        <v/>
      </c>
      <c r="J60" s="47">
        <f>SUM(J57:J59)</f>
        <v/>
      </c>
      <c r="K60" s="47">
        <f>SUM(K57:K59)</f>
        <v/>
      </c>
      <c r="L60" s="47">
        <f>SUM(L57:L59)</f>
        <v/>
      </c>
      <c r="M60" s="47">
        <f>SUM(M57:M59)</f>
        <v/>
      </c>
    </row>
    <row r="61" ht="15" customHeight="1">
      <c r="B61" s="43" t="inlineStr">
        <is>
          <t>NET OPERATING INCOME</t>
        </is>
      </c>
      <c r="D61" s="44">
        <f>D55-D60</f>
        <v/>
      </c>
      <c r="E61" s="45">
        <f>E55-E60</f>
        <v/>
      </c>
      <c r="F61" s="45">
        <f>F55-F60</f>
        <v/>
      </c>
      <c r="G61" s="45">
        <f>G55-G60</f>
        <v/>
      </c>
      <c r="H61" s="45">
        <f>H55-H60</f>
        <v/>
      </c>
      <c r="I61" s="45">
        <f>I55-I60</f>
        <v/>
      </c>
      <c r="J61" s="45">
        <f>J55-J60</f>
        <v/>
      </c>
      <c r="K61" s="45">
        <f>K55-K60</f>
        <v/>
      </c>
      <c r="L61" s="45">
        <f>L55-L60</f>
        <v/>
      </c>
      <c r="M61" s="45">
        <f>M55-M60</f>
        <v/>
      </c>
    </row>
    <row r="62" ht="15" customHeight="1">
      <c r="B62" s="12" t="inlineStr">
        <is>
          <t>Replacement reserves</t>
        </is>
      </c>
      <c r="D62" s="47">
        <f>C17*C27*(1+C26)^(1-1)</f>
        <v/>
      </c>
      <c r="E62" s="47">
        <f>C17*C27*(1+C26)^(2-1)</f>
        <v/>
      </c>
      <c r="F62" s="47">
        <f>C17*C27*(1+C26)^(3-1)</f>
        <v/>
      </c>
      <c r="G62" s="47">
        <f>C17*C27*(1+C26)^(4-1)</f>
        <v/>
      </c>
      <c r="H62" s="47">
        <f>C17*C27*(1+C26)^(5-1)</f>
        <v/>
      </c>
      <c r="I62" s="47">
        <f>C17*C27*(1+C26)^(6-1)</f>
        <v/>
      </c>
      <c r="J62" s="47">
        <f>C17*C27*(1+C26)^(7-1)</f>
        <v/>
      </c>
      <c r="K62" s="47">
        <f>C17*C27*(1+C26)^(8-1)</f>
        <v/>
      </c>
      <c r="L62" s="47">
        <f>C17*C27*(1+C26)^(9-1)</f>
        <v/>
      </c>
      <c r="M62" s="47">
        <f>C17*C27*(1+C26)^(10-1)</f>
        <v/>
      </c>
    </row>
    <row r="63" ht="15" customHeight="1">
      <c r="B63" s="43" t="inlineStr">
        <is>
          <t>Unlevered cash flow (before reversion)</t>
        </is>
      </c>
      <c r="C63" s="44">
        <f>-C28*(1+C29)</f>
        <v/>
      </c>
      <c r="D63" s="44">
        <f>D61-D62</f>
        <v/>
      </c>
      <c r="E63" s="45">
        <f>E61-E62</f>
        <v/>
      </c>
      <c r="F63" s="45">
        <f>F61-F62</f>
        <v/>
      </c>
      <c r="G63" s="45">
        <f>G61-G62</f>
        <v/>
      </c>
      <c r="H63" s="45">
        <f>H61-H62</f>
        <v/>
      </c>
      <c r="I63" s="45">
        <f>I61-I62</f>
        <v/>
      </c>
      <c r="J63" s="45">
        <f>J61-J62</f>
        <v/>
      </c>
      <c r="K63" s="45">
        <f>K61-K62</f>
        <v/>
      </c>
      <c r="L63" s="45">
        <f>L61-L62</f>
        <v/>
      </c>
      <c r="M63" s="45">
        <f>M61-M62</f>
        <v/>
      </c>
    </row>
    <row r="64"/>
    <row r="65">
      <c r="B65" s="11" t="inlineStr">
        <is>
          <t>REVERSION, DEBT SERVICE  &amp;  LEVERED CASH FLOW</t>
        </is>
      </c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3" t="n"/>
    </row>
    <row r="66" ht="15" customHeight="1">
      <c r="B66" s="12" t="inlineStr">
        <is>
          <t>Net sale proceeds (exit year)</t>
        </is>
      </c>
      <c r="D66" s="47">
        <f>IF(1=C36,(D61*(1+C21)/C34)*(1-C35),0)</f>
        <v/>
      </c>
      <c r="E66" s="47">
        <f>IF(2=C36,(E61*(1+C21)/C34)*(1-C35),0)</f>
        <v/>
      </c>
      <c r="F66" s="47">
        <f>IF(3=C36,(F61*(1+C21)/C34)*(1-C35),0)</f>
        <v/>
      </c>
      <c r="G66" s="47">
        <f>IF(4=C36,(G61*(1+C21)/C34)*(1-C35),0)</f>
        <v/>
      </c>
      <c r="H66" s="47">
        <f>IF(5=C36,(H61*(1+C21)/C34)*(1-C35),0)</f>
        <v/>
      </c>
      <c r="I66" s="47">
        <f>IF(6=C36,(I61*(1+C21)/C34)*(1-C35),0)</f>
        <v/>
      </c>
      <c r="J66" s="47">
        <f>IF(7=C36,(J61*(1+C21)/C34)*(1-C35),0)</f>
        <v/>
      </c>
      <c r="K66" s="47">
        <f>IF(8=C36,(K61*(1+C21)/C34)*(1-C35),0)</f>
        <v/>
      </c>
      <c r="L66" s="47">
        <f>IF(9=C36,(L61*(1+C21)/C34)*(1-C35),0)</f>
        <v/>
      </c>
      <c r="M66" s="47">
        <f>IF(10=C36,(M61*(1+C21)/C34)*(1-C35),0)</f>
        <v/>
      </c>
    </row>
    <row r="67" ht="15" customHeight="1">
      <c r="B67" s="43" t="inlineStr">
        <is>
          <t>UNLEVERED PROJECT CASH FLOW</t>
        </is>
      </c>
      <c r="C67" s="44">
        <f>C63</f>
        <v/>
      </c>
      <c r="D67" s="44">
        <f>IF(1&lt;=C36,D63,0)+D66</f>
        <v/>
      </c>
      <c r="E67" s="45">
        <f>IF(2&lt;=C36,E63,0)+E66</f>
        <v/>
      </c>
      <c r="F67" s="45">
        <f>IF(3&lt;=C36,F63,0)+F66</f>
        <v/>
      </c>
      <c r="G67" s="45">
        <f>IF(4&lt;=C36,G63,0)+G66</f>
        <v/>
      </c>
      <c r="H67" s="45">
        <f>IF(5&lt;=C36,H63,0)+H66</f>
        <v/>
      </c>
      <c r="I67" s="45">
        <f>IF(6&lt;=C36,I63,0)+I66</f>
        <v/>
      </c>
      <c r="J67" s="45">
        <f>IF(7&lt;=C36,J63,0)+J66</f>
        <v/>
      </c>
      <c r="K67" s="45">
        <f>IF(8&lt;=C36,K63,0)+K66</f>
        <v/>
      </c>
      <c r="L67" s="45">
        <f>IF(9&lt;=C36,L63,0)+L66</f>
        <v/>
      </c>
      <c r="M67" s="45">
        <f>IF(10&lt;=C36,M63,0)+M66</f>
        <v/>
      </c>
    </row>
    <row r="68" ht="15" customHeight="1">
      <c r="B68" s="12" t="inlineStr">
        <is>
          <t>Loan balance (year-end)</t>
        </is>
      </c>
      <c r="D68" s="47">
        <f>C41*(1+C42)^(12*1)-(C43/12)*((1+C42)^(12*1)-1)/C42</f>
        <v/>
      </c>
      <c r="E68" s="47">
        <f>C41*(1+C42)^(12*2)-(C43/12)*((1+C42)^(12*2)-1)/C42</f>
        <v/>
      </c>
      <c r="F68" s="47">
        <f>C41*(1+C42)^(12*3)-(C43/12)*((1+C42)^(12*3)-1)/C42</f>
        <v/>
      </c>
      <c r="G68" s="47">
        <f>C41*(1+C42)^(12*4)-(C43/12)*((1+C42)^(12*4)-1)/C42</f>
        <v/>
      </c>
      <c r="H68" s="47">
        <f>C41*(1+C42)^(12*5)-(C43/12)*((1+C42)^(12*5)-1)/C42</f>
        <v/>
      </c>
      <c r="I68" s="47">
        <f>C41*(1+C42)^(12*6)-(C43/12)*((1+C42)^(12*6)-1)/C42</f>
        <v/>
      </c>
      <c r="J68" s="47">
        <f>C41*(1+C42)^(12*7)-(C43/12)*((1+C42)^(12*7)-1)/C42</f>
        <v/>
      </c>
      <c r="K68" s="47">
        <f>C41*(1+C42)^(12*8)-(C43/12)*((1+C42)^(12*8)-1)/C42</f>
        <v/>
      </c>
      <c r="L68" s="47">
        <f>C41*(1+C42)^(12*9)-(C43/12)*((1+C42)^(12*9)-1)/C42</f>
        <v/>
      </c>
      <c r="M68" s="47">
        <f>C41*(1+C42)^(12*10)-(C43/12)*((1+C42)^(12*10)-1)/C42</f>
        <v/>
      </c>
    </row>
    <row r="69" ht="15" customHeight="1">
      <c r="B69" s="12" t="inlineStr">
        <is>
          <t>DSCR (NOI ÷ DS)</t>
        </is>
      </c>
      <c r="D69" s="54">
        <f>D61/C43</f>
        <v/>
      </c>
      <c r="E69" s="54">
        <f>E61/C43</f>
        <v/>
      </c>
      <c r="F69" s="54">
        <f>F61/C43</f>
        <v/>
      </c>
      <c r="G69" s="54">
        <f>G61/C43</f>
        <v/>
      </c>
      <c r="H69" s="54">
        <f>H61/C43</f>
        <v/>
      </c>
      <c r="I69" s="54">
        <f>I61/C43</f>
        <v/>
      </c>
      <c r="J69" s="54">
        <f>J61/C43</f>
        <v/>
      </c>
      <c r="K69" s="54">
        <f>K61/C43</f>
        <v/>
      </c>
      <c r="L69" s="54">
        <f>L61/C43</f>
        <v/>
      </c>
      <c r="M69" s="54">
        <f>M61/C43</f>
        <v/>
      </c>
    </row>
    <row r="70" ht="15" customHeight="1">
      <c r="B70" s="43" t="inlineStr">
        <is>
          <t>LEVERED CASH FLOW (equity)</t>
        </is>
      </c>
      <c r="C70" s="44">
        <f>-C44</f>
        <v/>
      </c>
      <c r="D70" s="44">
        <f>IF(1&lt;=C36,D63-C43,0)+IF(1=C36,D66-D68,0)</f>
        <v/>
      </c>
      <c r="E70" s="45">
        <f>IF(2&lt;=C36,E63-C43,0)+IF(2=C36,E66-E68,0)</f>
        <v/>
      </c>
      <c r="F70" s="45">
        <f>IF(3&lt;=C36,F63-C43,0)+IF(3=C36,F66-F68,0)</f>
        <v/>
      </c>
      <c r="G70" s="45">
        <f>IF(4&lt;=C36,G63-C43,0)+IF(4=C36,G66-G68,0)</f>
        <v/>
      </c>
      <c r="H70" s="45">
        <f>IF(5&lt;=C36,H63-C43,0)+IF(5=C36,H66-H68,0)</f>
        <v/>
      </c>
      <c r="I70" s="45">
        <f>IF(6&lt;=C36,I63-C43,0)+IF(6=C36,I66-I68,0)</f>
        <v/>
      </c>
      <c r="J70" s="45">
        <f>IF(7&lt;=C36,J63-C43,0)+IF(7=C36,J66-J68,0)</f>
        <v/>
      </c>
      <c r="K70" s="45">
        <f>IF(8&lt;=C36,K63-C43,0)+IF(8=C36,K66-K68,0)</f>
        <v/>
      </c>
      <c r="L70" s="45">
        <f>IF(9&lt;=C36,L63-C43,0)+IF(9=C36,L66-L68,0)</f>
        <v/>
      </c>
      <c r="M70" s="45">
        <f>IF(10&lt;=C36,M63-C43,0)+IF(10=C36,M66-M68,0)</f>
        <v/>
      </c>
    </row>
    <row r="71"/>
    <row r="72">
      <c r="B72" s="11" t="inlineStr">
        <is>
          <t>RETURNS  —  unlevered &amp; levered</t>
        </is>
      </c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3" t="n"/>
    </row>
    <row r="73" ht="15" customHeight="1">
      <c r="B73" s="12" t="inlineStr">
        <is>
          <t>Unlevered IRR</t>
        </is>
      </c>
      <c r="C73" s="53">
        <f>IRR(C67:M67)</f>
        <v/>
      </c>
    </row>
    <row r="74" ht="15" customHeight="1">
      <c r="B74" s="12" t="inlineStr">
        <is>
          <t>Unlevered equity multiple</t>
        </is>
      </c>
      <c r="C74" s="54">
        <f>SUM(D67:M67)/-C67</f>
        <v/>
      </c>
    </row>
    <row r="75" ht="15" customHeight="1">
      <c r="B75" s="12" t="inlineStr">
        <is>
          <t>Unlevered NPV @ discount rate</t>
        </is>
      </c>
      <c r="C75" s="51">
        <f>C67+NPV(C37,D67:M67)</f>
        <v/>
      </c>
    </row>
    <row r="76" ht="15" customHeight="1">
      <c r="B76" s="12" t="inlineStr">
        <is>
          <t>Levered IRR</t>
        </is>
      </c>
      <c r="C76" s="53">
        <f>IRR(C70:M70)</f>
        <v/>
      </c>
    </row>
    <row r="77" ht="15" customHeight="1">
      <c r="B77" s="12" t="inlineStr">
        <is>
          <t>Levered equity multiple</t>
        </is>
      </c>
      <c r="C77" s="54">
        <f>SUM(D70:M70)/C44</f>
        <v/>
      </c>
    </row>
    <row r="78" ht="15" customHeight="1">
      <c r="B78" s="12" t="inlineStr">
        <is>
          <t>Year-1 NOI (pro-forma)</t>
        </is>
      </c>
      <c r="C78" s="51">
        <f>D61</f>
        <v/>
      </c>
    </row>
    <row r="79" ht="15" customHeight="1">
      <c r="B79" s="12" t="inlineStr">
        <is>
          <t>As-is in-place NOI (at occ0, no lease-up)</t>
        </is>
      </c>
      <c r="C79" s="51">
        <f>(C17*C18*C20)-(C17*C18*C20)*C22-(C28*C23+C17*C24)-((C17*C18*C20)-(C17*C18*C20)*C22)*C25</f>
        <v/>
      </c>
    </row>
    <row r="80" ht="15" customHeight="1">
      <c r="B80" s="12" t="inlineStr">
        <is>
          <t>Going-in cap (as-is NOI ÷ price)</t>
        </is>
      </c>
      <c r="C80" s="50">
        <f>C79/C28</f>
        <v/>
      </c>
    </row>
    <row r="81" ht="15" customHeight="1">
      <c r="B81" s="12" t="inlineStr">
        <is>
          <t>Stabilized NOI (Yr 2)</t>
        </is>
      </c>
      <c r="C81" s="51">
        <f>E61</f>
        <v/>
      </c>
    </row>
    <row r="82" ht="15" customHeight="1">
      <c r="B82" s="12" t="inlineStr">
        <is>
          <t>Stabilized value (÷ exit cap)</t>
        </is>
      </c>
      <c r="C82" s="51">
        <f>C81/C34</f>
        <v/>
      </c>
    </row>
    <row r="83" ht="15" customHeight="1">
      <c r="B83" s="12" t="inlineStr">
        <is>
          <t>In-place NOI per SF</t>
        </is>
      </c>
      <c r="C83" s="68">
        <f>D61/C17</f>
        <v/>
      </c>
    </row>
    <row r="84" ht="15" customHeight="1">
      <c r="B84" s="12" t="inlineStr">
        <is>
          <t>Income value (Yr-1 NOI ÷ going-in cap)</t>
        </is>
      </c>
      <c r="C84" s="51">
        <f>D61/C33</f>
        <v/>
      </c>
    </row>
    <row r="85" ht="15" customHeight="1">
      <c r="B85" s="12" t="inlineStr">
        <is>
          <t>Sale-comp value (SF × $/SF)</t>
        </is>
      </c>
      <c r="C85" s="51">
        <f>C17*C38</f>
        <v/>
      </c>
    </row>
    <row r="86"/>
    <row r="87">
      <c r="B87" s="11" t="inlineStr">
        <is>
          <t>OWNERS &amp; FULL BUY-OUT  —  every identifiable owner modeled individually  (⚠️ BCPA/Clerk egress-blocked; balance grouped)</t>
        </is>
      </c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3" t="n"/>
    </row>
    <row r="88" ht="27" customHeight="1">
      <c r="B88" s="12" t="inlineStr">
        <is>
          <t>Condo buyout premium (fractured ownership / holdout)</t>
        </is>
      </c>
      <c r="C88" s="84" t="n">
        <v>0.12</v>
      </c>
      <c r="D88" s="22" t="inlineStr">
        <is>
          <t>🔵 uplift over income value to get owners to sell</t>
        </is>
      </c>
      <c r="E88" s="13" t="n"/>
      <c r="F88" s="13" t="n"/>
      <c r="G88" s="13" t="n"/>
      <c r="H88" s="13" t="n"/>
      <c r="I88" s="13" t="n"/>
      <c r="J88" s="13" t="n"/>
      <c r="K88" s="13" t="n"/>
      <c r="L88" s="13" t="n"/>
      <c r="M88" s="14" t="n"/>
    </row>
    <row r="89" ht="15" customHeight="1">
      <c r="B89" s="15" t="inlineStr">
        <is>
          <t>Owner / unit</t>
        </is>
      </c>
      <c r="C89" s="14" t="n"/>
      <c r="D89" s="16" t="inlineStr">
        <is>
          <t>SF</t>
        </is>
      </c>
      <c r="E89" s="16" t="inlineStr">
        <is>
          <t>% bldg</t>
        </is>
      </c>
      <c r="F89" s="16" t="inlineStr">
        <is>
          <t>Orig basis</t>
        </is>
      </c>
      <c r="G89" s="16" t="inlineStr">
        <is>
          <t>Bought</t>
        </is>
      </c>
      <c r="H89" s="16" t="inlineStr">
        <is>
          <t>Income value</t>
        </is>
      </c>
      <c r="I89" s="16" t="inlineStr">
        <is>
          <t>Buy-out value</t>
        </is>
      </c>
      <c r="J89" s="15" t="inlineStr">
        <is>
          <t>Note</t>
        </is>
      </c>
      <c r="K89" s="13" t="n"/>
      <c r="L89" s="13" t="n"/>
      <c r="M89" s="14" t="n"/>
    </row>
    <row r="90" ht="27" customHeight="1">
      <c r="B90" s="12" t="inlineStr">
        <is>
          <t>Main Street Fund LLC (Grove Gate)</t>
        </is>
      </c>
      <c r="C90" s="14" t="n"/>
      <c r="D90" s="77" t="n">
        <v>96930</v>
      </c>
      <c r="E90" s="53">
        <f>D90/C17</f>
        <v/>
      </c>
      <c r="F90" s="72" t="n">
        <v>10000000</v>
      </c>
      <c r="G90" s="71" t="inlineStr">
        <is>
          <t>09/2019</t>
        </is>
      </c>
      <c r="H90" s="47">
        <f>C83*D90/C33</f>
        <v/>
      </c>
      <c r="I90" s="47">
        <f>H90*(1+C88)</f>
        <v/>
      </c>
      <c r="J90" s="12" t="inlineStr">
        <is>
          <t>57.4% + 2 parking lots · ✅ press · NOW RESELLING units individually</t>
        </is>
      </c>
      <c r="K90" s="13" t="n"/>
      <c r="L90" s="13" t="n"/>
      <c r="M90" s="14" t="n"/>
    </row>
    <row r="91" ht="27" customHeight="1">
      <c r="B91" s="12" t="inlineStr">
        <is>
          <t>International Sunrise Partners LLC</t>
        </is>
      </c>
      <c r="C91" s="14" t="n"/>
      <c r="D91" s="77" t="n">
        <v>40000</v>
      </c>
      <c r="E91" s="53">
        <f>D91/C17</f>
        <v/>
      </c>
      <c r="F91" s="90" t="inlineStr">
        <is>
          <t>—</t>
        </is>
      </c>
      <c r="G91" s="42" t="inlineStr">
        <is>
          <t>2011</t>
        </is>
      </c>
      <c r="H91" s="47">
        <f>C83*D91/C33</f>
        <v/>
      </c>
      <c r="I91" s="47">
        <f>H91*(1+C88)</f>
        <v/>
      </c>
      <c r="J91" s="12" t="inlineStr">
        <is>
          <t>Bush Development condo-conversion sponsor · retained balance · SF est.</t>
        </is>
      </c>
      <c r="K91" s="13" t="n"/>
      <c r="L91" s="13" t="n"/>
      <c r="M91" s="14" t="n"/>
    </row>
    <row r="92" ht="15" customHeight="1">
      <c r="B92" s="12" t="inlineStr">
        <is>
          <t>P. Jorgensen Management LLC — Ste 805</t>
        </is>
      </c>
      <c r="C92" s="14" t="n"/>
      <c r="D92" s="77" t="n">
        <v>1722</v>
      </c>
      <c r="E92" s="53">
        <f>D92/C17</f>
        <v/>
      </c>
      <c r="F92" s="72" t="n">
        <v>410000</v>
      </c>
      <c r="G92" s="71" t="inlineStr">
        <is>
          <t>11/2019</t>
        </is>
      </c>
      <c r="H92" s="47">
        <f>C83*D92/C33</f>
        <v/>
      </c>
      <c r="I92" s="47">
        <f>H92*(1+C88)</f>
        <v/>
      </c>
      <c r="J92" s="12" t="inlineStr">
        <is>
          <t>Denmark-based US HQ · ✅ press (Berger Commercial)</t>
        </is>
      </c>
      <c r="K92" s="13" t="n"/>
      <c r="L92" s="13" t="n"/>
      <c r="M92" s="14" t="n"/>
    </row>
    <row r="93" ht="15" customHeight="1">
      <c r="B93" s="12" t="inlineStr">
        <is>
          <t>Hublot of America, Inc. — Ste 402</t>
        </is>
      </c>
      <c r="C93" s="14" t="n"/>
      <c r="D93" s="77" t="n">
        <v>2000</v>
      </c>
      <c r="E93" s="53">
        <f>D93/C17</f>
        <v/>
      </c>
      <c r="F93" s="90" t="inlineStr">
        <is>
          <t>—</t>
        </is>
      </c>
      <c r="G93" s="42" t="inlineStr">
        <is>
          <t>—</t>
        </is>
      </c>
      <c r="H93" s="47">
        <f>C83*D93/C33</f>
        <v/>
      </c>
      <c r="I93" s="47">
        <f>H93*(1+C88)</f>
        <v/>
      </c>
      <c r="J93" s="12" t="inlineStr">
        <is>
          <t>Swiss watchmaker boutique · SF est. · ⚠️ reported</t>
        </is>
      </c>
      <c r="K93" s="13" t="n"/>
      <c r="L93" s="13" t="n"/>
      <c r="M93" s="14" t="n"/>
    </row>
    <row r="94" ht="15" customHeight="1">
      <c r="B94" s="12" t="inlineStr">
        <is>
          <t>Merrimac Ventures (Motwani) — unit(s)</t>
        </is>
      </c>
      <c r="C94" s="14" t="n"/>
      <c r="D94" s="77" t="n">
        <v>3000</v>
      </c>
      <c r="E94" s="53">
        <f>D94/C17</f>
        <v/>
      </c>
      <c r="F94" s="90" t="inlineStr">
        <is>
          <t>—</t>
        </is>
      </c>
      <c r="G94" s="42" t="inlineStr">
        <is>
          <t>—</t>
        </is>
      </c>
      <c r="H94" s="47">
        <f>C83*D94/C33</f>
        <v/>
      </c>
      <c r="I94" s="47">
        <f>H94*(1+C88)</f>
        <v/>
      </c>
      <c r="J94" s="12" t="inlineStr">
        <is>
          <t>reported owner · SF est. · ⚠️ reported</t>
        </is>
      </c>
      <c r="K94" s="13" t="n"/>
      <c r="L94" s="13" t="n"/>
      <c r="M94" s="14" t="n"/>
    </row>
    <row r="95" ht="15" customHeight="1">
      <c r="B95" s="12" t="inlineStr">
        <is>
          <t>Unit 401 owner — Ste 401</t>
        </is>
      </c>
      <c r="C95" s="14" t="n"/>
      <c r="D95" s="77" t="n">
        <v>682</v>
      </c>
      <c r="E95" s="53">
        <f>D95/C17</f>
        <v/>
      </c>
      <c r="F95" s="72" t="n">
        <v>260000</v>
      </c>
      <c r="G95" s="71" t="inlineStr">
        <is>
          <t>06/2024</t>
        </is>
      </c>
      <c r="H95" s="47">
        <f>C83*D95/C33</f>
        <v/>
      </c>
      <c r="I95" s="47">
        <f>H95*(1+C88)</f>
        <v/>
      </c>
      <c r="J95" s="12" t="inlineStr">
        <is>
          <t>sold via MLS 6/2024 · ⚠️ reported</t>
        </is>
      </c>
      <c r="K95" s="13" t="n"/>
      <c r="L95" s="13" t="n"/>
      <c r="M95" s="14" t="n"/>
    </row>
    <row r="96" ht="15" customHeight="1">
      <c r="B96" s="12" t="inlineStr">
        <is>
          <t>Other unit owners (dozens of small units)</t>
        </is>
      </c>
      <c r="C96" s="14" t="n"/>
      <c r="D96" s="77" t="n">
        <v>24473</v>
      </c>
      <c r="E96" s="53">
        <f>D96/C17</f>
        <v/>
      </c>
      <c r="F96" s="90" t="inlineStr">
        <is>
          <t>—</t>
        </is>
      </c>
      <c r="G96" s="42" t="inlineStr">
        <is>
          <t>—</t>
        </is>
      </c>
      <c r="H96" s="47">
        <f>C83*D96/C33</f>
        <v/>
      </c>
      <c r="I96" s="47">
        <f>H96*(1+C88)</f>
        <v/>
      </c>
      <c r="J96" s="12" t="inlineStr">
        <is>
          <t>⚠️ balance — needs a BCPA folio pull to itemize each</t>
        </is>
      </c>
      <c r="K96" s="13" t="n"/>
      <c r="L96" s="13" t="n"/>
      <c r="M96" s="14" t="n"/>
    </row>
    <row r="97" ht="16" customHeight="1">
      <c r="B97" s="55" t="inlineStr">
        <is>
          <t>TOTAL BUILDING — FULL BUY-OUT</t>
        </is>
      </c>
      <c r="C97" s="14" t="n"/>
      <c r="D97" s="91">
        <f>SUM(D90:D96)</f>
        <v/>
      </c>
      <c r="E97" s="92">
        <f>SUM(E90:E96)</f>
        <v/>
      </c>
      <c r="F97" s="93" t="inlineStr">
        <is>
          <t>—</t>
        </is>
      </c>
      <c r="G97" s="93" t="inlineStr">
        <is>
          <t>—</t>
        </is>
      </c>
      <c r="H97" s="56">
        <f>SUM(H90:H96)</f>
        <v/>
      </c>
      <c r="I97" s="56">
        <f>SUM(I90:I96)</f>
        <v/>
      </c>
      <c r="J97" s="55" t="inlineStr">
        <is>
          <t>cost to control the whole building</t>
        </is>
      </c>
      <c r="K97" s="13" t="n"/>
      <c r="L97" s="13" t="n"/>
      <c r="M97" s="14" t="n"/>
    </row>
    <row r="98" ht="15" customHeight="1">
      <c r="B98" s="22" t="inlineStr">
        <is>
          <t>cross-check — income value (no premium) vs. $300/SF comp</t>
        </is>
      </c>
      <c r="C98" s="14" t="n"/>
      <c r="H98" s="94">
        <f>H97</f>
        <v/>
      </c>
      <c r="I98" s="94">
        <f>C85</f>
        <v/>
      </c>
    </row>
    <row r="99"/>
    <row r="100">
      <c r="B100" s="11" t="inlineStr">
        <is>
          <t>PROFIT &amp; LOSS STATEMENT  —  Year 1 vs. Stabilized (Yr 2)</t>
        </is>
      </c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3" t="n"/>
    </row>
    <row r="101" ht="15" customHeight="1">
      <c r="B101" s="15" t="inlineStr">
        <is>
          <t>$ / year</t>
        </is>
      </c>
      <c r="F101" s="87" t="inlineStr">
        <is>
          <t>Year 1</t>
        </is>
      </c>
      <c r="G101" s="14" t="n"/>
      <c r="H101" s="87" t="inlineStr">
        <is>
          <t>Stabilized</t>
        </is>
      </c>
      <c r="I101" s="14" t="n"/>
      <c r="J101" s="87" t="inlineStr">
        <is>
          <t>Per SF (stab.)</t>
        </is>
      </c>
      <c r="K101" s="13" t="n"/>
      <c r="L101" s="13" t="n"/>
      <c r="M101" s="14" t="n"/>
    </row>
    <row r="102" ht="15" customHeight="1">
      <c r="B102" s="52" t="inlineStr">
        <is>
          <t>Gross rental income (MG)</t>
        </is>
      </c>
      <c r="F102" s="45">
        <f>D53</f>
        <v/>
      </c>
      <c r="G102" s="14" t="n"/>
      <c r="H102" s="44">
        <f>E53</f>
        <v/>
      </c>
      <c r="I102" s="14" t="n"/>
      <c r="J102" s="88">
        <f>H102/C17</f>
        <v/>
      </c>
      <c r="K102" s="13" t="n"/>
      <c r="L102" s="13" t="n"/>
      <c r="M102" s="14" t="n"/>
    </row>
    <row r="103" ht="15" customHeight="1">
      <c r="B103" s="12" t="inlineStr">
        <is>
          <t>Less: credit &amp; vacancy loss</t>
        </is>
      </c>
      <c r="F103" s="47">
        <f>D54</f>
        <v/>
      </c>
      <c r="G103" s="14" t="n"/>
      <c r="H103" s="47">
        <f>E54</f>
        <v/>
      </c>
      <c r="I103" s="14" t="n"/>
      <c r="J103" s="68">
        <f>H103/C17</f>
        <v/>
      </c>
      <c r="K103" s="13" t="n"/>
      <c r="L103" s="13" t="n"/>
      <c r="M103" s="14" t="n"/>
    </row>
    <row r="104" ht="15" customHeight="1">
      <c r="B104" s="43" t="inlineStr">
        <is>
          <t>Effective Gross Income</t>
        </is>
      </c>
      <c r="F104" s="45">
        <f>D55</f>
        <v/>
      </c>
      <c r="G104" s="14" t="n"/>
      <c r="H104" s="44">
        <f>E55</f>
        <v/>
      </c>
      <c r="I104" s="14" t="n"/>
      <c r="J104" s="88">
        <f>H104/C17</f>
        <v/>
      </c>
      <c r="K104" s="13" t="n"/>
      <c r="L104" s="13" t="n"/>
      <c r="M104" s="14" t="n"/>
    </row>
    <row r="105" ht="15" customHeight="1">
      <c r="B105" s="12" t="inlineStr">
        <is>
          <t>Real-estate taxes</t>
        </is>
      </c>
      <c r="F105" s="47">
        <f>-D57</f>
        <v/>
      </c>
      <c r="G105" s="14" t="n"/>
      <c r="H105" s="47">
        <f>-E57</f>
        <v/>
      </c>
      <c r="I105" s="14" t="n"/>
      <c r="J105" s="68">
        <f>H105/C17</f>
        <v/>
      </c>
      <c r="K105" s="13" t="n"/>
      <c r="L105" s="13" t="n"/>
      <c r="M105" s="14" t="n"/>
    </row>
    <row r="106" ht="15" customHeight="1">
      <c r="B106" s="12" t="inlineStr">
        <is>
          <t>Office opex (landlord)</t>
        </is>
      </c>
      <c r="F106" s="47">
        <f>-D58</f>
        <v/>
      </c>
      <c r="G106" s="14" t="n"/>
      <c r="H106" s="47">
        <f>-E58</f>
        <v/>
      </c>
      <c r="I106" s="14" t="n"/>
      <c r="J106" s="68">
        <f>H106/C17</f>
        <v/>
      </c>
      <c r="K106" s="13" t="n"/>
      <c r="L106" s="13" t="n"/>
      <c r="M106" s="14" t="n"/>
    </row>
    <row r="107" ht="15" customHeight="1">
      <c r="B107" s="12" t="inlineStr">
        <is>
          <t>Management fee</t>
        </is>
      </c>
      <c r="F107" s="47">
        <f>-D59</f>
        <v/>
      </c>
      <c r="G107" s="14" t="n"/>
      <c r="H107" s="47">
        <f>-E59</f>
        <v/>
      </c>
      <c r="I107" s="14" t="n"/>
      <c r="J107" s="68">
        <f>H107/C17</f>
        <v/>
      </c>
      <c r="K107" s="13" t="n"/>
      <c r="L107" s="13" t="n"/>
      <c r="M107" s="14" t="n"/>
    </row>
    <row r="108" ht="15" customHeight="1">
      <c r="B108" s="43" t="inlineStr">
        <is>
          <t>Net Operating Income</t>
        </is>
      </c>
      <c r="F108" s="45">
        <f>D61</f>
        <v/>
      </c>
      <c r="G108" s="14" t="n"/>
      <c r="H108" s="44">
        <f>E61</f>
        <v/>
      </c>
      <c r="I108" s="14" t="n"/>
      <c r="J108" s="88">
        <f>H108/C17</f>
        <v/>
      </c>
      <c r="K108" s="13" t="n"/>
      <c r="L108" s="13" t="n"/>
      <c r="M108" s="14" t="n"/>
    </row>
    <row r="109" ht="15" customHeight="1">
      <c r="B109" s="12" t="inlineStr">
        <is>
          <t>Replacement reserves</t>
        </is>
      </c>
      <c r="F109" s="47">
        <f>-D62</f>
        <v/>
      </c>
      <c r="G109" s="14" t="n"/>
      <c r="H109" s="47">
        <f>-E62</f>
        <v/>
      </c>
      <c r="I109" s="14" t="n"/>
      <c r="J109" s="68">
        <f>H109/C17</f>
        <v/>
      </c>
      <c r="K109" s="13" t="n"/>
      <c r="L109" s="13" t="n"/>
      <c r="M109" s="14" t="n"/>
    </row>
    <row r="110" ht="15" customHeight="1">
      <c r="B110" s="43" t="inlineStr">
        <is>
          <t>Cash Flow Before Debt</t>
        </is>
      </c>
      <c r="F110" s="45">
        <f>D63</f>
        <v/>
      </c>
      <c r="G110" s="14" t="n"/>
      <c r="H110" s="44">
        <f>E63</f>
        <v/>
      </c>
      <c r="I110" s="14" t="n"/>
      <c r="J110" s="88">
        <f>H110/C17</f>
        <v/>
      </c>
      <c r="K110" s="13" t="n"/>
      <c r="L110" s="13" t="n"/>
      <c r="M110" s="14" t="n"/>
    </row>
    <row r="111" ht="15" customHeight="1">
      <c r="B111" s="12" t="inlineStr">
        <is>
          <t>Debt service</t>
        </is>
      </c>
      <c r="F111" s="47">
        <f>-C43</f>
        <v/>
      </c>
      <c r="G111" s="14" t="n"/>
      <c r="H111" s="47">
        <f>-C43</f>
        <v/>
      </c>
      <c r="I111" s="14" t="n"/>
      <c r="J111" s="68">
        <f>H111/C17</f>
        <v/>
      </c>
      <c r="K111" s="13" t="n"/>
      <c r="L111" s="13" t="n"/>
      <c r="M111" s="14" t="n"/>
    </row>
    <row r="112" ht="15" customHeight="1">
      <c r="B112" s="43" t="inlineStr">
        <is>
          <t>Cash Flow After Debt (levered)</t>
        </is>
      </c>
      <c r="F112" s="44">
        <f>F110-C43</f>
        <v/>
      </c>
      <c r="G112" s="14" t="n"/>
      <c r="H112" s="44">
        <f>H110-C43</f>
        <v/>
      </c>
      <c r="I112" s="14" t="n"/>
      <c r="J112" s="88">
        <f>H112/C17</f>
        <v/>
      </c>
      <c r="K112" s="13" t="n"/>
      <c r="L112" s="13" t="n"/>
      <c r="M112" s="14" t="n"/>
    </row>
  </sheetData>
  <mergeCells count="100">
    <mergeCell ref="B91:C91"/>
    <mergeCell ref="B2:M2"/>
    <mergeCell ref="D37:M37"/>
    <mergeCell ref="D12:M12"/>
    <mergeCell ref="J96:M96"/>
    <mergeCell ref="D9:M9"/>
    <mergeCell ref="F103:G103"/>
    <mergeCell ref="J105:M105"/>
    <mergeCell ref="F108:G108"/>
    <mergeCell ref="D30:M30"/>
    <mergeCell ref="B93:C93"/>
    <mergeCell ref="J106:M106"/>
    <mergeCell ref="D14:M14"/>
    <mergeCell ref="D29:M29"/>
    <mergeCell ref="D23:M23"/>
    <mergeCell ref="H108:I108"/>
    <mergeCell ref="F105:G105"/>
    <mergeCell ref="D27:M27"/>
    <mergeCell ref="H105:I105"/>
    <mergeCell ref="D41:M41"/>
    <mergeCell ref="B72:M72"/>
    <mergeCell ref="J108:M108"/>
    <mergeCell ref="D17:M17"/>
    <mergeCell ref="J95:M95"/>
    <mergeCell ref="F107:G107"/>
    <mergeCell ref="H107:I107"/>
    <mergeCell ref="B56:M56"/>
    <mergeCell ref="B90:C90"/>
    <mergeCell ref="J109:M109"/>
    <mergeCell ref="D25:M25"/>
    <mergeCell ref="J90:M90"/>
    <mergeCell ref="H102:I102"/>
    <mergeCell ref="D5:M5"/>
    <mergeCell ref="J110:M110"/>
    <mergeCell ref="J93:M93"/>
    <mergeCell ref="F109:G109"/>
    <mergeCell ref="D31:M31"/>
    <mergeCell ref="H109:I109"/>
    <mergeCell ref="J102:M102"/>
    <mergeCell ref="D21:M21"/>
    <mergeCell ref="F111:G111"/>
    <mergeCell ref="B4:M4"/>
    <mergeCell ref="H111:I111"/>
    <mergeCell ref="D32:M32"/>
    <mergeCell ref="J101:M101"/>
    <mergeCell ref="H104:I104"/>
    <mergeCell ref="B95:C95"/>
    <mergeCell ref="B89:C89"/>
    <mergeCell ref="D7:M7"/>
    <mergeCell ref="J94:M94"/>
    <mergeCell ref="H106:I106"/>
    <mergeCell ref="B97:C97"/>
    <mergeCell ref="B48:M48"/>
    <mergeCell ref="D18:M18"/>
    <mergeCell ref="D8:M8"/>
    <mergeCell ref="B96:C96"/>
    <mergeCell ref="B87:M87"/>
    <mergeCell ref="J97:M97"/>
    <mergeCell ref="D35:M35"/>
    <mergeCell ref="B98:C98"/>
    <mergeCell ref="J111:M111"/>
    <mergeCell ref="D20:M20"/>
    <mergeCell ref="D34:M34"/>
    <mergeCell ref="F101:G101"/>
    <mergeCell ref="B65:M65"/>
    <mergeCell ref="F110:G110"/>
    <mergeCell ref="H110:I110"/>
    <mergeCell ref="D22:M22"/>
    <mergeCell ref="D36:M36"/>
    <mergeCell ref="D6:M6"/>
    <mergeCell ref="F102:G102"/>
    <mergeCell ref="D13:M13"/>
    <mergeCell ref="B92:C92"/>
    <mergeCell ref="B100:M100"/>
    <mergeCell ref="B94:C94"/>
    <mergeCell ref="J103:M103"/>
    <mergeCell ref="J91:M91"/>
    <mergeCell ref="H103:I103"/>
    <mergeCell ref="F112:G112"/>
    <mergeCell ref="H112:I112"/>
    <mergeCell ref="B1:M1"/>
    <mergeCell ref="D24:M24"/>
    <mergeCell ref="D38:M38"/>
    <mergeCell ref="D33:M33"/>
    <mergeCell ref="J92:M92"/>
    <mergeCell ref="D88:M88"/>
    <mergeCell ref="F104:G104"/>
    <mergeCell ref="D26:M26"/>
    <mergeCell ref="B40:M40"/>
    <mergeCell ref="D10:M10"/>
    <mergeCell ref="J112:M112"/>
    <mergeCell ref="D19:M19"/>
    <mergeCell ref="F106:G106"/>
    <mergeCell ref="D11:M11"/>
    <mergeCell ref="J107:M107"/>
    <mergeCell ref="J89:M89"/>
    <mergeCell ref="B16:M16"/>
    <mergeCell ref="H101:I101"/>
    <mergeCell ref="J104:M104"/>
    <mergeCell ref="D28:M28"/>
  </mergeCells>
  <printOptions horizontalCentered="1"/>
  <pageMargins left="0.3" right="0.3" top="0.4" bottom="0.4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tabColor rgb="001F2D4E"/>
    <outlinePr summaryBelow="1" summaryRight="1"/>
    <pageSetUpPr fitToPage="1"/>
  </sheetPr>
  <dimension ref="A1:M79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.5" customWidth="1" min="1" max="1"/>
    <col width="36" customWidth="1" min="2" max="2"/>
    <col width="14" customWidth="1" min="3" max="3"/>
    <col width="13" customWidth="1" min="4" max="4"/>
    <col width="13" customWidth="1" min="5" max="5"/>
    <col width="13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 ht="26" customHeight="1">
      <c r="B1" s="1" t="inlineStr">
        <is>
          <t>1040 BAYVIEW  ·  COVERED-LAND / REDEVELOPMENT SITE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3" t="n"/>
    </row>
    <row r="2" ht="18" customHeight="1">
      <c r="B2" s="4" t="inlineStr">
        <is>
          <t>1040 Bayview Dr   |   Folio 49-42-36-12-0040   |   Sunrise &amp; Bayview Partners LLC (Procacci) · 2.39 ac · existing 84,495 SF office (1967) · entitled 259 units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3" t="n"/>
    </row>
    <row r="3"/>
    <row r="4">
      <c r="B4" s="11" t="inlineStr">
        <is>
          <t>PROPERTY FACTS  —  ⚠️ REPORTED (LoopNet / Florida YIMBY / BBX / Procacci; BCPA blocked in build env)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3" t="n"/>
    </row>
    <row r="5" ht="15" customHeight="1">
      <c r="B5" s="12" t="inlineStr">
        <is>
          <t>Record owner</t>
        </is>
      </c>
      <c r="D5" s="12" t="inlineStr">
        <is>
          <t>Sunrise and Bayview Partners, LLC (Procacci Development affiliate; BBX exited 2022)</t>
        </is>
      </c>
      <c r="E5" s="13" t="n"/>
      <c r="F5" s="13" t="n"/>
      <c r="G5" s="13" t="n"/>
      <c r="H5" s="13" t="n"/>
      <c r="I5" s="13" t="n"/>
      <c r="J5" s="13" t="n"/>
      <c r="K5" s="13" t="n"/>
      <c r="L5" s="13" t="n"/>
      <c r="M5" s="14" t="n"/>
    </row>
    <row r="6" ht="15" customHeight="1">
      <c r="B6" s="12" t="inlineStr">
        <is>
          <t>Land</t>
        </is>
      </c>
      <c r="D6" s="12" t="inlineStr">
        <is>
          <t>2.39 ac ≈ 104,108 SF — same plat block (49-42-36-12) as the assemblage</t>
        </is>
      </c>
      <c r="E6" s="13" t="n"/>
      <c r="F6" s="13" t="n"/>
      <c r="G6" s="13" t="n"/>
      <c r="H6" s="13" t="n"/>
      <c r="I6" s="13" t="n"/>
      <c r="J6" s="13" t="n"/>
      <c r="K6" s="13" t="n"/>
      <c r="L6" s="13" t="n"/>
      <c r="M6" s="14" t="n"/>
    </row>
    <row r="7" ht="15" customHeight="1">
      <c r="B7" s="12" t="inlineStr">
        <is>
          <t>Existing improvement</t>
        </is>
      </c>
      <c r="D7" s="12" t="inlineStr">
        <is>
          <t>84,495 SF office building (built 1967) — a redevelopment site, not raw land</t>
        </is>
      </c>
      <c r="E7" s="13" t="n"/>
      <c r="F7" s="13" t="n"/>
      <c r="G7" s="13" t="n"/>
      <c r="H7" s="13" t="n"/>
      <c r="I7" s="13" t="n"/>
      <c r="J7" s="13" t="n"/>
      <c r="K7" s="13" t="n"/>
      <c r="L7" s="13" t="n"/>
      <c r="M7" s="14" t="n"/>
    </row>
    <row r="8" ht="15" customHeight="1">
      <c r="B8" s="12" t="inlineStr">
        <is>
          <t>Zoning</t>
        </is>
      </c>
      <c r="D8" s="12" t="inlineStr">
        <is>
          <t>B-1 (Boulevard Business) / CB core commercial; active rezoning UDP-Z25002</t>
        </is>
      </c>
      <c r="E8" s="13" t="n"/>
      <c r="F8" s="13" t="n"/>
      <c r="G8" s="13" t="n"/>
      <c r="H8" s="13" t="n"/>
      <c r="I8" s="13" t="n"/>
      <c r="J8" s="13" t="n"/>
      <c r="K8" s="13" t="n"/>
      <c r="L8" s="13" t="n"/>
      <c r="M8" s="14" t="n"/>
    </row>
    <row r="9" ht="15" customHeight="1">
      <c r="B9" s="12" t="inlineStr">
        <is>
          <t>Entitlement</t>
        </is>
      </c>
      <c r="D9" s="12" t="inlineStr">
        <is>
          <t>“The Residences at Bayview” — 259 units + 8,081 SF commercial, 8-story (81 ft)</t>
        </is>
      </c>
      <c r="E9" s="13" t="n"/>
      <c r="F9" s="13" t="n"/>
      <c r="G9" s="13" t="n"/>
      <c r="H9" s="13" t="n"/>
      <c r="I9" s="13" t="n"/>
      <c r="J9" s="13" t="n"/>
      <c r="K9" s="13" t="n"/>
      <c r="L9" s="13" t="n"/>
      <c r="M9" s="14" t="n"/>
    </row>
    <row r="10" ht="15" customHeight="1">
      <c r="B10" s="12" t="inlineStr">
        <is>
          <t>BCPA market value</t>
        </is>
      </c>
      <c r="D10" s="12" t="inlineStr">
        <is>
          <t>≈ $6,685,580 (reported)</t>
        </is>
      </c>
      <c r="E10" s="13" t="n"/>
      <c r="F10" s="13" t="n"/>
      <c r="G10" s="13" t="n"/>
      <c r="H10" s="13" t="n"/>
      <c r="I10" s="13" t="n"/>
      <c r="J10" s="13" t="n"/>
      <c r="K10" s="13" t="n"/>
      <c r="L10" s="13" t="n"/>
      <c r="M10" s="14" t="n"/>
    </row>
    <row r="11" ht="15" customHeight="1">
      <c r="B11" s="12" t="inlineStr">
        <is>
          <t>Status</t>
        </is>
      </c>
      <c r="D11" s="12" t="inlineStr">
        <is>
          <t>NOT listed — owner is entitling, not selling; a future assemblage/JV target</t>
        </is>
      </c>
      <c r="E11" s="13" t="n"/>
      <c r="F11" s="13" t="n"/>
      <c r="G11" s="13" t="n"/>
      <c r="H11" s="13" t="n"/>
      <c r="I11" s="13" t="n"/>
      <c r="J11" s="13" t="n"/>
      <c r="K11" s="13" t="n"/>
      <c r="L11" s="13" t="n"/>
      <c r="M11" s="14" t="n"/>
    </row>
    <row r="12" ht="15" customHeight="1">
      <c r="B12" s="12" t="inlineStr">
        <is>
          <t>Covered-land thesis</t>
        </is>
      </c>
      <c r="D12" s="12" t="inlineStr">
        <is>
          <t>Interim office income covers carry; value is the entitled land + Live Local density optionality</t>
        </is>
      </c>
      <c r="E12" s="13" t="n"/>
      <c r="F12" s="13" t="n"/>
      <c r="G12" s="13" t="n"/>
      <c r="H12" s="13" t="n"/>
      <c r="I12" s="13" t="n"/>
      <c r="J12" s="13" t="n"/>
      <c r="K12" s="13" t="n"/>
      <c r="L12" s="13" t="n"/>
      <c r="M12" s="14" t="n"/>
    </row>
    <row r="13"/>
    <row r="14">
      <c r="B14" s="11" t="inlineStr">
        <is>
          <t>ASSUMPTIONS  —  🔵 blue = hardcoded inputs</t>
        </is>
      </c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3" t="n"/>
    </row>
    <row r="15" ht="15" customHeight="1">
      <c r="B15" s="12" t="inlineStr">
        <is>
          <t>Land (SF)</t>
        </is>
      </c>
      <c r="C15" s="77" t="n">
        <v>104108</v>
      </c>
      <c r="D15" s="22" t="inlineStr">
        <is>
          <t>⚠️ 2.39 ac</t>
        </is>
      </c>
      <c r="E15" s="13" t="n"/>
      <c r="F15" s="13" t="n"/>
      <c r="G15" s="13" t="n"/>
      <c r="H15" s="13" t="n"/>
      <c r="I15" s="13" t="n"/>
      <c r="J15" s="13" t="n"/>
      <c r="K15" s="13" t="n"/>
      <c r="L15" s="13" t="n"/>
      <c r="M15" s="14" t="n"/>
    </row>
    <row r="16" ht="15" customHeight="1">
      <c r="B16" s="12" t="inlineStr">
        <is>
          <t>Existing office SF</t>
        </is>
      </c>
      <c r="C16" s="77" t="n">
        <v>84495</v>
      </c>
      <c r="D16" s="22" t="inlineStr">
        <is>
          <t>⚠️ 1967 bldg</t>
        </is>
      </c>
      <c r="E16" s="13" t="n"/>
      <c r="F16" s="13" t="n"/>
      <c r="G16" s="13" t="n"/>
      <c r="H16" s="13" t="n"/>
      <c r="I16" s="13" t="n"/>
      <c r="J16" s="13" t="n"/>
      <c r="K16" s="13" t="n"/>
      <c r="L16" s="13" t="n"/>
      <c r="M16" s="14" t="n"/>
    </row>
    <row r="17" ht="15" customHeight="1">
      <c r="B17" s="12" t="inlineStr">
        <is>
          <t>Entitled units</t>
        </is>
      </c>
      <c r="C17" s="77" t="n">
        <v>259</v>
      </c>
      <c r="D17" s="22" t="inlineStr">
        <is>
          <t>⚠️ approved 259</t>
        </is>
      </c>
      <c r="E17" s="13" t="n"/>
      <c r="F17" s="13" t="n"/>
      <c r="G17" s="13" t="n"/>
      <c r="H17" s="13" t="n"/>
      <c r="I17" s="13" t="n"/>
      <c r="J17" s="13" t="n"/>
      <c r="K17" s="13" t="n"/>
      <c r="L17" s="13" t="n"/>
      <c r="M17" s="14" t="n"/>
    </row>
    <row r="18" ht="15" customHeight="1">
      <c r="B18" s="12" t="inlineStr">
        <is>
          <t>BCPA market value</t>
        </is>
      </c>
      <c r="C18" s="85" t="n">
        <v>6685580</v>
      </c>
      <c r="D18" s="22" t="inlineStr">
        <is>
          <t>⚠️ reported</t>
        </is>
      </c>
      <c r="E18" s="13" t="n"/>
      <c r="F18" s="13" t="n"/>
      <c r="G18" s="13" t="n"/>
      <c r="H18" s="13" t="n"/>
      <c r="I18" s="13" t="n"/>
      <c r="J18" s="13" t="n"/>
      <c r="K18" s="13" t="n"/>
      <c r="L18" s="13" t="n"/>
      <c r="M18" s="14" t="n"/>
    </row>
    <row r="19" ht="15" customHeight="1">
      <c r="B19" s="12" t="inlineStr">
        <is>
          <t>Interim office occupancy</t>
        </is>
      </c>
      <c r="C19" s="18">
        <f>'Assumptions'!C112</f>
        <v/>
      </c>
      <c r="D19" s="22" t="inlineStr">
        <is>
          <t>🟢 Assumptions</t>
        </is>
      </c>
      <c r="E19" s="13" t="n"/>
      <c r="F19" s="13" t="n"/>
      <c r="G19" s="13" t="n"/>
      <c r="H19" s="13" t="n"/>
      <c r="I19" s="13" t="n"/>
      <c r="J19" s="13" t="n"/>
      <c r="K19" s="13" t="n"/>
      <c r="L19" s="13" t="n"/>
      <c r="M19" s="14" t="n"/>
    </row>
    <row r="20" ht="15" customHeight="1">
      <c r="B20" s="12" t="inlineStr">
        <is>
          <t>Interim office rent ($/SF MG)</t>
        </is>
      </c>
      <c r="C20" s="26">
        <f>'Assumptions'!C113</f>
        <v/>
      </c>
      <c r="D20" s="22" t="inlineStr">
        <is>
          <t>🟢 Assumptions</t>
        </is>
      </c>
      <c r="E20" s="13" t="n"/>
      <c r="F20" s="13" t="n"/>
      <c r="G20" s="13" t="n"/>
      <c r="H20" s="13" t="n"/>
      <c r="I20" s="13" t="n"/>
      <c r="J20" s="13" t="n"/>
      <c r="K20" s="13" t="n"/>
      <c r="L20" s="13" t="n"/>
      <c r="M20" s="14" t="n"/>
    </row>
    <row r="21" ht="15" customHeight="1">
      <c r="B21" s="12" t="inlineStr">
        <is>
          <t>Interim office opex ($/SF)</t>
        </is>
      </c>
      <c r="C21" s="26">
        <f>'Assumptions'!C114</f>
        <v/>
      </c>
      <c r="D21" s="22" t="inlineStr">
        <is>
          <t>🟢 Assumptions</t>
        </is>
      </c>
      <c r="E21" s="13" t="n"/>
      <c r="F21" s="13" t="n"/>
      <c r="G21" s="13" t="n"/>
      <c r="H21" s="13" t="n"/>
      <c r="I21" s="13" t="n"/>
      <c r="J21" s="13" t="n"/>
      <c r="K21" s="13" t="n"/>
      <c r="L21" s="13" t="n"/>
      <c r="M21" s="14" t="n"/>
    </row>
    <row r="22" ht="15" customHeight="1">
      <c r="B22" s="12" t="inlineStr">
        <is>
          <t>Management fee (% EGR)</t>
        </is>
      </c>
      <c r="C22" s="18">
        <f>'Assumptions'!C115</f>
        <v/>
      </c>
      <c r="D22" s="22" t="inlineStr">
        <is>
          <t>🟢 Assumptions</t>
        </is>
      </c>
      <c r="E22" s="13" t="n"/>
      <c r="F22" s="13" t="n"/>
      <c r="G22" s="13" t="n"/>
      <c r="H22" s="13" t="n"/>
      <c r="I22" s="13" t="n"/>
      <c r="J22" s="13" t="n"/>
      <c r="K22" s="13" t="n"/>
      <c r="L22" s="13" t="n"/>
      <c r="M22" s="14" t="n"/>
    </row>
    <row r="23" ht="15" customHeight="1">
      <c r="B23" s="12" t="inlineStr">
        <is>
          <t>Effective millage</t>
        </is>
      </c>
      <c r="C23" s="83" t="n">
        <v>0.0191</v>
      </c>
      <c r="D23" s="22" t="inlineStr">
        <is>
          <t>✅ area</t>
        </is>
      </c>
      <c r="E23" s="13" t="n"/>
      <c r="F23" s="13" t="n"/>
      <c r="G23" s="13" t="n"/>
      <c r="H23" s="13" t="n"/>
      <c r="I23" s="13" t="n"/>
      <c r="J23" s="13" t="n"/>
      <c r="K23" s="13" t="n"/>
      <c r="L23" s="13" t="n"/>
      <c r="M23" s="14" t="n"/>
    </row>
    <row r="24" ht="15" customHeight="1">
      <c r="B24" s="12" t="inlineStr">
        <is>
          <t>Acquisition basis (entitled land)</t>
        </is>
      </c>
      <c r="C24" s="23">
        <f>'Assumptions'!C111</f>
        <v/>
      </c>
      <c r="D24" s="22" t="inlineStr">
        <is>
          <t>🟢 Assumptions</t>
        </is>
      </c>
      <c r="E24" s="13" t="n"/>
      <c r="F24" s="13" t="n"/>
      <c r="G24" s="13" t="n"/>
      <c r="H24" s="13" t="n"/>
      <c r="I24" s="13" t="n"/>
      <c r="J24" s="13" t="n"/>
      <c r="K24" s="13" t="n"/>
      <c r="L24" s="13" t="n"/>
      <c r="M24" s="14" t="n"/>
    </row>
    <row r="25" ht="15" customHeight="1">
      <c r="B25" s="12" t="inlineStr">
        <is>
          <t>Closing &amp; acq costs (% price)</t>
        </is>
      </c>
      <c r="C25" s="84" t="n">
        <v>0.02</v>
      </c>
      <c r="D25" s="22" t="inlineStr">
        <is>
          <t>🔶</t>
        </is>
      </c>
      <c r="E25" s="13" t="n"/>
      <c r="F25" s="13" t="n"/>
      <c r="G25" s="13" t="n"/>
      <c r="H25" s="13" t="n"/>
      <c r="I25" s="13" t="n"/>
      <c r="J25" s="13" t="n"/>
      <c r="K25" s="13" t="n"/>
      <c r="L25" s="13" t="n"/>
      <c r="M25" s="14" t="n"/>
    </row>
    <row r="26" ht="15" customHeight="1">
      <c r="B26" s="12" t="inlineStr">
        <is>
          <t>Land value growth</t>
        </is>
      </c>
      <c r="C26" s="84" t="n">
        <v>0.04</v>
      </c>
      <c r="D26" s="22" t="inlineStr">
        <is>
          <t>🔶</t>
        </is>
      </c>
      <c r="E26" s="13" t="n"/>
      <c r="F26" s="13" t="n"/>
      <c r="G26" s="13" t="n"/>
      <c r="H26" s="13" t="n"/>
      <c r="I26" s="13" t="n"/>
      <c r="J26" s="13" t="n"/>
      <c r="K26" s="13" t="n"/>
      <c r="L26" s="13" t="n"/>
      <c r="M26" s="14" t="n"/>
    </row>
    <row r="27" ht="15" customHeight="1">
      <c r="B27" s="12" t="inlineStr">
        <is>
          <t>Hold period (yrs)</t>
        </is>
      </c>
      <c r="C27" s="86" t="n">
        <v>5</v>
      </c>
      <c r="D27" s="22" t="inlineStr">
        <is>
          <t>🔶 to redevelopment</t>
        </is>
      </c>
      <c r="E27" s="13" t="n"/>
      <c r="F27" s="13" t="n"/>
      <c r="G27" s="13" t="n"/>
      <c r="H27" s="13" t="n"/>
      <c r="I27" s="13" t="n"/>
      <c r="J27" s="13" t="n"/>
      <c r="K27" s="13" t="n"/>
      <c r="L27" s="13" t="n"/>
      <c r="M27" s="14" t="n"/>
    </row>
    <row r="28" ht="15" customHeight="1">
      <c r="B28" s="12" t="inlineStr">
        <is>
          <t>Land loan LTV (IO)</t>
        </is>
      </c>
      <c r="C28" s="18">
        <f>'Assumptions'!C116</f>
        <v/>
      </c>
      <c r="D28" s="22" t="inlineStr">
        <is>
          <t>🟢 Assumptions</t>
        </is>
      </c>
      <c r="E28" s="13" t="n"/>
      <c r="F28" s="13" t="n"/>
      <c r="G28" s="13" t="n"/>
      <c r="H28" s="13" t="n"/>
      <c r="I28" s="13" t="n"/>
      <c r="J28" s="13" t="n"/>
      <c r="K28" s="13" t="n"/>
      <c r="L28" s="13" t="n"/>
      <c r="M28" s="14" t="n"/>
    </row>
    <row r="29" ht="15" customHeight="1">
      <c r="B29" s="12" t="inlineStr">
        <is>
          <t>Land loan rate (IO)</t>
        </is>
      </c>
      <c r="C29" s="24">
        <f>'Assumptions'!C117</f>
        <v/>
      </c>
      <c r="D29" s="22" t="inlineStr">
        <is>
          <t>🟢 Assumptions</t>
        </is>
      </c>
      <c r="E29" s="13" t="n"/>
      <c r="F29" s="13" t="n"/>
      <c r="G29" s="13" t="n"/>
      <c r="H29" s="13" t="n"/>
      <c r="I29" s="13" t="n"/>
      <c r="J29" s="13" t="n"/>
      <c r="K29" s="13" t="n"/>
      <c r="L29" s="13" t="n"/>
      <c r="M29" s="14" t="n"/>
    </row>
    <row r="30" ht="15" customHeight="1">
      <c r="B30" s="12" t="inlineStr">
        <is>
          <t>Cost of sale at exit</t>
        </is>
      </c>
      <c r="C30" s="84" t="n">
        <v>0.02</v>
      </c>
      <c r="D30" s="22" t="inlineStr">
        <is>
          <t>🔶</t>
        </is>
      </c>
      <c r="E30" s="13" t="n"/>
      <c r="F30" s="13" t="n"/>
      <c r="G30" s="13" t="n"/>
      <c r="H30" s="13" t="n"/>
      <c r="I30" s="13" t="n"/>
      <c r="J30" s="13" t="n"/>
      <c r="K30" s="13" t="n"/>
      <c r="L30" s="13" t="n"/>
      <c r="M30" s="14" t="n"/>
    </row>
    <row r="31" ht="15" customHeight="1">
      <c r="B31" s="12" t="inlineStr">
        <is>
          <t>Discount rate (NPV)</t>
        </is>
      </c>
      <c r="C31" s="84" t="n">
        <v>0.1</v>
      </c>
      <c r="D31" s="22" t="inlineStr">
        <is>
          <t>🔶</t>
        </is>
      </c>
      <c r="E31" s="13" t="n"/>
      <c r="F31" s="13" t="n"/>
      <c r="G31" s="13" t="n"/>
      <c r="H31" s="13" t="n"/>
      <c r="I31" s="13" t="n"/>
      <c r="J31" s="13" t="n"/>
      <c r="K31" s="13" t="n"/>
      <c r="L31" s="13" t="n"/>
      <c r="M31" s="14" t="n"/>
    </row>
    <row r="32" ht="15" customHeight="1">
      <c r="B32" s="12" t="inlineStr">
        <is>
          <t>Expense growth</t>
        </is>
      </c>
      <c r="C32" s="84" t="n">
        <v>0.03</v>
      </c>
      <c r="D32" s="22" t="inlineStr">
        <is>
          <t>🔶</t>
        </is>
      </c>
      <c r="E32" s="13" t="n"/>
      <c r="F32" s="13" t="n"/>
      <c r="G32" s="13" t="n"/>
      <c r="H32" s="13" t="n"/>
      <c r="I32" s="13" t="n"/>
      <c r="J32" s="13" t="n"/>
      <c r="K32" s="13" t="n"/>
      <c r="L32" s="13" t="n"/>
      <c r="M32" s="14" t="n"/>
    </row>
    <row r="33"/>
    <row r="34">
      <c r="B34" s="11" t="inlineStr">
        <is>
          <t>LAND VALUATION  —  four approaches (Low / Base / High)</t>
        </is>
      </c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3" t="n"/>
    </row>
    <row r="35" ht="15" customHeight="1">
      <c r="B35" s="15" t="inlineStr">
        <is>
          <t>Approach</t>
        </is>
      </c>
      <c r="D35" s="87" t="inlineStr">
        <is>
          <t>Low</t>
        </is>
      </c>
      <c r="E35" s="87" t="inlineStr">
        <is>
          <t>Base</t>
        </is>
      </c>
      <c r="F35" s="87" t="inlineStr">
        <is>
          <t>High</t>
        </is>
      </c>
      <c r="G35" s="15" t="inlineStr">
        <is>
          <t>Basis / note</t>
        </is>
      </c>
      <c r="H35" s="13" t="n"/>
      <c r="I35" s="13" t="n"/>
      <c r="J35" s="13" t="n"/>
      <c r="K35" s="13" t="n"/>
      <c r="L35" s="13" t="n"/>
      <c r="M35" s="14" t="n"/>
    </row>
    <row r="36" ht="15" customHeight="1">
      <c r="B36" s="12" t="inlineStr">
        <is>
          <t>① Per SF of land</t>
        </is>
      </c>
      <c r="D36" s="47">
        <f>C15*'Assumptions'!C33</f>
        <v/>
      </c>
      <c r="E36" s="51">
        <f>C15*'Assumptions'!C34</f>
        <v/>
      </c>
      <c r="F36" s="47">
        <f>C15*'Assumptions'!C35</f>
        <v/>
      </c>
      <c r="G36" s="22" t="inlineStr">
        <is>
          <t>land SF × $/SF (low/base/high on Assumptions tab)</t>
        </is>
      </c>
      <c r="H36" s="13" t="n"/>
      <c r="I36" s="13" t="n"/>
      <c r="J36" s="13" t="n"/>
      <c r="K36" s="13" t="n"/>
      <c r="L36" s="13" t="n"/>
      <c r="M36" s="14" t="n"/>
    </row>
    <row r="37" ht="15" customHeight="1">
      <c r="B37" s="12" t="inlineStr">
        <is>
          <t>② Per entitled unit</t>
        </is>
      </c>
      <c r="D37" s="47">
        <f>C17*'Assumptions'!C36</f>
        <v/>
      </c>
      <c r="E37" s="51">
        <f>C17*'Assumptions'!C37</f>
        <v/>
      </c>
      <c r="F37" s="47">
        <f>C17*'Assumptions'!C38</f>
        <v/>
      </c>
      <c r="G37" s="22" t="inlineStr">
        <is>
          <t>units × $/unit (low/base/high on Assumptions tab)</t>
        </is>
      </c>
      <c r="H37" s="13" t="n"/>
      <c r="I37" s="13" t="n"/>
      <c r="J37" s="13" t="n"/>
      <c r="K37" s="13" t="n"/>
      <c r="L37" s="13" t="n"/>
      <c r="M37" s="14" t="n"/>
    </row>
    <row r="38" ht="15" customHeight="1">
      <c r="B38" s="12" t="inlineStr">
        <is>
          <t>③ BCPA market value (floor)</t>
        </is>
      </c>
      <c r="D38" s="47">
        <f>C18</f>
        <v/>
      </c>
      <c r="E38" s="51">
        <f>C18</f>
        <v/>
      </c>
      <c r="F38" s="47">
        <f>C18</f>
        <v/>
      </c>
      <c r="G38" s="22" t="inlineStr">
        <is>
          <t>assessed just value — conservative floor</t>
        </is>
      </c>
      <c r="H38" s="13" t="n"/>
      <c r="I38" s="13" t="n"/>
      <c r="J38" s="13" t="n"/>
      <c r="K38" s="13" t="n"/>
      <c r="L38" s="13" t="n"/>
      <c r="M38" s="14" t="n"/>
    </row>
    <row r="39" ht="15" customHeight="1">
      <c r="B39" s="12" t="inlineStr">
        <is>
          <t>④ Interim income value</t>
        </is>
      </c>
      <c r="D39" s="47">
        <f>C48</f>
        <v/>
      </c>
      <c r="E39">
        <f>C48</f>
        <v/>
      </c>
      <c r="F39">
        <f>C48</f>
        <v/>
      </c>
      <c r="G39" s="22" t="inlineStr">
        <is>
          <t>existing office NOI ÷ 8% cap (income the land throws off)</t>
        </is>
      </c>
      <c r="H39" s="13" t="n"/>
      <c r="I39" s="13" t="n"/>
      <c r="J39" s="13" t="n"/>
      <c r="K39" s="13" t="n"/>
      <c r="L39" s="13" t="n"/>
      <c r="M39" s="14" t="n"/>
    </row>
    <row r="40" ht="15" customHeight="1">
      <c r="B40" s="43" t="inlineStr">
        <is>
          <t>Concluded acquisition basis</t>
        </is>
      </c>
      <c r="E40" s="76">
        <f>C24</f>
        <v/>
      </c>
      <c r="G40" s="22" t="inlineStr">
        <is>
          <t>🔶 entitled-land basis used in the hold model &amp; assemblage</t>
        </is>
      </c>
      <c r="H40" s="13" t="n"/>
      <c r="I40" s="13" t="n"/>
      <c r="J40" s="13" t="n"/>
      <c r="K40" s="13" t="n"/>
      <c r="L40" s="13" t="n"/>
      <c r="M40" s="14" t="n"/>
    </row>
    <row r="41"/>
    <row r="42">
      <c r="B42" s="11" t="inlineStr">
        <is>
          <t>INTERIM INCOME  —  existing office (the “cover” on the land)</t>
        </is>
      </c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3" t="n"/>
    </row>
    <row r="43" ht="15" customHeight="1">
      <c r="B43" s="12" t="inlineStr">
        <is>
          <t>Interim gross rent</t>
        </is>
      </c>
      <c r="C43" s="51">
        <f>C16*C19*C20</f>
        <v/>
      </c>
    </row>
    <row r="44" ht="15" customHeight="1">
      <c r="B44" s="12" t="inlineStr">
        <is>
          <t>Interim office opex</t>
        </is>
      </c>
      <c r="C44" s="47">
        <f>-C16*C21</f>
        <v/>
      </c>
    </row>
    <row r="45" ht="15" customHeight="1">
      <c r="B45" s="12" t="inlineStr">
        <is>
          <t>Interim taxes (on basis)</t>
        </is>
      </c>
      <c r="C45" s="47">
        <f>-C24*C23</f>
        <v/>
      </c>
    </row>
    <row r="46" ht="15" customHeight="1">
      <c r="B46" s="12" t="inlineStr">
        <is>
          <t>Interim management fee</t>
        </is>
      </c>
      <c r="C46" s="47">
        <f>-C43*C22</f>
        <v/>
      </c>
    </row>
    <row r="47" ht="15" customHeight="1">
      <c r="B47" s="12" t="inlineStr">
        <is>
          <t>Interim NOI (covers carry)</t>
        </is>
      </c>
      <c r="C47" s="51">
        <f>C43+C44+C45+C46</f>
        <v/>
      </c>
    </row>
    <row r="48" ht="15" customHeight="1">
      <c r="B48" s="12" t="inlineStr">
        <is>
          <t>Interim income value @ 8% cap</t>
        </is>
      </c>
      <c r="C48" s="51">
        <f>C47/0.08</f>
        <v/>
      </c>
    </row>
    <row r="49"/>
    <row r="50" ht="15" customHeight="1">
      <c r="B50" s="12" t="inlineStr">
        <is>
          <t>Land loan (IO)</t>
        </is>
      </c>
      <c r="C50" s="51">
        <f>C24*C28</f>
        <v/>
      </c>
      <c r="D50" s="22" t="inlineStr">
        <is>
          <t>price × LTV</t>
        </is>
      </c>
      <c r="E50" s="13" t="n"/>
      <c r="F50" s="13" t="n"/>
      <c r="G50" s="13" t="n"/>
      <c r="H50" s="13" t="n"/>
      <c r="I50" s="13" t="n"/>
      <c r="J50" s="13" t="n"/>
      <c r="K50" s="13" t="n"/>
      <c r="L50" s="13" t="n"/>
      <c r="M50" s="14" t="n"/>
    </row>
    <row r="51" ht="15" customHeight="1">
      <c r="B51" s="12" t="inlineStr">
        <is>
          <t>Annual interest (IO)</t>
        </is>
      </c>
      <c r="C51" s="51">
        <f>C50*C29</f>
        <v/>
      </c>
    </row>
    <row r="52" ht="15" customHeight="1">
      <c r="B52" s="12" t="inlineStr">
        <is>
          <t>Equity at acquisition</t>
        </is>
      </c>
      <c r="C52" s="51">
        <f>C24*(1+C25)-C50</f>
        <v/>
      </c>
    </row>
    <row r="53" ht="15" customHeight="1">
      <c r="B53" s="12" t="inlineStr">
        <is>
          <t>Interim net carry (NOI − interest)</t>
        </is>
      </c>
      <c r="C53" s="51">
        <f>C47-C51</f>
        <v/>
      </c>
      <c r="D53" s="22" t="inlineStr">
        <is>
          <t>covered-land carry</t>
        </is>
      </c>
      <c r="E53" s="13" t="n"/>
      <c r="F53" s="13" t="n"/>
      <c r="G53" s="13" t="n"/>
      <c r="H53" s="13" t="n"/>
      <c r="I53" s="13" t="n"/>
      <c r="J53" s="13" t="n"/>
      <c r="K53" s="13" t="n"/>
      <c r="L53" s="13" t="n"/>
      <c r="M53" s="14" t="n"/>
    </row>
    <row r="54"/>
    <row r="55">
      <c r="B55" s="11" t="inlineStr">
        <is>
          <t>COVERED-LAND HOLD  —  interim income + land appreciation (10-yr; unlevered &amp; levered)</t>
        </is>
      </c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3" t="n"/>
    </row>
    <row r="56" ht="15" customHeight="1">
      <c r="B56" s="15" t="inlineStr">
        <is>
          <t>Year</t>
        </is>
      </c>
      <c r="C56" s="16" t="inlineStr">
        <is>
          <t>0 / Acq</t>
        </is>
      </c>
      <c r="D56" s="41" t="n">
        <v>1</v>
      </c>
      <c r="E56" s="41" t="n">
        <v>2</v>
      </c>
      <c r="F56" s="41" t="n">
        <v>3</v>
      </c>
      <c r="G56" s="41" t="n">
        <v>4</v>
      </c>
      <c r="H56" s="41" t="n">
        <v>5</v>
      </c>
      <c r="I56" s="41" t="n">
        <v>6</v>
      </c>
      <c r="J56" s="41" t="n">
        <v>7</v>
      </c>
      <c r="K56" s="41" t="n">
        <v>8</v>
      </c>
      <c r="L56" s="41" t="n">
        <v>9</v>
      </c>
      <c r="M56" s="41" t="n">
        <v>10</v>
      </c>
    </row>
    <row r="57" ht="15" customHeight="1">
      <c r="B57" s="12" t="inlineStr">
        <is>
          <t>Land value (appreciating)</t>
        </is>
      </c>
      <c r="D57" s="47">
        <f>C24*(1+C26)^1</f>
        <v/>
      </c>
      <c r="E57" s="47">
        <f>C24*(1+C26)^2</f>
        <v/>
      </c>
      <c r="F57" s="47">
        <f>C24*(1+C26)^3</f>
        <v/>
      </c>
      <c r="G57" s="47">
        <f>C24*(1+C26)^4</f>
        <v/>
      </c>
      <c r="H57" s="47">
        <f>C24*(1+C26)^5</f>
        <v/>
      </c>
      <c r="I57" s="47">
        <f>C24*(1+C26)^6</f>
        <v/>
      </c>
      <c r="J57" s="47">
        <f>C24*(1+C26)^7</f>
        <v/>
      </c>
      <c r="K57" s="47">
        <f>C24*(1+C26)^8</f>
        <v/>
      </c>
      <c r="L57" s="47">
        <f>C24*(1+C26)^9</f>
        <v/>
      </c>
      <c r="M57" s="47">
        <f>C24*(1+C26)^10</f>
        <v/>
      </c>
    </row>
    <row r="58" ht="15" customHeight="1">
      <c r="B58" s="12" t="inlineStr">
        <is>
          <t>Interim NOI</t>
        </is>
      </c>
      <c r="D58" s="47">
        <f>C47*(1+C32)^(1-1)</f>
        <v/>
      </c>
      <c r="E58" s="47">
        <f>C47*(1+C32)^(2-1)</f>
        <v/>
      </c>
      <c r="F58" s="47">
        <f>C47*(1+C32)^(3-1)</f>
        <v/>
      </c>
      <c r="G58" s="47">
        <f>C47*(1+C32)^(4-1)</f>
        <v/>
      </c>
      <c r="H58" s="47">
        <f>C47*(1+C32)^(5-1)</f>
        <v/>
      </c>
      <c r="I58" s="47">
        <f>C47*(1+C32)^(6-1)</f>
        <v/>
      </c>
      <c r="J58" s="47">
        <f>C47*(1+C32)^(7-1)</f>
        <v/>
      </c>
      <c r="K58" s="47">
        <f>C47*(1+C32)^(8-1)</f>
        <v/>
      </c>
      <c r="L58" s="47">
        <f>C47*(1+C32)^(9-1)</f>
        <v/>
      </c>
      <c r="M58" s="47">
        <f>C47*(1+C32)^(10-1)</f>
        <v/>
      </c>
    </row>
    <row r="59" ht="15" customHeight="1">
      <c r="B59" s="12" t="inlineStr">
        <is>
          <t>Net land sale (exit year)</t>
        </is>
      </c>
      <c r="D59" s="47">
        <f>IF(1=C27,D57*(1-C30),0)</f>
        <v/>
      </c>
      <c r="E59" s="47">
        <f>IF(2=C27,E57*(1-C30),0)</f>
        <v/>
      </c>
      <c r="F59" s="47">
        <f>IF(3=C27,F57*(1-C30),0)</f>
        <v/>
      </c>
      <c r="G59" s="47">
        <f>IF(4=C27,G57*(1-C30),0)</f>
        <v/>
      </c>
      <c r="H59" s="47">
        <f>IF(5=C27,H57*(1-C30),0)</f>
        <v/>
      </c>
      <c r="I59" s="47">
        <f>IF(6=C27,I57*(1-C30),0)</f>
        <v/>
      </c>
      <c r="J59" s="47">
        <f>IF(7=C27,J57*(1-C30),0)</f>
        <v/>
      </c>
      <c r="K59" s="47">
        <f>IF(8=C27,K57*(1-C30),0)</f>
        <v/>
      </c>
      <c r="L59" s="47">
        <f>IF(9=C27,L57*(1-C30),0)</f>
        <v/>
      </c>
      <c r="M59" s="47">
        <f>IF(10=C27,M57*(1-C30),0)</f>
        <v/>
      </c>
    </row>
    <row r="60" ht="15" customHeight="1">
      <c r="B60" s="43" t="inlineStr">
        <is>
          <t>UNLEVERED PROJECT CASH FLOW</t>
        </is>
      </c>
      <c r="C60" s="44">
        <f>-C24*(1+C25)</f>
        <v/>
      </c>
      <c r="D60" s="44">
        <f>IF(1&lt;=C27,D58,0)+D59</f>
        <v/>
      </c>
      <c r="E60" s="45">
        <f>IF(2&lt;=C27,E58,0)+E59</f>
        <v/>
      </c>
      <c r="F60" s="45">
        <f>IF(3&lt;=C27,F58,0)+F59</f>
        <v/>
      </c>
      <c r="G60" s="45">
        <f>IF(4&lt;=C27,G58,0)+G59</f>
        <v/>
      </c>
      <c r="H60" s="45">
        <f>IF(5&lt;=C27,H58,0)+H59</f>
        <v/>
      </c>
      <c r="I60" s="45">
        <f>IF(6&lt;=C27,I58,0)+I59</f>
        <v/>
      </c>
      <c r="J60" s="45">
        <f>IF(7&lt;=C27,J58,0)+J59</f>
        <v/>
      </c>
      <c r="K60" s="45">
        <f>IF(8&lt;=C27,K58,0)+K59</f>
        <v/>
      </c>
      <c r="L60" s="45">
        <f>IF(9&lt;=C27,L58,0)+L59</f>
        <v/>
      </c>
      <c r="M60" s="45">
        <f>IF(10&lt;=C27,M58,0)+M59</f>
        <v/>
      </c>
    </row>
    <row r="61" ht="15" customHeight="1">
      <c r="B61" s="12" t="inlineStr">
        <is>
          <t>Loan balance (IO — constant)</t>
        </is>
      </c>
      <c r="D61" s="47">
        <f>IF(1&lt;=C27,C50,0)</f>
        <v/>
      </c>
      <c r="E61" s="47">
        <f>IF(2&lt;=C27,C50,0)</f>
        <v/>
      </c>
      <c r="F61" s="47">
        <f>IF(3&lt;=C27,C50,0)</f>
        <v/>
      </c>
      <c r="G61" s="47">
        <f>IF(4&lt;=C27,C50,0)</f>
        <v/>
      </c>
      <c r="H61" s="47">
        <f>IF(5&lt;=C27,C50,0)</f>
        <v/>
      </c>
      <c r="I61" s="47">
        <f>IF(6&lt;=C27,C50,0)</f>
        <v/>
      </c>
      <c r="J61" s="47">
        <f>IF(7&lt;=C27,C50,0)</f>
        <v/>
      </c>
      <c r="K61" s="47">
        <f>IF(8&lt;=C27,C50,0)</f>
        <v/>
      </c>
      <c r="L61" s="47">
        <f>IF(9&lt;=C27,C50,0)</f>
        <v/>
      </c>
      <c r="M61" s="47">
        <f>IF(10&lt;=C27,C50,0)</f>
        <v/>
      </c>
    </row>
    <row r="62" ht="15" customHeight="1">
      <c r="B62" s="43" t="inlineStr">
        <is>
          <t>LEVERED CASH FLOW (equity)</t>
        </is>
      </c>
      <c r="C62" s="44">
        <f>-C52</f>
        <v/>
      </c>
      <c r="D62" s="44">
        <f>IF(1&lt;=C27,D58-C51,0)+IF(1=C27,D59-C50,0)</f>
        <v/>
      </c>
      <c r="E62" s="45">
        <f>IF(2&lt;=C27,E58-C51,0)+IF(2=C27,E59-C50,0)</f>
        <v/>
      </c>
      <c r="F62" s="45">
        <f>IF(3&lt;=C27,F58-C51,0)+IF(3=C27,F59-C50,0)</f>
        <v/>
      </c>
      <c r="G62" s="45">
        <f>IF(4&lt;=C27,G58-C51,0)+IF(4=C27,G59-C50,0)</f>
        <v/>
      </c>
      <c r="H62" s="45">
        <f>IF(5&lt;=C27,H58-C51,0)+IF(5=C27,H59-C50,0)</f>
        <v/>
      </c>
      <c r="I62" s="45">
        <f>IF(6&lt;=C27,I58-C51,0)+IF(6=C27,I59-C50,0)</f>
        <v/>
      </c>
      <c r="J62" s="45">
        <f>IF(7&lt;=C27,J58-C51,0)+IF(7=C27,J59-C50,0)</f>
        <v/>
      </c>
      <c r="K62" s="45">
        <f>IF(8&lt;=C27,K58-C51,0)+IF(8=C27,K59-C50,0)</f>
        <v/>
      </c>
      <c r="L62" s="45">
        <f>IF(9&lt;=C27,L58-C51,0)+IF(9=C27,L59-C50,0)</f>
        <v/>
      </c>
      <c r="M62" s="45">
        <f>IF(10&lt;=C27,M58-C51,0)+IF(10=C27,M59-C50,0)</f>
        <v/>
      </c>
    </row>
    <row r="63"/>
    <row r="64">
      <c r="B64" s="11" t="inlineStr">
        <is>
          <t>COVERED-LAND RETURNS  —  unlevered &amp; levered</t>
        </is>
      </c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3" t="n"/>
    </row>
    <row r="65" ht="15" customHeight="1">
      <c r="B65" s="12" t="inlineStr">
        <is>
          <t>Unlevered IRR</t>
        </is>
      </c>
      <c r="C65" s="53">
        <f>IRR(C60:M60)</f>
        <v/>
      </c>
    </row>
    <row r="66" ht="15" customHeight="1">
      <c r="B66" s="12" t="inlineStr">
        <is>
          <t>Unlevered equity multiple</t>
        </is>
      </c>
      <c r="C66" s="54">
        <f>SUM(D60:M60)/-C60</f>
        <v/>
      </c>
    </row>
    <row r="67" ht="15" customHeight="1">
      <c r="B67" s="12" t="inlineStr">
        <is>
          <t>Unlevered NPV @ discount rate</t>
        </is>
      </c>
      <c r="C67" s="51">
        <f>C60+NPV(C31,D60:M60)</f>
        <v/>
      </c>
    </row>
    <row r="68" ht="15" customHeight="1">
      <c r="B68" s="12" t="inlineStr">
        <is>
          <t>Levered IRR</t>
        </is>
      </c>
      <c r="C68" s="53">
        <f>IRR(C62:M62)</f>
        <v/>
      </c>
    </row>
    <row r="69" ht="15" customHeight="1">
      <c r="B69" s="12" t="inlineStr">
        <is>
          <t>Levered equity multiple</t>
        </is>
      </c>
      <c r="C69" s="54">
        <f>SUM(D62:M62)/C52</f>
        <v/>
      </c>
    </row>
    <row r="70" ht="15" customHeight="1">
      <c r="B70" s="12" t="inlineStr">
        <is>
          <t>Interim yield on basis (NOI ÷ price)</t>
        </is>
      </c>
      <c r="C70" s="50">
        <f>C47/C24</f>
        <v/>
      </c>
    </row>
    <row r="71"/>
    <row r="72">
      <c r="B72" s="11" t="inlineStr">
        <is>
          <t>REDEVELOPMENT RESIDUAL  —  ⚠️ AE flood zone; residual runs NEGATIVE — DO NOT force positive</t>
        </is>
      </c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3" t="n"/>
    </row>
    <row r="73" ht="15" customHeight="1">
      <c r="B73" s="12" t="inlineStr">
        <is>
          <t>Gross development value</t>
        </is>
      </c>
      <c r="C73" s="51">
        <f>C17*'Assumptions'!C39</f>
        <v/>
      </c>
      <c r="D73" s="22" t="inlineStr">
        <is>
          <t>units × achievable value/unit (Assumptions tab)</t>
        </is>
      </c>
      <c r="E73" s="13" t="n"/>
      <c r="F73" s="13" t="n"/>
      <c r="G73" s="13" t="n"/>
      <c r="H73" s="13" t="n"/>
      <c r="I73" s="13" t="n"/>
      <c r="J73" s="13" t="n"/>
      <c r="K73" s="13" t="n"/>
      <c r="L73" s="13" t="n"/>
      <c r="M73" s="14" t="n"/>
    </row>
    <row r="74" ht="15" customHeight="1">
      <c r="B74" s="12" t="inlineStr">
        <is>
          <t>Buildable GBA (SF)</t>
        </is>
      </c>
      <c r="C74" s="64">
        <f>C17*'Assumptions'!C41</f>
        <v/>
      </c>
      <c r="D74" s="22" t="inlineStr">
        <is>
          <t>units × GBA/unit (Assumptions tab)</t>
        </is>
      </c>
      <c r="E74" s="13" t="n"/>
      <c r="F74" s="13" t="n"/>
      <c r="G74" s="13" t="n"/>
      <c r="H74" s="13" t="n"/>
      <c r="I74" s="13" t="n"/>
      <c r="J74" s="13" t="n"/>
      <c r="K74" s="13" t="n"/>
      <c r="L74" s="13" t="n"/>
      <c r="M74" s="14" t="n"/>
    </row>
    <row r="75" ht="15" customHeight="1">
      <c r="B75" s="12" t="inlineStr">
        <is>
          <t>Hard cost</t>
        </is>
      </c>
      <c r="C75" s="47">
        <f>-C74*'Assumptions'!C40</f>
        <v/>
      </c>
      <c r="D75" s="22" t="inlineStr">
        <is>
          <t>$/GBA SF (AE-zone coastal, Assumptions tab)</t>
        </is>
      </c>
      <c r="E75" s="13" t="n"/>
      <c r="F75" s="13" t="n"/>
      <c r="G75" s="13" t="n"/>
      <c r="H75" s="13" t="n"/>
      <c r="I75" s="13" t="n"/>
      <c r="J75" s="13" t="n"/>
      <c r="K75" s="13" t="n"/>
      <c r="L75" s="13" t="n"/>
      <c r="M75" s="14" t="n"/>
    </row>
    <row r="76" ht="15" customHeight="1">
      <c r="B76" s="12" t="inlineStr">
        <is>
          <t>Soft cost</t>
        </is>
      </c>
      <c r="C76" s="47">
        <f>-C74*'Assumptions'!C40*'Assumptions'!C42</f>
        <v/>
      </c>
      <c r="D76" s="22" t="inlineStr">
        <is>
          <t>% of hard (Assumptions tab)</t>
        </is>
      </c>
      <c r="E76" s="13" t="n"/>
      <c r="F76" s="13" t="n"/>
      <c r="G76" s="13" t="n"/>
      <c r="H76" s="13" t="n"/>
      <c r="I76" s="13" t="n"/>
      <c r="J76" s="13" t="n"/>
      <c r="K76" s="13" t="n"/>
      <c r="L76" s="13" t="n"/>
      <c r="M76" s="14" t="n"/>
    </row>
    <row r="77" ht="15" customHeight="1">
      <c r="B77" s="12" t="inlineStr">
        <is>
          <t>Developer profit</t>
        </is>
      </c>
      <c r="C77" s="47">
        <f>-C73*'Assumptions'!C43</f>
        <v/>
      </c>
      <c r="D77" s="22" t="inlineStr">
        <is>
          <t>% of GDV (Assumptions tab)</t>
        </is>
      </c>
      <c r="E77" s="13" t="n"/>
      <c r="F77" s="13" t="n"/>
      <c r="G77" s="13" t="n"/>
      <c r="H77" s="13" t="n"/>
      <c r="I77" s="13" t="n"/>
      <c r="J77" s="13" t="n"/>
      <c r="K77" s="13" t="n"/>
      <c r="L77" s="13" t="n"/>
      <c r="M77" s="14" t="n"/>
    </row>
    <row r="78" ht="15" customHeight="1">
      <c r="B78" s="43" t="inlineStr">
        <is>
          <t>RESIDUAL LAND VALUE</t>
        </is>
      </c>
      <c r="C78" s="44">
        <f>C73+C75+C76+C77</f>
        <v/>
      </c>
    </row>
    <row r="79" ht="15" customHeight="1">
      <c r="B79" s="40" t="inlineStr">
        <is>
          <t>Conclusion</t>
        </is>
      </c>
      <c r="C79" s="69" t="inlineStr">
        <is>
          <t>HOLD</t>
        </is>
      </c>
      <c r="D79" s="40" t="inlineStr">
        <is>
          <t>Residual &lt; entitled-land basis → redevelopment does not pencil today; hold as covered land for Live Local optionality</t>
        </is>
      </c>
      <c r="E79" s="13" t="n"/>
      <c r="F79" s="13" t="n"/>
      <c r="G79" s="13" t="n"/>
      <c r="H79" s="13" t="n"/>
      <c r="I79" s="13" t="n"/>
      <c r="J79" s="13" t="n"/>
      <c r="K79" s="13" t="n"/>
      <c r="L79" s="13" t="n"/>
      <c r="M79" s="14" t="n"/>
    </row>
  </sheetData>
  <mergeCells count="49">
    <mergeCell ref="B2:M2"/>
    <mergeCell ref="B42:M42"/>
    <mergeCell ref="D12:M12"/>
    <mergeCell ref="D18:M18"/>
    <mergeCell ref="D9:M9"/>
    <mergeCell ref="G35:M35"/>
    <mergeCell ref="D74:M74"/>
    <mergeCell ref="B14:M14"/>
    <mergeCell ref="D30:M30"/>
    <mergeCell ref="D8:M8"/>
    <mergeCell ref="D25:M25"/>
    <mergeCell ref="D15:M15"/>
    <mergeCell ref="B1:M1"/>
    <mergeCell ref="D73:M73"/>
    <mergeCell ref="D24:M24"/>
    <mergeCell ref="D29:M29"/>
    <mergeCell ref="D5:M5"/>
    <mergeCell ref="D23:M23"/>
    <mergeCell ref="B34:M34"/>
    <mergeCell ref="G40:M40"/>
    <mergeCell ref="D79:M79"/>
    <mergeCell ref="D50:M50"/>
    <mergeCell ref="D26:M26"/>
    <mergeCell ref="D20:M20"/>
    <mergeCell ref="D10:M10"/>
    <mergeCell ref="D19:M19"/>
    <mergeCell ref="B55:M55"/>
    <mergeCell ref="G36:M36"/>
    <mergeCell ref="B64:M64"/>
    <mergeCell ref="D31:M31"/>
    <mergeCell ref="G39:M39"/>
    <mergeCell ref="D22:M22"/>
    <mergeCell ref="D21:M21"/>
    <mergeCell ref="D6:M6"/>
    <mergeCell ref="D77:M77"/>
    <mergeCell ref="G38:M38"/>
    <mergeCell ref="B4:M4"/>
    <mergeCell ref="D11:M11"/>
    <mergeCell ref="D76:M76"/>
    <mergeCell ref="D27:M27"/>
    <mergeCell ref="G37:M37"/>
    <mergeCell ref="D32:M32"/>
    <mergeCell ref="B72:M72"/>
    <mergeCell ref="D17:M17"/>
    <mergeCell ref="D75:M75"/>
    <mergeCell ref="D7:M7"/>
    <mergeCell ref="D53:M53"/>
    <mergeCell ref="D16:M16"/>
    <mergeCell ref="D28:M28"/>
  </mergeCells>
  <printOptions horizontalCentered="1"/>
  <pageMargins left="0.3" right="0.3" top="0.4" bottom="0.4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tabColor rgb="00C9A84C"/>
    <outlinePr summaryBelow="1" summaryRight="1"/>
    <pageSetUpPr fitToPage="1"/>
  </sheetPr>
  <dimension ref="A1:M68"/>
  <sheetViews>
    <sheetView showGridLines="0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.5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</cols>
  <sheetData>
    <row r="1" ht="26" customHeight="1">
      <c r="B1" s="1" t="inlineStr">
        <is>
          <t>NOTES, SOURCES  &amp;  METHODOLOGY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3" t="n"/>
    </row>
    <row r="2" ht="18" customHeight="1">
      <c r="B2" s="4" t="inlineStr">
        <is>
          <t>DAWN RE Enterprises Corp.  ·  E Sunrise Blvd Assemblage  ·  Fort Lauderdale, FL  ·  prepared 2026-07-21  ·  CONFIDENTIAL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3" t="n"/>
    </row>
    <row r="3"/>
    <row r="4">
      <c r="B4" s="11" t="inlineStr">
        <is>
          <t>PURPOSE  &amp;  HOW TO USE THIS MODEL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3" t="n"/>
    </row>
    <row r="5" ht="15" customHeight="1">
      <c r="B5" s="12" t="inlineStr">
        <is>
          <t>Institutional acquisition underwriting for a five-asset covered-land-play assemblage on the E Sunrise Blvd hard corner at the Galleria.</t>
        </is>
      </c>
      <c r="C5" s="13" t="n"/>
      <c r="D5" s="13" t="n"/>
      <c r="E5" s="13" t="n"/>
      <c r="F5" s="13" t="n"/>
      <c r="G5" s="13" t="n"/>
      <c r="H5" s="13" t="n"/>
      <c r="I5" s="13" t="n"/>
      <c r="J5" s="13" t="n"/>
      <c r="K5" s="13" t="n"/>
      <c r="L5" s="13" t="n"/>
      <c r="M5" s="14" t="n"/>
    </row>
    <row r="6" ht="15" customHeight="1">
      <c r="B6" s="12" t="inlineStr">
        <is>
          <t>Two valuations of the same block are presented: (1) an INCOME basis — what the combined cash flows support — and (2) a HIGHEST-AND-</t>
        </is>
      </c>
      <c r="C6" s="13" t="n"/>
      <c r="D6" s="13" t="n"/>
      <c r="E6" s="13" t="n"/>
      <c r="F6" s="13" t="n"/>
      <c r="G6" s="13" t="n"/>
      <c r="H6" s="13" t="n"/>
      <c r="I6" s="13" t="n"/>
      <c r="J6" s="13" t="n"/>
      <c r="K6" s="13" t="n"/>
      <c r="L6" s="13" t="n"/>
      <c r="M6" s="14" t="n"/>
    </row>
    <row r="7" ht="15" customHeight="1">
      <c r="B7" s="12" t="inlineStr">
        <is>
          <t>BEST-USE / covered-land basis — land value plus an assemblage premium to control every parcel. Only blue cells are inputs; change any</t>
        </is>
      </c>
      <c r="C7" s="13" t="n"/>
      <c r="D7" s="13" t="n"/>
      <c r="E7" s="13" t="n"/>
      <c r="F7" s="13" t="n"/>
      <c r="G7" s="13" t="n"/>
      <c r="H7" s="13" t="n"/>
      <c r="I7" s="13" t="n"/>
      <c r="J7" s="13" t="n"/>
      <c r="K7" s="13" t="n"/>
      <c r="L7" s="13" t="n"/>
      <c r="M7" s="14" t="n"/>
    </row>
    <row r="8" ht="15" customHeight="1">
      <c r="B8" s="12" t="inlineStr">
        <is>
          <t>blue cell and the entire workbook recalculates (full recalc on open). The ASSUMPTIONS tab is the single control surface — global drivers</t>
        </is>
      </c>
      <c r="C8" s="13" t="n"/>
      <c r="D8" s="13" t="n"/>
      <c r="E8" s="13" t="n"/>
      <c r="F8" s="13" t="n"/>
      <c r="G8" s="13" t="n"/>
      <c r="H8" s="13" t="n"/>
      <c r="I8" s="13" t="n"/>
      <c r="J8" s="13" t="n"/>
      <c r="K8" s="13" t="n"/>
      <c r="L8" s="13" t="n"/>
      <c r="M8" s="14" t="n"/>
    </row>
    <row r="9" ht="15" customHeight="1">
      <c r="B9" s="12" t="inlineStr">
        <is>
          <t>plus a block per asset (price · rents · occupancy · operating expenses · caps · debt). Standard modeling params (rent/expense growth,</t>
        </is>
      </c>
      <c r="C9" s="13" t="n"/>
      <c r="D9" s="13" t="n"/>
      <c r="E9" s="13" t="n"/>
      <c r="F9" s="13" t="n"/>
      <c r="G9" s="13" t="n"/>
      <c r="H9" s="13" t="n"/>
      <c r="I9" s="13" t="n"/>
      <c r="J9" s="13" t="n"/>
      <c r="K9" s="13" t="n"/>
      <c r="L9" s="13" t="n"/>
      <c r="M9" s="14" t="n"/>
    </row>
    <row r="10" ht="15" customHeight="1">
      <c r="B10" s="12" t="inlineStr">
        <is>
          <t>TI/LC, reserves, closing detail) stay blue on each asset tab. Order: Exec · Assumptions · Income · Scenarios · Assemblage · Highest &amp; Best Use · assets · Notes.</t>
        </is>
      </c>
      <c r="C10" s="13" t="n"/>
      <c r="D10" s="13" t="n"/>
      <c r="E10" s="13" t="n"/>
      <c r="F10" s="13" t="n"/>
      <c r="G10" s="13" t="n"/>
      <c r="H10" s="13" t="n"/>
      <c r="I10" s="13" t="n"/>
      <c r="J10" s="13" t="n"/>
      <c r="K10" s="13" t="n"/>
      <c r="L10" s="13" t="n"/>
      <c r="M10" s="14" t="n"/>
    </row>
    <row r="11" ht="27" customHeight="1">
      <c r="B11" s="12" t="inlineStr">
        <is>
          <t>Each component is priced independently (asset tabs) and combined (Assemblage / Income / HBU). The HBU tab prices the land as regular fragmented parcels vs. an assembled superblock (plottage premium), and carries the office condo full buy-out.</t>
        </is>
      </c>
      <c r="C11" s="13" t="n"/>
      <c r="D11" s="13" t="n"/>
      <c r="E11" s="13" t="n"/>
      <c r="F11" s="13" t="n"/>
      <c r="G11" s="13" t="n"/>
      <c r="H11" s="13" t="n"/>
      <c r="I11" s="13" t="n"/>
      <c r="J11" s="13" t="n"/>
      <c r="K11" s="13" t="n"/>
      <c r="L11" s="13" t="n"/>
      <c r="M11" s="14" t="n"/>
    </row>
    <row r="12"/>
    <row r="13">
      <c r="B13" s="11" t="inlineStr">
        <is>
          <t>VALUATION METHODOLOGY</t>
        </is>
      </c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3" t="n"/>
    </row>
    <row r="14" ht="15" customHeight="1">
      <c r="B14" s="52" t="inlineStr">
        <is>
          <t>As-is vs. stabilized</t>
        </is>
      </c>
      <c r="D14" s="12" t="inlineStr">
        <is>
          <t>Direct cap on AS-IS in-place NOI (current occupancy) gives the going-in value; stabilized NOI ÷ exit cap gives post-lease-up value. The spread is value creation.</t>
        </is>
      </c>
      <c r="E14" s="13" t="n"/>
      <c r="F14" s="13" t="n"/>
      <c r="G14" s="13" t="n"/>
      <c r="H14" s="13" t="n"/>
      <c r="I14" s="13" t="n"/>
      <c r="J14" s="13" t="n"/>
      <c r="K14" s="13" t="n"/>
      <c r="L14" s="13" t="n"/>
      <c r="M14" s="14" t="n"/>
    </row>
    <row r="15" ht="15" customHeight="1">
      <c r="B15" s="52" t="inlineStr">
        <is>
          <t>Income-based price</t>
        </is>
      </c>
      <c r="D15" s="12" t="inlineStr">
        <is>
          <t>Concluded on as-is direct cap; stabilized direct cap and a DCF (PV of unlevered cash flows at the target unlevered yield) are shown as cross-checks.</t>
        </is>
      </c>
      <c r="E15" s="13" t="n"/>
      <c r="F15" s="13" t="n"/>
      <c r="G15" s="13" t="n"/>
      <c r="H15" s="13" t="n"/>
      <c r="I15" s="13" t="n"/>
      <c r="J15" s="13" t="n"/>
      <c r="K15" s="13" t="n"/>
      <c r="L15" s="13" t="n"/>
      <c r="M15" s="14" t="n"/>
    </row>
    <row r="16" ht="15" customHeight="1">
      <c r="B16" s="52" t="inlineStr">
        <is>
          <t>Portfolio returns</t>
        </is>
      </c>
      <c r="D16" s="12" t="inlineStr">
        <is>
          <t>Computed by CONSOLIDATING each asset's actual cash flows into one stream and running a single IRR — never by averaging asset IRRs (mathematically invalid).</t>
        </is>
      </c>
      <c r="E16" s="13" t="n"/>
      <c r="F16" s="13" t="n"/>
      <c r="G16" s="13" t="n"/>
      <c r="H16" s="13" t="n"/>
      <c r="I16" s="13" t="n"/>
      <c r="J16" s="13" t="n"/>
      <c r="K16" s="13" t="n"/>
      <c r="L16" s="13" t="n"/>
      <c r="M16" s="14" t="n"/>
    </row>
    <row r="17" ht="15" customHeight="1">
      <c r="B17" s="52" t="inlineStr">
        <is>
          <t>Sources &amp; Uses</t>
        </is>
      </c>
      <c r="D17" s="12" t="inlineStr">
        <is>
          <t>Uses = price + doc-stamp/transfer tax + title + legal/DD + loan origination; Sources = sized senior debt + equity (plug). Equity is the S&amp;U plug, not a shortcut.</t>
        </is>
      </c>
      <c r="E17" s="13" t="n"/>
      <c r="F17" s="13" t="n"/>
      <c r="G17" s="13" t="n"/>
      <c r="H17" s="13" t="n"/>
      <c r="I17" s="13" t="n"/>
      <c r="J17" s="13" t="n"/>
      <c r="K17" s="13" t="n"/>
      <c r="L17" s="13" t="n"/>
      <c r="M17" s="14" t="n"/>
    </row>
    <row r="18" ht="15" customHeight="1">
      <c r="B18" s="52" t="inlineStr">
        <is>
          <t>Return attribution</t>
        </is>
      </c>
      <c r="D18" s="12" t="inlineStr">
        <is>
          <t>Unlevered profit is decomposed into operating cash flow, NOI growth / lease-up, cap-rate movement, cost of sale, and closing — and ties exactly to the consolidated cash flow.</t>
        </is>
      </c>
      <c r="E18" s="13" t="n"/>
      <c r="F18" s="13" t="n"/>
      <c r="G18" s="13" t="n"/>
      <c r="H18" s="13" t="n"/>
      <c r="I18" s="13" t="n"/>
      <c r="J18" s="13" t="n"/>
      <c r="K18" s="13" t="n"/>
      <c r="L18" s="13" t="n"/>
      <c r="M18" s="14" t="n"/>
    </row>
    <row r="19" ht="15" customHeight="1">
      <c r="B19" s="52" t="inlineStr">
        <is>
          <t>Scenario analysis</t>
        </is>
      </c>
      <c r="D19" s="12" t="inlineStr">
        <is>
          <t>Downside / Base / Upside bundle NOI achievement, exit cap, and financing rate; each is a full consolidated cash flow with its own IRR / multiple / DSCR / cash-on-cash.</t>
        </is>
      </c>
      <c r="E19" s="13" t="n"/>
      <c r="F19" s="13" t="n"/>
      <c r="G19" s="13" t="n"/>
      <c r="H19" s="13" t="n"/>
      <c r="I19" s="13" t="n"/>
      <c r="J19" s="13" t="n"/>
      <c r="K19" s="13" t="n"/>
      <c r="L19" s="13" t="n"/>
      <c r="M19" s="14" t="n"/>
    </row>
    <row r="20" ht="15" customHeight="1">
      <c r="B20" s="52" t="inlineStr">
        <is>
          <t>Break-even</t>
        </is>
      </c>
      <c r="D20" s="12" t="inlineStr">
        <is>
          <t>The break-even exit cap is the softest exit that still returns 1.0x of equity; the cushion vs. the underwritten exit cap is a downside guardrail.</t>
        </is>
      </c>
      <c r="E20" s="13" t="n"/>
      <c r="F20" s="13" t="n"/>
      <c r="G20" s="13" t="n"/>
      <c r="H20" s="13" t="n"/>
      <c r="I20" s="13" t="n"/>
      <c r="J20" s="13" t="n"/>
      <c r="K20" s="13" t="n"/>
      <c r="L20" s="13" t="n"/>
      <c r="M20" s="14" t="n"/>
    </row>
    <row r="21" ht="15" customHeight="1">
      <c r="B21" s="52" t="inlineStr">
        <is>
          <t>Covered-land (HBU) price</t>
        </is>
      </c>
      <c r="D21" s="12" t="inlineStr">
        <is>
          <t>Summed control cost (each parcel at the greater of income or land value; Publix via sale-leaseback at its fee price) plus a 15/20/25% assemblage premium.</t>
        </is>
      </c>
      <c r="E21" s="13" t="n"/>
      <c r="F21" s="13" t="n"/>
      <c r="G21" s="13" t="n"/>
      <c r="H21" s="13" t="n"/>
      <c r="I21" s="13" t="n"/>
      <c r="J21" s="13" t="n"/>
      <c r="K21" s="13" t="n"/>
      <c r="L21" s="13" t="n"/>
      <c r="M21" s="14" t="n"/>
    </row>
    <row r="22" ht="39" customHeight="1">
      <c r="B22" s="52" t="inlineStr">
        <is>
          <t>Publix sale-leaseback</t>
        </is>
      </c>
      <c r="D22" s="12" t="inlineStr">
        <is>
          <t>Acquire the Publix fee; Publix leases back and pays NNN rent for the entitlement term (rent covers carry), then vacates. The leaseback income CLIFFS at term-end and the parcel EXITS AT LAND VALUE (covered-land), not an income cap. A solver on the Publix tab back-solves the leaseback rent for a target DSCR or cap. Rent, SF, price, term, and leverage are on the Assumptions tab.</t>
        </is>
      </c>
      <c r="E22" s="13" t="n"/>
      <c r="F22" s="13" t="n"/>
      <c r="G22" s="13" t="n"/>
      <c r="H22" s="13" t="n"/>
      <c r="I22" s="13" t="n"/>
      <c r="J22" s="13" t="n"/>
      <c r="K22" s="13" t="n"/>
      <c r="L22" s="13" t="n"/>
      <c r="M22" s="14" t="n"/>
    </row>
    <row r="23" ht="15" customHeight="1">
      <c r="B23" s="52" t="inlineStr">
        <is>
          <t>Reversion</t>
        </is>
      </c>
      <c r="D23" s="12" t="inlineStr">
        <is>
          <t>Each asset sells in the hold year at its forward NOI ÷ exit cap, net of cost of sale; the consolidated reversion sums the asset-level reversions.</t>
        </is>
      </c>
      <c r="E23" s="13" t="n"/>
      <c r="F23" s="13" t="n"/>
      <c r="G23" s="13" t="n"/>
      <c r="H23" s="13" t="n"/>
      <c r="I23" s="13" t="n"/>
      <c r="J23" s="13" t="n"/>
      <c r="K23" s="13" t="n"/>
      <c r="L23" s="13" t="n"/>
      <c r="M23" s="14" t="n"/>
    </row>
    <row r="24" ht="15" customHeight="1">
      <c r="B24" s="52" t="inlineStr">
        <is>
          <t>Redevelopment</t>
        </is>
      </c>
      <c r="D24" s="12" t="inlineStr">
        <is>
          <t>The Live Local residual runs negative in the AE flood zone at current coastal hard costs; the model does NOT force it positive — the conclusion is HOLD.</t>
        </is>
      </c>
      <c r="E24" s="13" t="n"/>
      <c r="F24" s="13" t="n"/>
      <c r="G24" s="13" t="n"/>
      <c r="H24" s="13" t="n"/>
      <c r="I24" s="13" t="n"/>
      <c r="J24" s="13" t="n"/>
      <c r="K24" s="13" t="n"/>
      <c r="L24" s="13" t="n"/>
      <c r="M24" s="14" t="n"/>
    </row>
    <row r="25"/>
    <row r="26">
      <c r="B26" s="11" t="inlineStr">
        <is>
          <t>SENIOR DEBT  —  SIZING CONVENTION</t>
        </is>
      </c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3" t="n"/>
    </row>
    <row r="27" ht="15" customHeight="1">
      <c r="B27" s="12" t="inlineStr">
        <is>
          <t>Debt is sized to the LESSER OF three lender constraints, sized on as-is in-place NOI:</t>
        </is>
      </c>
      <c r="C27" s="13" t="n"/>
      <c r="D27" s="13" t="n"/>
      <c r="E27" s="13" t="n"/>
      <c r="F27" s="13" t="n"/>
      <c r="G27" s="13" t="n"/>
      <c r="H27" s="13" t="n"/>
      <c r="I27" s="13" t="n"/>
      <c r="J27" s="13" t="n"/>
      <c r="K27" s="13" t="n"/>
      <c r="L27" s="13" t="n"/>
      <c r="M27" s="14" t="n"/>
    </row>
    <row r="28" ht="15" customHeight="1">
      <c r="B28" s="52" t="inlineStr">
        <is>
          <t>Constraint 1 — LTV</t>
        </is>
      </c>
      <c r="D28" s="12" t="inlineStr">
        <is>
          <t>Loan ≤ max LTV × purchase price (default 60%).</t>
        </is>
      </c>
      <c r="E28" s="13" t="n"/>
      <c r="F28" s="13" t="n"/>
      <c r="G28" s="13" t="n"/>
      <c r="H28" s="13" t="n"/>
      <c r="I28" s="13" t="n"/>
      <c r="J28" s="13" t="n"/>
      <c r="K28" s="13" t="n"/>
      <c r="L28" s="13" t="n"/>
      <c r="M28" s="14" t="n"/>
    </row>
    <row r="29" ht="15" customHeight="1">
      <c r="B29" s="52" t="inlineStr">
        <is>
          <t>Constraint 2 — DSCR</t>
        </is>
      </c>
      <c r="D29" s="12" t="inlineStr">
        <is>
          <t>Loan ≤ NOI ÷ (min DSCR × mortgage constant); default min DSCR 1.30x.</t>
        </is>
      </c>
      <c r="E29" s="13" t="n"/>
      <c r="F29" s="13" t="n"/>
      <c r="G29" s="13" t="n"/>
      <c r="H29" s="13" t="n"/>
      <c r="I29" s="13" t="n"/>
      <c r="J29" s="13" t="n"/>
      <c r="K29" s="13" t="n"/>
      <c r="L29" s="13" t="n"/>
      <c r="M29" s="14" t="n"/>
    </row>
    <row r="30" ht="15" customHeight="1">
      <c r="B30" s="52" t="inlineStr">
        <is>
          <t>Constraint 3 — Debt yield</t>
        </is>
      </c>
      <c r="D30" s="12" t="inlineStr">
        <is>
          <t>Loan ≤ NOI ÷ min debt yield (default 8.5%).</t>
        </is>
      </c>
      <c r="E30" s="13" t="n"/>
      <c r="F30" s="13" t="n"/>
      <c r="G30" s="13" t="n"/>
      <c r="H30" s="13" t="n"/>
      <c r="I30" s="13" t="n"/>
      <c r="J30" s="13" t="n"/>
      <c r="K30" s="13" t="n"/>
      <c r="L30" s="13" t="n"/>
      <c r="M30" s="14" t="n"/>
    </row>
    <row r="31" ht="15" customHeight="1">
      <c r="B31" s="12" t="inlineStr">
        <is>
          <t>The sized loan is the minimum of the three; the binding constraint is flagged on the Income Valuation tab.</t>
        </is>
      </c>
      <c r="C31" s="13" t="n"/>
      <c r="D31" s="13" t="n"/>
      <c r="E31" s="13" t="n"/>
      <c r="F31" s="13" t="n"/>
      <c r="G31" s="13" t="n"/>
      <c r="H31" s="13" t="n"/>
      <c r="I31" s="13" t="n"/>
      <c r="J31" s="13" t="n"/>
      <c r="K31" s="13" t="n"/>
      <c r="L31" s="13" t="n"/>
      <c r="M31" s="14" t="n"/>
    </row>
    <row r="32"/>
    <row r="33">
      <c r="B33" s="11" t="inlineStr">
        <is>
          <t>DATA SOURCES  &amp;  CONFIDENCE FLAGS</t>
        </is>
      </c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3" t="n"/>
    </row>
    <row r="34" ht="15" customHeight="1">
      <c r="B34" s="16" t="inlineStr">
        <is>
          <t>Flag</t>
        </is>
      </c>
      <c r="C34" s="15" t="inlineStr">
        <is>
          <t>Meaning</t>
        </is>
      </c>
      <c r="D34" s="13" t="n"/>
      <c r="E34" s="13" t="n"/>
      <c r="F34" s="13" t="n"/>
      <c r="G34" s="13" t="n"/>
      <c r="H34" s="13" t="n"/>
      <c r="I34" s="13" t="n"/>
      <c r="J34" s="13" t="n"/>
      <c r="K34" s="13" t="n"/>
      <c r="L34" s="13" t="n"/>
      <c r="M34" s="14" t="n"/>
    </row>
    <row r="35" ht="15" customHeight="1">
      <c r="B35" s="30" t="inlineStr">
        <is>
          <t>✅ VERIFIED</t>
        </is>
      </c>
      <c r="C35" s="12" t="inlineStr">
        <is>
          <t>public record — BCPA property appraiser / FL Sunbiz / recorded deed</t>
        </is>
      </c>
      <c r="D35" s="13" t="n"/>
      <c r="E35" s="13" t="n"/>
      <c r="F35" s="13" t="n"/>
      <c r="G35" s="13" t="n"/>
      <c r="H35" s="13" t="n"/>
      <c r="I35" s="13" t="n"/>
      <c r="J35" s="13" t="n"/>
      <c r="K35" s="13" t="n"/>
      <c r="L35" s="13" t="n"/>
      <c r="M35" s="14" t="n"/>
    </row>
    <row r="36" ht="15" customHeight="1">
      <c r="B36" s="30" t="inlineStr">
        <is>
          <t>⚠️ REPORTED</t>
        </is>
      </c>
      <c r="C36" s="12" t="inlineStr">
        <is>
          <t>counterparty, broker listing (LoopNet/Crexi), or press — unconfirmed at the county</t>
        </is>
      </c>
      <c r="D36" s="13" t="n"/>
      <c r="E36" s="13" t="n"/>
      <c r="F36" s="13" t="n"/>
      <c r="G36" s="13" t="n"/>
      <c r="H36" s="13" t="n"/>
      <c r="I36" s="13" t="n"/>
      <c r="J36" s="13" t="n"/>
      <c r="K36" s="13" t="n"/>
      <c r="L36" s="13" t="n"/>
      <c r="M36" s="14" t="n"/>
    </row>
    <row r="37" ht="15" customHeight="1">
      <c r="B37" s="30" t="inlineStr">
        <is>
          <t>🔶 MODELED</t>
        </is>
      </c>
      <c r="C37" s="12" t="inlineStr">
        <is>
          <t>assumption from mid-2026 market research; moves with the blue inputs</t>
        </is>
      </c>
      <c r="D37" s="13" t="n"/>
      <c r="E37" s="13" t="n"/>
      <c r="F37" s="13" t="n"/>
      <c r="G37" s="13" t="n"/>
      <c r="H37" s="13" t="n"/>
      <c r="I37" s="13" t="n"/>
      <c r="J37" s="13" t="n"/>
      <c r="K37" s="13" t="n"/>
      <c r="L37" s="13" t="n"/>
      <c r="M37" s="14" t="n"/>
    </row>
    <row r="38"/>
    <row r="39" ht="15" customHeight="1">
      <c r="B39" s="15" t="inlineStr">
        <is>
          <t>Asset</t>
        </is>
      </c>
      <c r="D39" s="16" t="inlineStr">
        <is>
          <t>Verified</t>
        </is>
      </c>
      <c r="E39" s="15" t="inlineStr">
        <is>
          <t>Sources</t>
        </is>
      </c>
      <c r="F39" s="13" t="n"/>
      <c r="G39" s="13" t="n"/>
      <c r="H39" s="13" t="n"/>
      <c r="I39" s="13" t="n"/>
      <c r="J39" s="13" t="n"/>
      <c r="K39" s="13" t="n"/>
      <c r="L39" s="13" t="n"/>
      <c r="M39" s="14" t="n"/>
    </row>
    <row r="40" ht="15" customHeight="1">
      <c r="B40" s="12" t="inlineStr">
        <is>
          <t>Shahidi Retail (Galleria Plaza)</t>
        </is>
      </c>
      <c r="D40" s="30" t="inlineStr">
        <is>
          <t>✅ BCPA/Sunbiz</t>
        </is>
      </c>
      <c r="E40" s="12" t="inlineStr">
        <is>
          <t>Folio 49-42-36-12-0070; tenants via LoopNet/Southeast Centers, Yelp, official locators; rents from corridor comps</t>
        </is>
      </c>
      <c r="F40" s="13" t="n"/>
      <c r="G40" s="13" t="n"/>
      <c r="H40" s="13" t="n"/>
      <c r="I40" s="13" t="n"/>
      <c r="J40" s="13" t="n"/>
      <c r="K40" s="13" t="n"/>
      <c r="L40" s="13" t="n"/>
      <c r="M40" s="14" t="n"/>
    </row>
    <row r="41" ht="15" customHeight="1">
      <c r="B41" s="12" t="inlineStr">
        <is>
          <t>Publix + Starbucks</t>
        </is>
      </c>
      <c r="D41" s="30" t="inlineStr">
        <is>
          <t>✅ BCPA/deed</t>
        </is>
      </c>
      <c r="E41" s="12" t="inlineStr">
        <is>
          <t>Folio -0060; $25M Trustee's Deed 03/2025 (The Real Deal); rents/caps from net-lease research (Boulder Group, Matthews)</t>
        </is>
      </c>
      <c r="F41" s="13" t="n"/>
      <c r="G41" s="13" t="n"/>
      <c r="H41" s="13" t="n"/>
      <c r="I41" s="13" t="n"/>
      <c r="J41" s="13" t="n"/>
      <c r="K41" s="13" t="n"/>
      <c r="L41" s="13" t="n"/>
      <c r="M41" s="14" t="n"/>
    </row>
    <row r="42" ht="15" customHeight="1">
      <c r="B42" s="12" t="inlineStr">
        <is>
          <t>Sunrise Plaza (Kar Luen)</t>
        </is>
      </c>
      <c r="D42" s="30" t="inlineStr">
        <is>
          <t>⚠️ reported</t>
        </is>
      </c>
      <c r="E42" s="12" t="inlineStr">
        <is>
          <t>Folio -0011; LoopNet/Sunbiz/Cortera; tenants via Yelp; value &amp; sale unconfirmed — VERIFY AT BCPA</t>
        </is>
      </c>
      <c r="F42" s="13" t="n"/>
      <c r="G42" s="13" t="n"/>
      <c r="H42" s="13" t="n"/>
      <c r="I42" s="13" t="n"/>
      <c r="J42" s="13" t="n"/>
      <c r="K42" s="13" t="n"/>
      <c r="L42" s="13" t="n"/>
      <c r="M42" s="14" t="n"/>
    </row>
    <row r="43" ht="15" customHeight="1">
      <c r="B43" s="12" t="inlineStr">
        <is>
          <t>Galleria Corporate Centre</t>
        </is>
      </c>
      <c r="D43" s="30" t="inlineStr">
        <is>
          <t>⚠️ reported</t>
        </is>
      </c>
      <c r="E43" s="12" t="inlineStr">
        <is>
          <t>2455 E Sunrise; owners via Daily Business Review 10/2019 (Main Street Fund 57.4%); per-unit folios not enumerated</t>
        </is>
      </c>
      <c r="F43" s="13" t="n"/>
      <c r="G43" s="13" t="n"/>
      <c r="H43" s="13" t="n"/>
      <c r="I43" s="13" t="n"/>
      <c r="J43" s="13" t="n"/>
      <c r="K43" s="13" t="n"/>
      <c r="L43" s="13" t="n"/>
      <c r="M43" s="14" t="n"/>
    </row>
    <row r="44" ht="15" customHeight="1">
      <c r="B44" s="12" t="inlineStr">
        <is>
          <t>1040 Bayview (land)</t>
        </is>
      </c>
      <c r="D44" s="30" t="inlineStr">
        <is>
          <t>⚠️ reported</t>
        </is>
      </c>
      <c r="E44" s="12" t="inlineStr">
        <is>
          <t>Folio -0040; Florida YIMBY/Traded/BBX/Procacci; entitlement 259 units; BCPA market value reported not confirmed</t>
        </is>
      </c>
      <c r="F44" s="13" t="n"/>
      <c r="G44" s="13" t="n"/>
      <c r="H44" s="13" t="n"/>
      <c r="I44" s="13" t="n"/>
      <c r="J44" s="13" t="n"/>
      <c r="K44" s="13" t="n"/>
      <c r="L44" s="13" t="n"/>
      <c r="M44" s="14" t="n"/>
    </row>
    <row r="45" ht="15" customHeight="1">
      <c r="B45" s="40" t="inlineStr">
        <is>
          <t>BCPA (bcpa.net) was blocked from the build environment; ⚠️ items were sourced from web mirrors of the tax roll and must be confirmed at the county before close.</t>
        </is>
      </c>
      <c r="C45" s="13" t="n"/>
      <c r="D45" s="13" t="n"/>
      <c r="E45" s="13" t="n"/>
      <c r="F45" s="13" t="n"/>
      <c r="G45" s="13" t="n"/>
      <c r="H45" s="13" t="n"/>
      <c r="I45" s="13" t="n"/>
      <c r="J45" s="13" t="n"/>
      <c r="K45" s="13" t="n"/>
      <c r="L45" s="13" t="n"/>
      <c r="M45" s="14" t="n"/>
    </row>
    <row r="46"/>
    <row r="47">
      <c r="B47" s="11" t="inlineStr">
        <is>
          <t>KEY MARKET ASSUMPTIONS  (mid-2026, MODELED)</t>
        </is>
      </c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3" t="n"/>
    </row>
    <row r="48" ht="15" customHeight="1">
      <c r="B48" s="52" t="inlineStr">
        <is>
          <t>Retail rents</t>
        </is>
      </c>
      <c r="D48" s="12" t="inlineStr">
        <is>
          <t>in-line $32–55/SF NNN (Sunrise corridor $45–60); restaurant/end-cap $40–50/SF</t>
        </is>
      </c>
      <c r="E48" s="13" t="n"/>
      <c r="F48" s="13" t="n"/>
      <c r="G48" s="13" t="n"/>
      <c r="H48" s="13" t="n"/>
      <c r="I48" s="13" t="n"/>
      <c r="J48" s="13" t="n"/>
      <c r="K48" s="13" t="n"/>
      <c r="L48" s="13" t="n"/>
      <c r="M48" s="14" t="n"/>
    </row>
    <row r="49" ht="15" customHeight="1">
      <c r="B49" s="52" t="inlineStr">
        <is>
          <t>Publix / Starbucks</t>
        </is>
      </c>
      <c r="D49" s="12" t="inlineStr">
        <is>
          <t>grocery ~$13/SF NNN, cap 6.0–6.75%; Starbucks pad ~$60/SF, cap 4.75–5.5%</t>
        </is>
      </c>
      <c r="E49" s="13" t="n"/>
      <c r="F49" s="13" t="n"/>
      <c r="G49" s="13" t="n"/>
      <c r="H49" s="13" t="n"/>
      <c r="I49" s="13" t="n"/>
      <c r="J49" s="13" t="n"/>
      <c r="K49" s="13" t="n"/>
      <c r="L49" s="13" t="n"/>
      <c r="M49" s="14" t="n"/>
    </row>
    <row r="50" ht="15" customHeight="1">
      <c r="B50" s="52" t="inlineStr">
        <is>
          <t>Office</t>
        </is>
      </c>
      <c r="D50" s="12" t="inlineStr">
        <is>
          <t>small Class B/C ~$20–30/SF gross (~$15–24 NNN); cap 7.5–9.0%</t>
        </is>
      </c>
      <c r="E50" s="13" t="n"/>
      <c r="F50" s="13" t="n"/>
      <c r="G50" s="13" t="n"/>
      <c r="H50" s="13" t="n"/>
      <c r="I50" s="13" t="n"/>
      <c r="J50" s="13" t="n"/>
      <c r="K50" s="13" t="n"/>
      <c r="L50" s="13" t="n"/>
      <c r="M50" s="14" t="n"/>
    </row>
    <row r="51" ht="15" customHeight="1">
      <c r="B51" s="52" t="inlineStr">
        <is>
          <t>Retail caps</t>
        </is>
      </c>
      <c r="D51" s="12" t="inlineStr">
        <is>
          <t>stabilized strip 6.25–6.75%; value-add 7.25–8.0%; exit = going-in +25 bps</t>
        </is>
      </c>
      <c r="E51" s="13" t="n"/>
      <c r="F51" s="13" t="n"/>
      <c r="G51" s="13" t="n"/>
      <c r="H51" s="13" t="n"/>
      <c r="I51" s="13" t="n"/>
      <c r="J51" s="13" t="n"/>
      <c r="K51" s="13" t="n"/>
      <c r="L51" s="13" t="n"/>
      <c r="M51" s="14" t="n"/>
    </row>
    <row r="52" ht="15" customHeight="1">
      <c r="B52" s="52" t="inlineStr">
        <is>
          <t>Land</t>
        </is>
      </c>
      <c r="D52" s="12" t="inlineStr">
        <is>
          <t>Fort Lauderdale infill ~$248/SF (subject comps $228–255); Galleria bulk ~$53/SF</t>
        </is>
      </c>
      <c r="E52" s="13" t="n"/>
      <c r="F52" s="13" t="n"/>
      <c r="G52" s="13" t="n"/>
      <c r="H52" s="13" t="n"/>
      <c r="I52" s="13" t="n"/>
      <c r="J52" s="13" t="n"/>
      <c r="K52" s="13" t="n"/>
      <c r="L52" s="13" t="n"/>
      <c r="M52" s="14" t="n"/>
    </row>
    <row r="53" ht="15" customHeight="1">
      <c r="B53" s="52" t="inlineStr">
        <is>
          <t>Senior debt</t>
        </is>
      </c>
      <c r="D53" s="12" t="inlineStr">
        <is>
          <t>stabilized 5.75–7.0%, 60–75% LTV, DSCR 1.25–1.40x, debt yield 7–10%</t>
        </is>
      </c>
      <c r="E53" s="13" t="n"/>
      <c r="F53" s="13" t="n"/>
      <c r="G53" s="13" t="n"/>
      <c r="H53" s="13" t="n"/>
      <c r="I53" s="13" t="n"/>
      <c r="J53" s="13" t="n"/>
      <c r="K53" s="13" t="n"/>
      <c r="L53" s="13" t="n"/>
      <c r="M53" s="14" t="n"/>
    </row>
    <row r="54" ht="15" customHeight="1">
      <c r="B54" s="52" t="inlineStr">
        <is>
          <t>Covered-land cap</t>
        </is>
      </c>
      <c r="D54" s="12" t="inlineStr">
        <is>
          <t>in-place income cap ~3–5% — income covers carry, not a yield play</t>
        </is>
      </c>
      <c r="E54" s="13" t="n"/>
      <c r="F54" s="13" t="n"/>
      <c r="G54" s="13" t="n"/>
      <c r="H54" s="13" t="n"/>
      <c r="I54" s="13" t="n"/>
      <c r="J54" s="13" t="n"/>
      <c r="K54" s="13" t="n"/>
      <c r="L54" s="13" t="n"/>
      <c r="M54" s="14" t="n"/>
    </row>
    <row r="55"/>
    <row r="56">
      <c r="B56" s="11" t="inlineStr">
        <is>
          <t>COLOR  &amp;  FONT LEGEND</t>
        </is>
      </c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3" t="n"/>
    </row>
    <row r="57" ht="15" customHeight="1">
      <c r="B57" s="52" t="inlineStr">
        <is>
          <t>Blue on yellow</t>
        </is>
      </c>
      <c r="D57" s="12" t="inlineStr">
        <is>
          <t>hardcoded input — the only cells to change</t>
        </is>
      </c>
      <c r="E57" s="13" t="n"/>
      <c r="F57" s="13" t="n"/>
      <c r="G57" s="13" t="n"/>
      <c r="H57" s="13" t="n"/>
      <c r="I57" s="13" t="n"/>
      <c r="J57" s="13" t="n"/>
      <c r="K57" s="13" t="n"/>
      <c r="L57" s="13" t="n"/>
      <c r="M57" s="14" t="n"/>
    </row>
    <row r="58" ht="15" customHeight="1">
      <c r="B58" s="52" t="inlineStr">
        <is>
          <t>Black on white</t>
        </is>
      </c>
      <c r="D58" s="12" t="inlineStr">
        <is>
          <t>formula / calculation</t>
        </is>
      </c>
      <c r="E58" s="13" t="n"/>
      <c r="F58" s="13" t="n"/>
      <c r="G58" s="13" t="n"/>
      <c r="H58" s="13" t="n"/>
      <c r="I58" s="13" t="n"/>
      <c r="J58" s="13" t="n"/>
      <c r="K58" s="13" t="n"/>
      <c r="L58" s="13" t="n"/>
      <c r="M58" s="14" t="n"/>
    </row>
    <row r="59" ht="15" customHeight="1">
      <c r="B59" s="52" t="inlineStr">
        <is>
          <t>Green</t>
        </is>
      </c>
      <c r="D59" s="12" t="inlineStr">
        <is>
          <t>public-record verified fact or cross-sheet link</t>
        </is>
      </c>
      <c r="E59" s="13" t="n"/>
      <c r="F59" s="13" t="n"/>
      <c r="G59" s="13" t="n"/>
      <c r="H59" s="13" t="n"/>
      <c r="I59" s="13" t="n"/>
      <c r="J59" s="13" t="n"/>
      <c r="K59" s="13" t="n"/>
      <c r="L59" s="13" t="n"/>
      <c r="M59" s="14" t="n"/>
    </row>
    <row r="60" ht="15" customHeight="1">
      <c r="B60" s="52" t="inlineStr">
        <is>
          <t>Gold on navy / dark</t>
        </is>
      </c>
      <c r="D60" s="12" t="inlineStr">
        <is>
          <t>section header, total, KPI box, banner</t>
        </is>
      </c>
      <c r="E60" s="13" t="n"/>
      <c r="F60" s="13" t="n"/>
      <c r="G60" s="13" t="n"/>
      <c r="H60" s="13" t="n"/>
      <c r="I60" s="13" t="n"/>
      <c r="J60" s="13" t="n"/>
      <c r="K60" s="13" t="n"/>
      <c r="L60" s="13" t="n"/>
      <c r="M60" s="14" t="n"/>
    </row>
    <row r="61" ht="15" customHeight="1">
      <c r="B61" s="52" t="inlineStr">
        <is>
          <t>Orange / dark red</t>
        </is>
      </c>
      <c r="D61" s="12" t="inlineStr">
        <is>
          <t>warning, flag, or excluded-from note</t>
        </is>
      </c>
      <c r="E61" s="13" t="n"/>
      <c r="F61" s="13" t="n"/>
      <c r="G61" s="13" t="n"/>
      <c r="H61" s="13" t="n"/>
      <c r="I61" s="13" t="n"/>
      <c r="J61" s="13" t="n"/>
      <c r="K61" s="13" t="n"/>
      <c r="L61" s="13" t="n"/>
      <c r="M61" s="14" t="n"/>
    </row>
    <row r="62"/>
    <row r="63">
      <c r="B63" s="11" t="inlineStr">
        <is>
          <t>LIMITATIONS  &amp;  DISCLAIMERS</t>
        </is>
      </c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3" t="n"/>
    </row>
    <row r="64" ht="15" customHeight="1">
      <c r="B64" s="12" t="inlineStr">
        <is>
          <t>• Space-level rent rolls are estimated; no tenant-by-tenant lease abstracts (expirations, options, recovery type) were available. Replace with real leases in diligence.</t>
        </is>
      </c>
      <c r="C64" s="13" t="n"/>
      <c r="D64" s="13" t="n"/>
      <c r="E64" s="13" t="n"/>
      <c r="F64" s="13" t="n"/>
      <c r="G64" s="13" t="n"/>
      <c r="H64" s="13" t="n"/>
      <c r="I64" s="13" t="n"/>
      <c r="J64" s="13" t="n"/>
      <c r="K64" s="13" t="n"/>
      <c r="L64" s="13" t="n"/>
      <c r="M64" s="14" t="n"/>
    </row>
    <row r="65" ht="15" customHeight="1">
      <c r="B65" s="12" t="inlineStr">
        <is>
          <t>• Publix and the office-condo units are not listed for sale; they are modeled as acquisition cases. Publix is a fee owner, so its 'rent' is a mark-to-market, not contract income.</t>
        </is>
      </c>
      <c r="C65" s="13" t="n"/>
      <c r="D65" s="13" t="n"/>
      <c r="E65" s="13" t="n"/>
      <c r="F65" s="13" t="n"/>
      <c r="G65" s="13" t="n"/>
      <c r="H65" s="13" t="n"/>
      <c r="I65" s="13" t="n"/>
      <c r="J65" s="13" t="n"/>
      <c r="K65" s="13" t="n"/>
      <c r="L65" s="13" t="n"/>
      <c r="M65" s="14" t="n"/>
    </row>
    <row r="66" ht="15" customHeight="1">
      <c r="B66" s="12" t="inlineStr">
        <is>
          <t>• Property-tax reassessment is modeled to each asset's own price (FL rule); an assemblage purchase would reallocate basis and taxes across parcels.</t>
        </is>
      </c>
      <c r="C66" s="13" t="n"/>
      <c r="D66" s="13" t="n"/>
      <c r="E66" s="13" t="n"/>
      <c r="F66" s="13" t="n"/>
      <c r="G66" s="13" t="n"/>
      <c r="H66" s="13" t="n"/>
      <c r="I66" s="13" t="n"/>
      <c r="J66" s="13" t="n"/>
      <c r="K66" s="13" t="n"/>
      <c r="L66" s="13" t="n"/>
      <c r="M66" s="14" t="n"/>
    </row>
    <row r="67" ht="15" customHeight="1">
      <c r="B67" s="12" t="inlineStr">
        <is>
          <t>• Returns exclude any LP/GP promote/waterfall, transfer taxes, and portfolio-level G&amp;A. This is a screening model, not a closing model.</t>
        </is>
      </c>
      <c r="C67" s="13" t="n"/>
      <c r="D67" s="13" t="n"/>
      <c r="E67" s="13" t="n"/>
      <c r="F67" s="13" t="n"/>
      <c r="G67" s="13" t="n"/>
      <c r="H67" s="13" t="n"/>
      <c r="I67" s="13" t="n"/>
      <c r="J67" s="13" t="n"/>
      <c r="K67" s="13" t="n"/>
      <c r="L67" s="13" t="n"/>
      <c r="M67" s="14" t="n"/>
    </row>
    <row r="68" ht="15" customHeight="1">
      <c r="B68" s="12" t="inlineStr">
        <is>
          <t>• All figures are estimates for internal evaluation only and are not an appraisal, an offer, or investment advice. Confirm all ⚠️ REPORTED data at the county before relying on it.</t>
        </is>
      </c>
      <c r="C68" s="13" t="n"/>
      <c r="D68" s="13" t="n"/>
      <c r="E68" s="13" t="n"/>
      <c r="F68" s="13" t="n"/>
      <c r="G68" s="13" t="n"/>
      <c r="H68" s="13" t="n"/>
      <c r="I68" s="13" t="n"/>
      <c r="J68" s="13" t="n"/>
      <c r="K68" s="13" t="n"/>
      <c r="L68" s="13" t="n"/>
      <c r="M68" s="14" t="n"/>
    </row>
  </sheetData>
  <mergeCells count="60">
    <mergeCell ref="B2:M2"/>
    <mergeCell ref="B11:M11"/>
    <mergeCell ref="C34:M34"/>
    <mergeCell ref="D18:M18"/>
    <mergeCell ref="D58:M58"/>
    <mergeCell ref="B67:M67"/>
    <mergeCell ref="B8:M8"/>
    <mergeCell ref="D30:M30"/>
    <mergeCell ref="E40:M40"/>
    <mergeCell ref="D15:M15"/>
    <mergeCell ref="B1:M1"/>
    <mergeCell ref="B13:M13"/>
    <mergeCell ref="D24:M24"/>
    <mergeCell ref="D51:M51"/>
    <mergeCell ref="D14:M14"/>
    <mergeCell ref="D29:M29"/>
    <mergeCell ref="D23:M23"/>
    <mergeCell ref="C35:M35"/>
    <mergeCell ref="B10:M10"/>
    <mergeCell ref="D54:M54"/>
    <mergeCell ref="D50:M50"/>
    <mergeCell ref="D59:M59"/>
    <mergeCell ref="D60:M60"/>
    <mergeCell ref="D20:M20"/>
    <mergeCell ref="B9:M9"/>
    <mergeCell ref="B65:M65"/>
    <mergeCell ref="B68:M68"/>
    <mergeCell ref="D19:M19"/>
    <mergeCell ref="B6:M6"/>
    <mergeCell ref="B64:M64"/>
    <mergeCell ref="B33:M33"/>
    <mergeCell ref="E41:M41"/>
    <mergeCell ref="D22:M22"/>
    <mergeCell ref="B5:M5"/>
    <mergeCell ref="B45:M45"/>
    <mergeCell ref="B63:M63"/>
    <mergeCell ref="D52:M52"/>
    <mergeCell ref="D21:M21"/>
    <mergeCell ref="B26:M26"/>
    <mergeCell ref="C36:M36"/>
    <mergeCell ref="D57:M57"/>
    <mergeCell ref="B4:M4"/>
    <mergeCell ref="E43:M43"/>
    <mergeCell ref="D49:M49"/>
    <mergeCell ref="B47:M47"/>
    <mergeCell ref="B7:M7"/>
    <mergeCell ref="D61:M61"/>
    <mergeCell ref="E42:M42"/>
    <mergeCell ref="D48:M48"/>
    <mergeCell ref="D17:M17"/>
    <mergeCell ref="B31:M31"/>
    <mergeCell ref="B66:M66"/>
    <mergeCell ref="D53:M53"/>
    <mergeCell ref="E39:M39"/>
    <mergeCell ref="D16:M16"/>
    <mergeCell ref="B27:M27"/>
    <mergeCell ref="B56:M56"/>
    <mergeCell ref="C37:M37"/>
    <mergeCell ref="D28:M28"/>
    <mergeCell ref="E44:M44"/>
  </mergeCells>
  <printOptions horizontalCentered="1"/>
  <pageMargins left="0.3" right="0.3" top="0.4" bottom="0.4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2026-07-22T18:41:14Z</dcterms:created>
  <dcterms:modified xsi:type="dcterms:W3CDTF">2026-07-22T18:41:16Z</dcterms:modified>
</cp:coreProperties>
</file>