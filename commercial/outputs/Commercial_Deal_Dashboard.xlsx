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Key Conclusions" sheetId="2" r:id="rId2"/>
    <sheet name="Assumptions" sheetId="3" r:id="rId3"/>
    <sheet name="Submarkets" sheetId="4" r:id="rId4"/>
    <sheet name="Types" sheetId="5" r:id="rId5"/>
    <sheet name="Repricing" sheetId="6" r:id="rId6"/>
    <sheet name="Opportunities" sheetId="7" r:id="rId7"/>
    <sheet name="Absorption" sheetId="8" r:id="rId8"/>
    <sheet name="Prospects" sheetId="9" r:id="rId9"/>
    <sheet name="Comps" sheetId="10" r:id="rId10"/>
    <sheet name="Scenario" sheetId="11" r:id="rId11"/>
  </sheets>
  <calcPr calcId="124519" fullCalcOnLoad="1"/>
</workbook>
</file>

<file path=xl/sharedStrings.xml><?xml version="1.0" encoding="utf-8"?>
<sst xmlns="http://schemas.openxmlformats.org/spreadsheetml/2006/main" count="862" uniqueCount="360">
  <si>
    <t>Commercial Deal Dashboard — Fort Lauderdale</t>
  </si>
  <si>
    <t>Sources: com_active.csv, com_cancelled.csv, com_closed_pending_rented.csv. No income in source — income metrics are assumption-driven (see Assumptions tab). Click a tab.</t>
  </si>
  <si>
    <t>Key Conclusions</t>
  </si>
  <si>
    <t>Headline takeaways.</t>
  </si>
  <si>
    <t>Assumptions</t>
  </si>
  <si>
    <t>Editable income norms by asset type — the gap-fill.</t>
  </si>
  <si>
    <t>Submarkets</t>
  </si>
  <si>
    <t>Normalized $/SqFt by MLS area, ranked.</t>
  </si>
  <si>
    <t>Types</t>
  </si>
  <si>
    <t>$/SqFt + assumed income by asset class.</t>
  </si>
  <si>
    <t>Repricing</t>
  </si>
  <si>
    <t>Live inventory: $/SqFt &amp; income mispricing.</t>
  </si>
  <si>
    <t>Opportunities</t>
  </si>
  <si>
    <t>Underpriced buy list (default assumptions).</t>
  </si>
  <si>
    <t>Absorption</t>
  </si>
  <si>
    <t>Months of supply by submarket &amp; type.</t>
  </si>
  <si>
    <t>Prospects</t>
  </si>
  <si>
    <t>Failed listings + overpriced actives.</t>
  </si>
  <si>
    <t>Comps</t>
  </si>
  <si>
    <t>The closed sales behind the numbers.</t>
  </si>
  <si>
    <t>Scenario</t>
  </si>
  <si>
    <t>Live underwriting — NOI built from assumptions.</t>
  </si>
  <si>
    <t>Key conclusions</t>
  </si>
  <si>
    <t>•</t>
  </si>
  <si>
    <t>No income in the source MLS export — every NOI/cap/return here is derived from the editable assumptions (Assumptions tab &amp; dashboard). This is pricing &amp; screening, not appraisal.</t>
  </si>
  <si>
    <t>984 listings, 331 sale comps (69 closed). Normalized $/SqFt fit R²=0.585; market-wide $182/SqFt.</t>
  </si>
  <si>
    <t>Priciest area: Area 3600 $268/SqFt; cheapest: Area 3160 $99/SqFt.</t>
  </si>
  <si>
    <t>Live inventory at default assumptions: 20 underpriced / 26 overpriced of 56 — flags move as you tune.</t>
  </si>
  <si>
    <t>Prospecting: 206 failed listings + 25 overpriced actives to call.</t>
  </si>
  <si>
    <t>Seed underwrite (Multifamily, $1.80M, $18/SqFt rent): NOI $132K, going-in cap 7.31%, DSCR 1.47×, 5-yr IRR 22.5%, EM 2.57×. Model it live on the Scenario tab.</t>
  </si>
  <si>
    <t>Income assumptions (edit the yellow cells)</t>
  </si>
  <si>
    <t>The export has no income. These per-asset-class norms turn size into NOI. Implied cap = NOI ÷ price on the type's median $/SqFt; it recomputes when you edit an input.</t>
  </si>
  <si>
    <t>Asset type</t>
  </si>
  <si>
    <t>Median $/SqFt</t>
  </si>
  <si>
    <t>Rent $/SqFt</t>
  </si>
  <si>
    <t>Vacancy %</t>
  </si>
  <si>
    <t>Opex % EGI</t>
  </si>
  <si>
    <t>Market cap %</t>
  </si>
  <si>
    <t>Implied cap</t>
  </si>
  <si>
    <t>Multifamily</t>
  </si>
  <si>
    <t>Office</t>
  </si>
  <si>
    <t>Retail</t>
  </si>
  <si>
    <t>Industrial</t>
  </si>
  <si>
    <t>Mixed Use</t>
  </si>
  <si>
    <t>Hotel</t>
  </si>
  <si>
    <t>Restaurant</t>
  </si>
  <si>
    <t>Flex</t>
  </si>
  <si>
    <t>Special Purpose</t>
  </si>
  <si>
    <t>Commercial (other)</t>
  </si>
  <si>
    <t>Submarkets — normalized $/SqFt</t>
  </si>
  <si>
    <t>Size/age/type/closed-vs-listed removed.</t>
  </si>
  <si>
    <t>Submarket</t>
  </si>
  <si>
    <t>Norm $/SqFt</t>
  </si>
  <si>
    <t>vs city %</t>
  </si>
  <si>
    <t>Median price</t>
  </si>
  <si>
    <t>Top type</t>
  </si>
  <si>
    <t>Mo supply</t>
  </si>
  <si>
    <t>Fail %</t>
  </si>
  <si>
    <t>Stance</t>
  </si>
  <si>
    <t>Area 3600</t>
  </si>
  <si>
    <t>Neutral</t>
  </si>
  <si>
    <t>Area 3810</t>
  </si>
  <si>
    <t>—</t>
  </si>
  <si>
    <t>Area 3380</t>
  </si>
  <si>
    <t>Area 3370</t>
  </si>
  <si>
    <t>Area 3500</t>
  </si>
  <si>
    <t>Area 3800</t>
  </si>
  <si>
    <t>Area 3470</t>
  </si>
  <si>
    <t>Area 3460</t>
  </si>
  <si>
    <t>Area 3160</t>
  </si>
  <si>
    <t>Asset types — $/SqFt &amp; assumed income</t>
  </si>
  <si>
    <t>Median $/SqFt (factual) + default assumptions.</t>
  </si>
  <si>
    <t>Type</t>
  </si>
  <si>
    <t>n</t>
  </si>
  <si>
    <t>Sold</t>
  </si>
  <si>
    <t>Vac</t>
  </si>
  <si>
    <t>Opex</t>
  </si>
  <si>
    <t>Mkt cap</t>
  </si>
  <si>
    <t>Repricing live inventory</t>
  </si>
  <si>
    <t>Income flags use DEFAULT assumptions — tune live in the dashboard.</t>
  </si>
  <si>
    <t>Address</t>
  </si>
  <si>
    <t>Area</t>
  </si>
  <si>
    <t>Asking</t>
  </si>
  <si>
    <t>$/SqFt</t>
  </si>
  <si>
    <t>vs comp</t>
  </si>
  <si>
    <t>Impl cap</t>
  </si>
  <si>
    <t>Value</t>
  </si>
  <si>
    <t>Gap</t>
  </si>
  <si>
    <t>Flag</t>
  </si>
  <si>
    <t>2455 E Sunrise Blvd Unit#CU9J</t>
  </si>
  <si>
    <t>Area 3260</t>
  </si>
  <si>
    <t>Underpriced</t>
  </si>
  <si>
    <t>1313 S Andrews Avenue</t>
  </si>
  <si>
    <t>1225 SE 2nd Avenue</t>
  </si>
  <si>
    <t>701 W Las Olas Boulevard</t>
  </si>
  <si>
    <t>1518-1522 NE 4th Ave</t>
  </si>
  <si>
    <t>2001-2007 NW 21st Ave</t>
  </si>
  <si>
    <t>Area 3560</t>
  </si>
  <si>
    <t>355 NW 32nd St Unit#1-6</t>
  </si>
  <si>
    <t>Area 3720</t>
  </si>
  <si>
    <t>423 SE 19th St</t>
  </si>
  <si>
    <t>1026 NW 9th Ave</t>
  </si>
  <si>
    <t>Area 3424</t>
  </si>
  <si>
    <t>201 SE 19th Street</t>
  </si>
  <si>
    <t>834 NW 10th Terr</t>
  </si>
  <si>
    <t>100 SE 21st Street Unit#1-8</t>
  </si>
  <si>
    <t>1100 NW 4th Street</t>
  </si>
  <si>
    <t>Area 3480</t>
  </si>
  <si>
    <t>2209 NE 26th St</t>
  </si>
  <si>
    <t>1021 NW 1st Street</t>
  </si>
  <si>
    <t>1126 SE 2nd Ave</t>
  </si>
  <si>
    <t>751 NW 5th Street</t>
  </si>
  <si>
    <t>848 NW 2nd Ave</t>
  </si>
  <si>
    <t>505 SE 16th St</t>
  </si>
  <si>
    <t>325 SW 26th Street</t>
  </si>
  <si>
    <t>Fair</t>
  </si>
  <si>
    <t>1111 SW 4th St</t>
  </si>
  <si>
    <t>212 SE 8th Street</t>
  </si>
  <si>
    <t>1901 SE 4th Avenue</t>
  </si>
  <si>
    <t>700 NE 13th Street</t>
  </si>
  <si>
    <t>1225 NE 15th Ave Unit#1-9</t>
  </si>
  <si>
    <t>1110 NW 7th Avenue</t>
  </si>
  <si>
    <t>Area 3390</t>
  </si>
  <si>
    <t>1536 NW 6th Street</t>
  </si>
  <si>
    <t>842 NW 1st Ave</t>
  </si>
  <si>
    <t>201 SW 21st St</t>
  </si>
  <si>
    <t>2401 NW 9th Ave Unit#1-8</t>
  </si>
  <si>
    <t>Area 3010</t>
  </si>
  <si>
    <t>Overpriced</t>
  </si>
  <si>
    <t>929 NE 17th Way</t>
  </si>
  <si>
    <t>1400 S Federal Highway</t>
  </si>
  <si>
    <t>1327 SE 2nd Ave</t>
  </si>
  <si>
    <t>101-105 SE 26 Street</t>
  </si>
  <si>
    <t>Area 3570</t>
  </si>
  <si>
    <t>101-105 SE 26th Street</t>
  </si>
  <si>
    <t>620 SW 7th St Unit#1-6</t>
  </si>
  <si>
    <t>2617 NE 13th Court</t>
  </si>
  <si>
    <t>3015 N Ocean Boulevard Unit#C1-C8</t>
  </si>
  <si>
    <t>2745 E Oakland Park Boulevard</t>
  </si>
  <si>
    <t>Area 3250</t>
  </si>
  <si>
    <t>749 NE 16th Avenue</t>
  </si>
  <si>
    <t>1210 NE 8th Ave</t>
  </si>
  <si>
    <t>804-810 NE 4th Avenue Unit#804, 805 &amp; 810</t>
  </si>
  <si>
    <t>1200 S Federal Hwy</t>
  </si>
  <si>
    <t>15 NW 9th Ave</t>
  </si>
  <si>
    <t>3001 NE 6 Avenue</t>
  </si>
  <si>
    <t>1730 NE 7th St Unit#1-5</t>
  </si>
  <si>
    <t>Area 3270</t>
  </si>
  <si>
    <t>815 NE 13th Street</t>
  </si>
  <si>
    <t>200 S Andrews Ave Unit#503</t>
  </si>
  <si>
    <t>1143 NE 7th Ave</t>
  </si>
  <si>
    <t>1083 SE 17th St</t>
  </si>
  <si>
    <t>2500 Wilton Dr</t>
  </si>
  <si>
    <t>637 NE 4th Ave</t>
  </si>
  <si>
    <t>114 NW 5th Street</t>
  </si>
  <si>
    <t>431 NW 1st Avenue</t>
  </si>
  <si>
    <t>901 Sunrise Lane</t>
  </si>
  <si>
    <t>Underpriced opportunities</t>
  </si>
  <si>
    <t>Income basis, default assumptions. 'Why' explains each.</t>
  </si>
  <si>
    <t>Why</t>
  </si>
  <si>
    <t>implied cap 16.08% vs 7.00% market (given assumed rents); 36% under comp $/sqft; asking ~56% below assumption value ($5.40M)</t>
  </si>
  <si>
    <t>implied cap 17.36% vs 8.00% market (given assumed rents); asking ~54% below assumption value ($4.33M)</t>
  </si>
  <si>
    <t>implied cap 14.70% vs 7.00% market (given assumed rents); 34% under comp $/sqft; asking ~52% below assumption value ($3.99M)</t>
  </si>
  <si>
    <t>implied cap 13.75% vs 6.75% market (given assumed rents); 42% under comp $/sqft; asking ~51% below assumption value ($1.53M)</t>
  </si>
  <si>
    <t>implied cap 13.03% vs 6.75% market (given assumed rents); 59% under comp $/sqft; asking ~48% below assumption value ($1.54M)</t>
  </si>
  <si>
    <t>implied cap 10.42% vs 5.50% market (given assumed rents); 55% under comp $/sqft; asking ~47% below assumption value ($2.46M)</t>
  </si>
  <si>
    <t>implied cap 13.61% vs 8.00% market (given assumed rents); 10% under comp $/sqft; asking ~41% below assumption value ($1.36M)</t>
  </si>
  <si>
    <t>implied cap 10.61% vs 6.75% market (given assumed rents); 25% under comp $/sqft; asking ~36% below assumption value ($1.65M)</t>
  </si>
  <si>
    <t>implied cap 10.59% vs 7.00% market (given assumed rents); 54% under comp $/sqft; asking ~34% below assumption value ($1.32M)</t>
  </si>
  <si>
    <t>implied cap 9.34% vs 6.25% market (given assumed rents); 27% under comp $/sqft; asking ~33% below assumption value ($2.62M)</t>
  </si>
  <si>
    <t>implied cap 8.02% vs 5.50% market (given assumed rents); 33% under comp $/sqft; asking ~31% below assumption value ($2.55M)</t>
  </si>
  <si>
    <t>implied cap 10.02% vs 7.00% market (given assumed rents); 21% under comp $/sqft; asking ~30% below assumption value ($4.15M)</t>
  </si>
  <si>
    <t>implied cap 12.11% vs 8.50% market (given assumed rents); asking ~30% below assumption value ($11.39M)</t>
  </si>
  <si>
    <t>implied cap 9.73% vs 7.00% market (given assumed rents); 44% under comp $/sqft; asking ~28% below assumption value ($1.36M)</t>
  </si>
  <si>
    <t>implied cap 9.32% vs 6.75% market (given assumed rents); 36% under comp $/sqft; asking ~28% below assumption value ($1.52M)</t>
  </si>
  <si>
    <t>implied cap 7.10% vs 5.50% market (given assumed rents); 15% under comp $/sqft; asking ~22% below assumption value ($1.81M)</t>
  </si>
  <si>
    <t>implied cap 6.79% vs 5.50% market (given assumed rents); 64% under comp $/sqft; asking ~19% below assumption value ($1.20M)</t>
  </si>
  <si>
    <t>implied cap 9.51% vs 8.50% market (given assumed rents); 25% under comp $/sqft; asking ~11% below assumption value ($6.71M)</t>
  </si>
  <si>
    <t>Absorption &amp; segments</t>
  </si>
  <si>
    <t>Months of supply = live / (closed per month); closed assumed to span 18 months (no dates in export — set CRE_SOLD_MONTHS).</t>
  </si>
  <si>
    <t>Live</t>
  </si>
  <si>
    <t>Prospecting</t>
  </si>
  <si>
    <t>Failed listings (motivated owners) + failure rate by type.</t>
  </si>
  <si>
    <t>Last ask</t>
  </si>
  <si>
    <t>Comp $/SqFt</t>
  </si>
  <si>
    <t>Overpricing</t>
  </si>
  <si>
    <t>2881 E Oakland Park Blvd</t>
  </si>
  <si>
    <t>955 S Federal Hwy</t>
  </si>
  <si>
    <t>Area 3040</t>
  </si>
  <si>
    <t>2200 N Ocean Blvd Unit#CU3</t>
  </si>
  <si>
    <t>202 NW 14th Ave Unit#202</t>
  </si>
  <si>
    <t>125 N Birch Road</t>
  </si>
  <si>
    <t>Area 3170</t>
  </si>
  <si>
    <t>347 N Birch Road</t>
  </si>
  <si>
    <t>850 NE 13th Street Unit#A-D</t>
  </si>
  <si>
    <t>3020 + 3024 Seville St</t>
  </si>
  <si>
    <t>Area 3130</t>
  </si>
  <si>
    <t>1827 Middle River Drive</t>
  </si>
  <si>
    <t>Area 3350</t>
  </si>
  <si>
    <t>2000 S Federal Highway</t>
  </si>
  <si>
    <t>1147 Seabreeze Boulevard</t>
  </si>
  <si>
    <t>3086 Harbor Dr</t>
  </si>
  <si>
    <t>511 SE 5th Ave Unit#101/102</t>
  </si>
  <si>
    <t>925 W Broward Blvd</t>
  </si>
  <si>
    <t>2100 Miami Road</t>
  </si>
  <si>
    <t>900 Sunrise Lane</t>
  </si>
  <si>
    <t>Area 3280</t>
  </si>
  <si>
    <t>1995 E Oakland Park Blvd</t>
  </si>
  <si>
    <t>Area 3360</t>
  </si>
  <si>
    <t>3005 Alhambra St</t>
  </si>
  <si>
    <t>511 SE 5th Ave Unit#11</t>
  </si>
  <si>
    <t>2826 E Oakland Park Blvd</t>
  </si>
  <si>
    <t>Area 30</t>
  </si>
  <si>
    <t>425 NE 8th St</t>
  </si>
  <si>
    <t>991 E Oakland Park Blvd</t>
  </si>
  <si>
    <t>1122 W Broward Boulevard</t>
  </si>
  <si>
    <t>616-626 SW 14th Ave</t>
  </si>
  <si>
    <t>200 S Andrews Ave Unit#602</t>
  </si>
  <si>
    <t>520 Orton Ave Unit#201, 204, 403</t>
  </si>
  <si>
    <t>2724 NE 14th Street</t>
  </si>
  <si>
    <t>3100 SE 6th Avenue</t>
  </si>
  <si>
    <t>2724 NE 14th St</t>
  </si>
  <si>
    <t>1843 S Federal Highway</t>
  </si>
  <si>
    <t>645 NE 4th Avenue</t>
  </si>
  <si>
    <t>Area 3700</t>
  </si>
  <si>
    <t>Closed comps</t>
  </si>
  <si>
    <t>The closed sales behind every $/SqFt number.</t>
  </si>
  <si>
    <t>SqFt</t>
  </si>
  <si>
    <t>Built</t>
  </si>
  <si>
    <t>Price</t>
  </si>
  <si>
    <t>vs model</t>
  </si>
  <si>
    <t>708 Spangler Blvd Unit#BAY7</t>
  </si>
  <si>
    <t>Area 3050</t>
  </si>
  <si>
    <t>2300 NW 6th St</t>
  </si>
  <si>
    <t>Area 3120</t>
  </si>
  <si>
    <t>525 Antioch Avenue</t>
  </si>
  <si>
    <t>3015 N Ocean Boulevard Unit#C-105</t>
  </si>
  <si>
    <t>3015 N Ocean Blvd Unit#C120</t>
  </si>
  <si>
    <t>3015 N Ocean Boulevard Unit#C-101</t>
  </si>
  <si>
    <t>2615 SW 2nd Ave</t>
  </si>
  <si>
    <t>Area 3213</t>
  </si>
  <si>
    <t>1800 NW 9th Ave</t>
  </si>
  <si>
    <t>2780 E Oakland Park Boulevard</t>
  </si>
  <si>
    <t>2901 Middle River Drive</t>
  </si>
  <si>
    <t>16-20 NE 8th Avenue</t>
  </si>
  <si>
    <t>921 NE 16th Terrace</t>
  </si>
  <si>
    <t>1007 SE 2nd Court</t>
  </si>
  <si>
    <t>1521 SE 2nd Ct Unit#1-8</t>
  </si>
  <si>
    <t>560 NE 15th Avenue</t>
  </si>
  <si>
    <t>1310 NE 30th St Unit#1-5</t>
  </si>
  <si>
    <t>Area 3330</t>
  </si>
  <si>
    <t>1620 NE 12th Terrace Unit#1620-1630</t>
  </si>
  <si>
    <t>1823 - 1825 SW 1st Ave</t>
  </si>
  <si>
    <t>2300 NE 6th Avenue</t>
  </si>
  <si>
    <t>1515 NE 26th Street</t>
  </si>
  <si>
    <t>901 NE 30th Court</t>
  </si>
  <si>
    <t>2435 N Dixie Hwy</t>
  </si>
  <si>
    <t>2435 N Dixie Highway</t>
  </si>
  <si>
    <t>3031 NE 21st Ter Unit#1-7</t>
  </si>
  <si>
    <t>2132-2200 E Oakland Park Boulevard</t>
  </si>
  <si>
    <t>2420-2426 N Dixie Hwy</t>
  </si>
  <si>
    <t>2520 N Dixie Highway</t>
  </si>
  <si>
    <t>2032 NE 26th Street Unit#1-6</t>
  </si>
  <si>
    <t>1200 NE 7th Avenue Unit#6</t>
  </si>
  <si>
    <t>1350 NE 5th Ter Unit#1-28</t>
  </si>
  <si>
    <t>2010 Wilton Dr</t>
  </si>
  <si>
    <t>1215-1221 NE 17th Avenue</t>
  </si>
  <si>
    <t>1241 NE 16th Terrace</t>
  </si>
  <si>
    <t>1129 NE 16th Avenue Unit#1-5</t>
  </si>
  <si>
    <t>1200 NE 7th Avenue Unit#1</t>
  </si>
  <si>
    <t>1211 NE 4th Avenue</t>
  </si>
  <si>
    <t>Area 3400</t>
  </si>
  <si>
    <t>1100 NE 4th Ave Unit#1-2</t>
  </si>
  <si>
    <t>723 NW 6th Avenue</t>
  </si>
  <si>
    <t>Area 3450</t>
  </si>
  <si>
    <t>401 E Oakland Park Blvd</t>
  </si>
  <si>
    <t>701 NW 7th Terrace</t>
  </si>
  <si>
    <t>1448 NW 6th Street</t>
  </si>
  <si>
    <t>828 NW 1st St</t>
  </si>
  <si>
    <t>111 W Davie Boulevard</t>
  </si>
  <si>
    <t>1415 SW 1st Street Unit#1-8</t>
  </si>
  <si>
    <t>1851 SW 2nd Ave Unit#8</t>
  </si>
  <si>
    <t>1320 SW 26th St</t>
  </si>
  <si>
    <t>Area 3490</t>
  </si>
  <si>
    <t>1620 SW 3 Avenue</t>
  </si>
  <si>
    <t>516 SW Flagler Avenue</t>
  </si>
  <si>
    <t>515 SW 1st Avenue</t>
  </si>
  <si>
    <t>632 SW 4th Avenue</t>
  </si>
  <si>
    <t>708 SE 17th Street</t>
  </si>
  <si>
    <t>2301 S Andrews Avenue</t>
  </si>
  <si>
    <t>1085 SE 17th St</t>
  </si>
  <si>
    <t>1085 SE 17th Street</t>
  </si>
  <si>
    <t>601 NW 22 RD</t>
  </si>
  <si>
    <t>Area 3650</t>
  </si>
  <si>
    <t>735 &amp; 745 NE &amp; 745 5th Avenue Unit#1-5</t>
  </si>
  <si>
    <t>201 SE 2nd Street</t>
  </si>
  <si>
    <t>412 N Andrews Ave</t>
  </si>
  <si>
    <t>1514 NE 4th Avenue</t>
  </si>
  <si>
    <t>1133 SE 4th Avenue</t>
  </si>
  <si>
    <t>412 SE 13th Street</t>
  </si>
  <si>
    <t>130 SE 29th Street</t>
  </si>
  <si>
    <t>1314 SE 1st Ave</t>
  </si>
  <si>
    <t>100 SE 20th Street</t>
  </si>
  <si>
    <t>217 SE 10th St</t>
  </si>
  <si>
    <t>215 SW 17th St</t>
  </si>
  <si>
    <t>808 W Broward Boulevard</t>
  </si>
  <si>
    <t>721 NW 3rd Ave</t>
  </si>
  <si>
    <t>2901 SW 3rd Ave Unit#4</t>
  </si>
  <si>
    <t>Unknown</t>
  </si>
  <si>
    <t>Underwrite — Multifamily deal (edit the yellow cells)</t>
  </si>
  <si>
    <t>NOI is BUILT from the income assumptions (no income in the source). Change any yellow input — rents, cap, LTV, rate, exit — and every output plus the 10-yr cash flow and exit-cap sensitivity recompute.</t>
  </si>
  <si>
    <t>DEAL</t>
  </si>
  <si>
    <t>Purchase price ($)</t>
  </si>
  <si>
    <t>Size (SqFt)</t>
  </si>
  <si>
    <t>INCOME ASSUMPTIONS</t>
  </si>
  <si>
    <t>Rent $/SqFt/yr</t>
  </si>
  <si>
    <t>Vacancy (%)</t>
  </si>
  <si>
    <t>Opex (% of EGI)</t>
  </si>
  <si>
    <t>Market cap (%)</t>
  </si>
  <si>
    <t>FINANCING</t>
  </si>
  <si>
    <t>Loan-to-value (%)</t>
  </si>
  <si>
    <t>Interest rate (%)</t>
  </si>
  <si>
    <t>Amortization (yrs)</t>
  </si>
  <si>
    <t>Rate shift (bps)</t>
  </si>
  <si>
    <t>EXIT &amp; GROWTH</t>
  </si>
  <si>
    <t>Exit cap (%)</t>
  </si>
  <si>
    <t>Rent growth (%/yr)</t>
  </si>
  <si>
    <t>Expense growth (%/yr)</t>
  </si>
  <si>
    <t>Hold (yrs, ≤10)</t>
  </si>
  <si>
    <t>Selling costs (%)</t>
  </si>
  <si>
    <t>Acquisition costs (%)</t>
  </si>
  <si>
    <t>LIVE OUTPUTS</t>
  </si>
  <si>
    <t>In-place EGI</t>
  </si>
  <si>
    <t>In-place NOI</t>
  </si>
  <si>
    <t>Going-in cap</t>
  </si>
  <si>
    <t>Value @ market cap</t>
  </si>
  <si>
    <t>Effective rate</t>
  </si>
  <si>
    <t>Loan</t>
  </si>
  <si>
    <t>Equity (incl. costs)</t>
  </si>
  <si>
    <t>Annual debt service</t>
  </si>
  <si>
    <t>DSCR</t>
  </si>
  <si>
    <t>Debt yield</t>
  </si>
  <si>
    <t>Year-1 cash-on-cash</t>
  </si>
  <si>
    <t>Exit NOI (@ hold)</t>
  </si>
  <si>
    <t>Exit value</t>
  </si>
  <si>
    <t>Loan balance @ exit</t>
  </si>
  <si>
    <t>Net sale proceeds</t>
  </si>
  <si>
    <t>Levered IRR</t>
  </si>
  <si>
    <t>Equity multiple</t>
  </si>
  <si>
    <t>10-year levered cash flow</t>
  </si>
  <si>
    <t>Year</t>
  </si>
  <si>
    <t>EGI</t>
  </si>
  <si>
    <t>Expenses</t>
  </si>
  <si>
    <t>NOI</t>
  </si>
  <si>
    <t>Debt service</t>
  </si>
  <si>
    <t>Op cash flow</t>
  </si>
  <si>
    <t>Levered CF</t>
  </si>
  <si>
    <t>Sensitivity to exit cap</t>
  </si>
  <si>
    <t>Exit cap</t>
  </si>
  <si>
    <t>Net proceeds</t>
  </si>
</sst>
</file>

<file path=xl/styles.xml><?xml version="1.0" encoding="utf-8"?>
<styleSheet xmlns="http://schemas.openxmlformats.org/spreadsheetml/2006/main">
  <numFmts count="8">
    <numFmt numFmtId="164" formatCode="$#,##0"/>
    <numFmt numFmtId="165" formatCode="0%"/>
    <numFmt numFmtId="166" formatCode="0.00%"/>
    <numFmt numFmtId="167" formatCode="+0.0;-0.0"/>
    <numFmt numFmtId="168" formatCode="0.0"/>
    <numFmt numFmtId="169" formatCode="#,##0"/>
    <numFmt numFmtId="170" formatCode="0.00&quot;×&quot;"/>
    <numFmt numFmtId="171" formatCode="0.0%"/>
  </numFmts>
  <fonts count="7">
    <font>
      <sz val="11"/>
      <color theme="1"/>
      <name val="Calibri"/>
      <family val="2"/>
      <scheme val="minor"/>
    </font>
    <font>
      <b/>
      <sz val="16"/>
      <color rgb="FF1F2A37"/>
      <name val="Calibri"/>
      <family val="2"/>
      <scheme val="minor"/>
    </font>
    <font>
      <i/>
      <sz val="10"/>
      <color rgb="FF7A786F"/>
      <name val="Calibri"/>
      <family val="2"/>
      <scheme val="minor"/>
    </font>
    <font>
      <b/>
      <u/>
      <sz val="11"/>
      <color rgb="FF2F6F9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7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2F6F9F"/>
        <bgColor indexed="64"/>
      </patternFill>
    </fill>
    <fill>
      <patternFill patternType="solid">
        <fgColor rgb="FFEEF5FC"/>
        <bgColor indexed="64"/>
      </patternFill>
    </fill>
  </fills>
  <borders count="5">
    <border>
      <left/>
      <right/>
      <top/>
      <bottom/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thin">
        <color rgb="FFECEBE4"/>
      </left>
      <right style="thin">
        <color rgb="FFECEBE4"/>
      </right>
      <top style="thin">
        <color rgb="FFECEBE4"/>
      </top>
      <bottom style="thin">
        <color rgb="FFECEBE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CF9A"/>
      </left>
      <right style="thin">
        <color rgb="FFD9CF9A"/>
      </right>
      <top style="thin">
        <color rgb="FFD9CF9A"/>
      </top>
      <bottom style="thin">
        <color rgb="FFD9CF9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1" xfId="0" applyFont="1" applyBorder="1"/>
    <xf numFmtId="0" fontId="0" fillId="0" borderId="2" xfId="0" applyBorder="1" applyAlignment="1">
      <alignment vertical="top" wrapText="1"/>
    </xf>
    <xf numFmtId="0" fontId="4" fillId="0" borderId="1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2" xfId="0" applyNumberFormat="1" applyBorder="1" applyAlignment="1">
      <alignment horizontal="right"/>
    </xf>
    <xf numFmtId="164" fontId="0" fillId="3" borderId="4" xfId="0" applyNumberFormat="1" applyFill="1" applyBorder="1" applyAlignment="1">
      <alignment horizontal="right"/>
    </xf>
    <xf numFmtId="165" fontId="0" fillId="3" borderId="4" xfId="0" applyNumberFormat="1" applyFill="1" applyBorder="1" applyAlignment="1">
      <alignment horizontal="right"/>
    </xf>
    <xf numFmtId="166" fontId="0" fillId="3" borderId="4" xfId="0" applyNumberFormat="1" applyFill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0" fontId="0" fillId="0" borderId="2" xfId="0" applyBorder="1"/>
    <xf numFmtId="169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5" fillId="4" borderId="3" xfId="0" applyFont="1" applyFill="1" applyBorder="1"/>
    <xf numFmtId="164" fontId="4" fillId="3" borderId="4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9" fontId="4" fillId="3" borderId="4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165" fontId="4" fillId="3" borderId="4" xfId="0" applyNumberFormat="1" applyFont="1" applyFill="1" applyBorder="1" applyAlignment="1">
      <alignment horizontal="right"/>
    </xf>
    <xf numFmtId="166" fontId="4" fillId="3" borderId="4" xfId="0" applyNumberFormat="1" applyFont="1" applyFill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1" fontId="4" fillId="3" borderId="4" xfId="0" applyNumberFormat="1" applyFont="1" applyFill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</row>
    <row r="2" spans="1:2" ht="28" customHeight="1">
      <c r="A2" s="2" t="s">
        <v>1</v>
      </c>
      <c r="B2" s="2"/>
    </row>
    <row r="4" spans="1:2" ht="22" customHeight="1">
      <c r="A4" s="3" t="s">
        <v>2</v>
      </c>
      <c r="B4" s="4" t="s">
        <v>3</v>
      </c>
    </row>
    <row r="5" spans="1:2" ht="22" customHeight="1">
      <c r="A5" s="3" t="s">
        <v>4</v>
      </c>
      <c r="B5" s="4" t="s">
        <v>5</v>
      </c>
    </row>
    <row r="6" spans="1:2" ht="22" customHeight="1">
      <c r="A6" s="3" t="s">
        <v>6</v>
      </c>
      <c r="B6" s="4" t="s">
        <v>7</v>
      </c>
    </row>
    <row r="7" spans="1:2" ht="22" customHeight="1">
      <c r="A7" s="3" t="s">
        <v>8</v>
      </c>
      <c r="B7" s="4" t="s">
        <v>9</v>
      </c>
    </row>
    <row r="8" spans="1:2" ht="22" customHeight="1">
      <c r="A8" s="3" t="s">
        <v>10</v>
      </c>
      <c r="B8" s="4" t="s">
        <v>11</v>
      </c>
    </row>
    <row r="9" spans="1:2" ht="22" customHeight="1">
      <c r="A9" s="3" t="s">
        <v>12</v>
      </c>
      <c r="B9" s="4" t="s">
        <v>13</v>
      </c>
    </row>
    <row r="10" spans="1:2" ht="22" customHeight="1">
      <c r="A10" s="3" t="s">
        <v>14</v>
      </c>
      <c r="B10" s="4" t="s">
        <v>15</v>
      </c>
    </row>
    <row r="11" spans="1:2" ht="22" customHeight="1">
      <c r="A11" s="3" t="s">
        <v>16</v>
      </c>
      <c r="B11" s="4" t="s">
        <v>17</v>
      </c>
    </row>
    <row r="12" spans="1:2" ht="22" customHeight="1">
      <c r="A12" s="3" t="s">
        <v>18</v>
      </c>
      <c r="B12" s="4" t="s">
        <v>19</v>
      </c>
    </row>
    <row r="13" spans="1:2" ht="22" customHeight="1">
      <c r="A13" s="3" t="s">
        <v>20</v>
      </c>
      <c r="B13" s="4" t="s">
        <v>21</v>
      </c>
    </row>
  </sheetData>
  <mergeCells count="1">
    <mergeCell ref="A2:B2"/>
  </mergeCells>
  <hyperlinks>
    <hyperlink ref="A4" location="'Key Conclusions'!A1" display="Key Conclusions"/>
    <hyperlink ref="A5" location="'Assumptions'!A1" display="Assumptions"/>
    <hyperlink ref="A6" location="'Submarkets'!A1" display="Submarkets"/>
    <hyperlink ref="A7" location="'Types'!A1" display="Types"/>
    <hyperlink ref="A8" location="'Repricing'!A1" display="Repricing"/>
    <hyperlink ref="A9" location="'Opportunities'!A1" display="Opportunities"/>
    <hyperlink ref="A10" location="'Absorption'!A1" display="Absorption"/>
    <hyperlink ref="A11" location="'Prospects'!A1" display="Prospects"/>
    <hyperlink ref="A12" location="'Comps'!A1" display="Comps"/>
    <hyperlink ref="A13" location="'Scenario'!A1" display="Scenari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.7109375" customWidth="1"/>
    <col min="2" max="2" width="108.7109375" customWidth="1"/>
  </cols>
  <sheetData>
    <row r="1" spans="1:2">
      <c r="B1" s="1" t="s">
        <v>22</v>
      </c>
    </row>
    <row r="3" spans="1:2" ht="30" customHeight="1">
      <c r="A3" s="5" t="s">
        <v>23</v>
      </c>
      <c r="B3" s="4" t="s">
        <v>24</v>
      </c>
    </row>
    <row r="4" spans="1:2" ht="30" customHeight="1">
      <c r="A4" s="5" t="s">
        <v>23</v>
      </c>
      <c r="B4" s="4" t="s">
        <v>25</v>
      </c>
    </row>
    <row r="5" spans="1:2" ht="30" customHeight="1">
      <c r="A5" s="5" t="s">
        <v>23</v>
      </c>
      <c r="B5" s="4" t="s">
        <v>26</v>
      </c>
    </row>
    <row r="6" spans="1:2" ht="30" customHeight="1">
      <c r="A6" s="5" t="s">
        <v>23</v>
      </c>
      <c r="B6" s="4" t="s">
        <v>27</v>
      </c>
    </row>
    <row r="7" spans="1:2" ht="30" customHeight="1">
      <c r="A7" s="5" t="s">
        <v>23</v>
      </c>
      <c r="B7" s="4" t="s">
        <v>28</v>
      </c>
    </row>
    <row r="8" spans="1:2" ht="30" customHeight="1">
      <c r="A8" s="5" t="s">
        <v>23</v>
      </c>
      <c r="B8" s="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20.7109375" customWidth="1"/>
    <col min="2" max="8" width="13.7109375" customWidth="1"/>
  </cols>
  <sheetData>
    <row r="1" spans="1:8">
      <c r="A1" s="1" t="s">
        <v>30</v>
      </c>
    </row>
    <row r="2" spans="1:8" ht="30" customHeight="1">
      <c r="A2" s="2" t="s">
        <v>31</v>
      </c>
      <c r="B2" s="2"/>
      <c r="C2" s="2"/>
      <c r="D2" s="2"/>
      <c r="E2" s="2"/>
      <c r="F2" s="2"/>
      <c r="G2" s="2"/>
      <c r="H2" s="2"/>
    </row>
    <row r="4" spans="1:8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</row>
    <row r="5" spans="1:8">
      <c r="A5" s="7" t="s">
        <v>39</v>
      </c>
      <c r="B5" s="8">
        <v>177</v>
      </c>
      <c r="C5" s="9">
        <v>18</v>
      </c>
      <c r="D5" s="10">
        <v>0.06</v>
      </c>
      <c r="E5" s="10">
        <v>0.42</v>
      </c>
      <c r="F5" s="11">
        <v>0.055</v>
      </c>
      <c r="G5" s="12">
        <f>C5*(1-D5)*(1-E5)/B5</f>
        <v>0.05544406779661017</v>
      </c>
    </row>
    <row r="6" spans="1:8">
      <c r="A6" s="7" t="s">
        <v>40</v>
      </c>
      <c r="B6" s="8">
        <v>197</v>
      </c>
      <c r="C6" s="9">
        <v>34</v>
      </c>
      <c r="D6" s="10">
        <v>0.15</v>
      </c>
      <c r="E6" s="10">
        <v>0.45</v>
      </c>
      <c r="F6" s="11">
        <v>0.08</v>
      </c>
      <c r="G6" s="12">
        <f>C6*(1-D6)*(1-E6)/B6</f>
        <v>0.08068527918781726</v>
      </c>
    </row>
    <row r="7" spans="1:8">
      <c r="A7" s="7" t="s">
        <v>41</v>
      </c>
      <c r="B7" s="8">
        <v>247</v>
      </c>
      <c r="C7" s="9">
        <v>23</v>
      </c>
      <c r="D7" s="10">
        <v>0.08</v>
      </c>
      <c r="E7" s="10">
        <v>0.22</v>
      </c>
      <c r="F7" s="11">
        <v>0.0675</v>
      </c>
      <c r="G7" s="12">
        <f>C7*(1-D7)*(1-E7)/B7</f>
        <v>0.06682105263157895</v>
      </c>
    </row>
    <row r="8" spans="1:8">
      <c r="A8" s="7" t="s">
        <v>42</v>
      </c>
      <c r="B8" s="8">
        <v>150</v>
      </c>
      <c r="C8" s="9">
        <v>12</v>
      </c>
      <c r="D8" s="10">
        <v>0.05</v>
      </c>
      <c r="E8" s="10">
        <v>0.15</v>
      </c>
      <c r="F8" s="11">
        <v>0.0625</v>
      </c>
      <c r="G8" s="12">
        <f>C8*(1-D8)*(1-E8)/B8</f>
        <v>0.06459999999999999</v>
      </c>
    </row>
    <row r="9" spans="1:8">
      <c r="A9" s="7" t="s">
        <v>43</v>
      </c>
      <c r="B9" s="8">
        <v>136</v>
      </c>
      <c r="C9" s="9">
        <v>16</v>
      </c>
      <c r="D9" s="10">
        <v>0.1</v>
      </c>
      <c r="E9" s="10">
        <v>0.35</v>
      </c>
      <c r="F9" s="11">
        <v>0.0675</v>
      </c>
      <c r="G9" s="12">
        <f>C9*(1-D9)*(1-E9)/B9</f>
        <v>0.06882352941176471</v>
      </c>
    </row>
    <row r="10" spans="1:8">
      <c r="A10" s="7" t="s">
        <v>44</v>
      </c>
      <c r="B10" s="8">
        <v>347</v>
      </c>
      <c r="C10" s="9">
        <v>100</v>
      </c>
      <c r="D10" s="10">
        <v>0.3</v>
      </c>
      <c r="E10" s="10">
        <v>0.62</v>
      </c>
      <c r="F10" s="11">
        <v>0.08500000000000001</v>
      </c>
      <c r="G10" s="12">
        <f>C10*(1-D10)*(1-E10)/B10</f>
        <v>0.07665706051873199</v>
      </c>
    </row>
    <row r="11" spans="1:8">
      <c r="A11" s="7" t="s">
        <v>45</v>
      </c>
      <c r="B11" s="8">
        <v>365</v>
      </c>
      <c r="C11" s="9">
        <v>33</v>
      </c>
      <c r="D11" s="10">
        <v>0.1</v>
      </c>
      <c r="E11" s="10">
        <v>0.2</v>
      </c>
      <c r="F11" s="11">
        <v>0.065</v>
      </c>
      <c r="G11" s="12">
        <f>C11*(1-D11)*(1-E11)/B11</f>
        <v>0.06509589041095891</v>
      </c>
    </row>
    <row r="12" spans="1:8">
      <c r="A12" s="7" t="s">
        <v>46</v>
      </c>
      <c r="B12" s="8">
        <v>345</v>
      </c>
      <c r="C12" s="9">
        <v>20</v>
      </c>
      <c r="D12" s="10">
        <v>0.08</v>
      </c>
      <c r="E12" s="10">
        <v>0.2</v>
      </c>
      <c r="F12" s="11">
        <v>0.07000000000000001</v>
      </c>
      <c r="G12" s="12">
        <f>C12*(1-D12)*(1-E12)/B12</f>
        <v>0.04266666666666667</v>
      </c>
    </row>
    <row r="13" spans="1:8">
      <c r="A13" s="7" t="s">
        <v>47</v>
      </c>
      <c r="B13" s="8">
        <v>319</v>
      </c>
      <c r="C13" s="9">
        <v>22</v>
      </c>
      <c r="D13" s="10">
        <v>0.15</v>
      </c>
      <c r="E13" s="10">
        <v>0.3</v>
      </c>
      <c r="F13" s="11">
        <v>0.075</v>
      </c>
      <c r="G13" s="12">
        <f>C13*(1-D13)*(1-E13)/B13</f>
        <v>0.041034482758620684</v>
      </c>
    </row>
    <row r="14" spans="1:8">
      <c r="A14" s="7" t="s">
        <v>48</v>
      </c>
      <c r="B14" s="8">
        <v>195</v>
      </c>
      <c r="C14" s="9">
        <v>22</v>
      </c>
      <c r="D14" s="10">
        <v>0.12</v>
      </c>
      <c r="E14" s="10">
        <v>0.3</v>
      </c>
      <c r="F14" s="11">
        <v>0.07000000000000001</v>
      </c>
      <c r="G14" s="12">
        <f>C14*(1-D14)*(1-E14)/B14</f>
        <v>0.0694974358974359</v>
      </c>
    </row>
  </sheetData>
  <mergeCells count="1"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9" width="13.7109375" customWidth="1"/>
  </cols>
  <sheetData>
    <row r="1" spans="1:9">
      <c r="A1" s="1" t="s">
        <v>49</v>
      </c>
    </row>
    <row r="2" spans="1:9" ht="30" customHeight="1">
      <c r="A2" s="2" t="s">
        <v>50</v>
      </c>
      <c r="B2" s="2"/>
      <c r="C2" s="2"/>
      <c r="D2" s="2"/>
      <c r="E2" s="2"/>
      <c r="F2" s="2"/>
      <c r="G2" s="2"/>
      <c r="H2" s="2"/>
      <c r="I2" s="2"/>
    </row>
    <row r="4" spans="1:9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</row>
    <row r="5" spans="1:9">
      <c r="A5" s="4" t="s">
        <v>59</v>
      </c>
      <c r="B5" s="8">
        <v>268</v>
      </c>
      <c r="C5" s="13">
        <v>47.3</v>
      </c>
      <c r="D5" s="8">
        <v>1799000</v>
      </c>
      <c r="E5" s="4" t="s">
        <v>41</v>
      </c>
      <c r="F5" s="14">
        <v>18</v>
      </c>
      <c r="G5" s="14">
        <v>63.6</v>
      </c>
      <c r="H5" s="4" t="s">
        <v>60</v>
      </c>
    </row>
    <row r="6" spans="1:9">
      <c r="A6" s="4" t="s">
        <v>61</v>
      </c>
      <c r="B6" s="8">
        <v>253</v>
      </c>
      <c r="C6" s="13">
        <v>39.1</v>
      </c>
      <c r="D6" s="8">
        <v>3450000</v>
      </c>
      <c r="E6" s="4" t="s">
        <v>39</v>
      </c>
      <c r="F6" s="15" t="s">
        <v>62</v>
      </c>
      <c r="G6" s="15" t="s">
        <v>62</v>
      </c>
      <c r="H6" s="4" t="s">
        <v>60</v>
      </c>
    </row>
    <row r="7" spans="1:9">
      <c r="A7" s="4" t="s">
        <v>63</v>
      </c>
      <c r="B7" s="8">
        <v>242</v>
      </c>
      <c r="C7" s="13">
        <v>33</v>
      </c>
      <c r="D7" s="8">
        <v>2100500</v>
      </c>
      <c r="E7" s="4" t="s">
        <v>48</v>
      </c>
      <c r="F7" s="14">
        <v>18</v>
      </c>
      <c r="G7" s="14">
        <v>50</v>
      </c>
      <c r="H7" s="4" t="s">
        <v>60</v>
      </c>
    </row>
    <row r="8" spans="1:9">
      <c r="A8" s="4" t="s">
        <v>64</v>
      </c>
      <c r="B8" s="8">
        <v>186</v>
      </c>
      <c r="C8" s="13">
        <v>2.2</v>
      </c>
      <c r="D8" s="8">
        <v>1700000</v>
      </c>
      <c r="E8" s="4" t="s">
        <v>39</v>
      </c>
      <c r="F8" s="14">
        <v>8.199999999999999</v>
      </c>
      <c r="G8" s="14">
        <v>68.59999999999999</v>
      </c>
      <c r="H8" s="4" t="s">
        <v>60</v>
      </c>
    </row>
    <row r="9" spans="1:9">
      <c r="A9" s="4" t="s">
        <v>65</v>
      </c>
      <c r="B9" s="8">
        <v>173</v>
      </c>
      <c r="C9" s="13">
        <v>-4.9</v>
      </c>
      <c r="D9" s="8">
        <v>1328750</v>
      </c>
      <c r="E9" s="4" t="s">
        <v>48</v>
      </c>
      <c r="F9" s="14">
        <v>4.5</v>
      </c>
      <c r="G9" s="14">
        <v>55.6</v>
      </c>
      <c r="H9" s="4" t="s">
        <v>60</v>
      </c>
    </row>
    <row r="10" spans="1:9">
      <c r="A10" s="4" t="s">
        <v>66</v>
      </c>
      <c r="B10" s="8">
        <v>170</v>
      </c>
      <c r="C10" s="13">
        <v>-6.5</v>
      </c>
      <c r="D10" s="8">
        <v>1074500</v>
      </c>
      <c r="E10" s="4" t="s">
        <v>48</v>
      </c>
      <c r="F10" s="14">
        <v>28.3</v>
      </c>
      <c r="G10" s="14">
        <v>74.09999999999999</v>
      </c>
      <c r="H10" s="4" t="s">
        <v>60</v>
      </c>
    </row>
    <row r="11" spans="1:9">
      <c r="A11" s="4" t="s">
        <v>67</v>
      </c>
      <c r="B11" s="8">
        <v>153</v>
      </c>
      <c r="C11" s="13">
        <v>-15.9</v>
      </c>
      <c r="D11" s="8">
        <v>1895000</v>
      </c>
      <c r="E11" s="4" t="s">
        <v>39</v>
      </c>
      <c r="F11" s="14">
        <v>22.5</v>
      </c>
      <c r="G11" s="14">
        <v>75</v>
      </c>
      <c r="H11" s="4" t="s">
        <v>60</v>
      </c>
    </row>
    <row r="12" spans="1:9">
      <c r="A12" s="4" t="s">
        <v>68</v>
      </c>
      <c r="B12" s="8">
        <v>126</v>
      </c>
      <c r="C12" s="13">
        <v>-30.7</v>
      </c>
      <c r="D12" s="8">
        <v>1400000</v>
      </c>
      <c r="E12" s="4" t="s">
        <v>39</v>
      </c>
      <c r="F12" s="15" t="s">
        <v>62</v>
      </c>
      <c r="G12" s="15" t="s">
        <v>62</v>
      </c>
      <c r="H12" s="4" t="s">
        <v>60</v>
      </c>
    </row>
    <row r="13" spans="1:9">
      <c r="A13" s="4" t="s">
        <v>69</v>
      </c>
      <c r="B13" s="8">
        <v>99</v>
      </c>
      <c r="C13" s="13">
        <v>-45.6</v>
      </c>
      <c r="D13" s="8">
        <v>732500</v>
      </c>
      <c r="E13" s="4" t="s">
        <v>48</v>
      </c>
      <c r="F13" s="14">
        <v>4.5</v>
      </c>
      <c r="G13" s="14">
        <v>63.6</v>
      </c>
      <c r="H13" s="4" t="s">
        <v>60</v>
      </c>
    </row>
  </sheetData>
  <mergeCells count="1"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10" width="12.7109375" customWidth="1"/>
  </cols>
  <sheetData>
    <row r="1" spans="1:9">
      <c r="A1" s="1" t="s">
        <v>70</v>
      </c>
    </row>
    <row r="2" spans="1:9" ht="30" customHeight="1">
      <c r="A2" s="2" t="s">
        <v>71</v>
      </c>
      <c r="B2" s="2"/>
      <c r="C2" s="2"/>
      <c r="D2" s="2"/>
      <c r="E2" s="2"/>
      <c r="F2" s="2"/>
      <c r="G2" s="2"/>
      <c r="H2" s="2"/>
      <c r="I2" s="2"/>
    </row>
    <row r="4" spans="1:9">
      <c r="A4" s="6" t="s">
        <v>72</v>
      </c>
      <c r="B4" s="6" t="s">
        <v>33</v>
      </c>
      <c r="C4" s="6" t="s">
        <v>73</v>
      </c>
      <c r="D4" s="6" t="s">
        <v>74</v>
      </c>
      <c r="E4" s="6" t="s">
        <v>34</v>
      </c>
      <c r="F4" s="6" t="s">
        <v>75</v>
      </c>
      <c r="G4" s="6" t="s">
        <v>76</v>
      </c>
      <c r="H4" s="6" t="s">
        <v>77</v>
      </c>
      <c r="I4" s="6" t="s">
        <v>38</v>
      </c>
    </row>
    <row r="5" spans="1:9">
      <c r="A5" s="4" t="s">
        <v>39</v>
      </c>
      <c r="B5" s="8">
        <v>177</v>
      </c>
      <c r="C5" s="16">
        <v>90</v>
      </c>
      <c r="D5" s="16">
        <v>21</v>
      </c>
      <c r="E5" s="8">
        <v>18</v>
      </c>
      <c r="F5" s="17">
        <v>0.06</v>
      </c>
      <c r="G5" s="17">
        <v>0.42</v>
      </c>
      <c r="H5" s="18">
        <v>0.055</v>
      </c>
      <c r="I5" s="18">
        <v>0.0524</v>
      </c>
    </row>
    <row r="6" spans="1:9">
      <c r="A6" s="4" t="s">
        <v>40</v>
      </c>
      <c r="B6" s="8">
        <v>197</v>
      </c>
      <c r="C6" s="16">
        <v>29</v>
      </c>
      <c r="D6" s="16">
        <v>3</v>
      </c>
      <c r="E6" s="8">
        <v>34</v>
      </c>
      <c r="F6" s="17">
        <v>0.15</v>
      </c>
      <c r="G6" s="17">
        <v>0.45</v>
      </c>
      <c r="H6" s="18">
        <v>0.08</v>
      </c>
      <c r="I6" s="18">
        <v>0.0906</v>
      </c>
    </row>
    <row r="7" spans="1:9">
      <c r="A7" s="4" t="s">
        <v>41</v>
      </c>
      <c r="B7" s="8">
        <v>247</v>
      </c>
      <c r="C7" s="16">
        <v>25</v>
      </c>
      <c r="D7" s="16">
        <v>6</v>
      </c>
      <c r="E7" s="8">
        <v>23</v>
      </c>
      <c r="F7" s="17">
        <v>0.08</v>
      </c>
      <c r="G7" s="17">
        <v>0.22</v>
      </c>
      <c r="H7" s="18">
        <v>0.0675</v>
      </c>
      <c r="I7" s="18">
        <v>0.0672</v>
      </c>
    </row>
    <row r="8" spans="1:9">
      <c r="A8" s="4" t="s">
        <v>42</v>
      </c>
      <c r="B8" s="8">
        <v>150</v>
      </c>
      <c r="C8" s="16">
        <v>34</v>
      </c>
      <c r="D8" s="16">
        <v>11</v>
      </c>
      <c r="E8" s="8">
        <v>12</v>
      </c>
      <c r="F8" s="17">
        <v>0.05</v>
      </c>
      <c r="G8" s="17">
        <v>0.15</v>
      </c>
      <c r="H8" s="18">
        <v>0.0625</v>
      </c>
      <c r="I8" s="18">
        <v>0.0658</v>
      </c>
    </row>
    <row r="9" spans="1:9">
      <c r="A9" s="4" t="s">
        <v>43</v>
      </c>
      <c r="B9" s="8">
        <v>136</v>
      </c>
      <c r="C9" s="16">
        <v>33</v>
      </c>
      <c r="D9" s="16">
        <v>5</v>
      </c>
      <c r="E9" s="8">
        <v>16</v>
      </c>
      <c r="F9" s="17">
        <v>0.1</v>
      </c>
      <c r="G9" s="17">
        <v>0.35</v>
      </c>
      <c r="H9" s="18">
        <v>0.0675</v>
      </c>
      <c r="I9" s="18">
        <v>0.06859999999999999</v>
      </c>
    </row>
    <row r="10" spans="1:9">
      <c r="A10" s="4" t="s">
        <v>44</v>
      </c>
      <c r="B10" s="8">
        <v>347</v>
      </c>
      <c r="C10" s="16">
        <v>11</v>
      </c>
      <c r="D10" s="16">
        <v>0</v>
      </c>
      <c r="E10" s="8">
        <v>100</v>
      </c>
      <c r="F10" s="17">
        <v>0.3</v>
      </c>
      <c r="G10" s="17">
        <v>0.62</v>
      </c>
      <c r="H10" s="18">
        <v>0.08500000000000001</v>
      </c>
      <c r="I10" s="18">
        <v>0.0665</v>
      </c>
    </row>
    <row r="11" spans="1:9">
      <c r="A11" s="4" t="s">
        <v>45</v>
      </c>
      <c r="B11" s="8">
        <v>365</v>
      </c>
      <c r="C11" s="16">
        <v>8</v>
      </c>
      <c r="D11" s="16">
        <v>3</v>
      </c>
      <c r="E11" s="8">
        <v>33</v>
      </c>
      <c r="F11" s="17">
        <v>0.1</v>
      </c>
      <c r="G11" s="17">
        <v>0.2</v>
      </c>
      <c r="H11" s="18">
        <v>0.065</v>
      </c>
      <c r="I11" s="18">
        <v>0.08210000000000001</v>
      </c>
    </row>
    <row r="12" spans="1:9">
      <c r="A12" s="4" t="s">
        <v>46</v>
      </c>
      <c r="B12" s="8">
        <v>345</v>
      </c>
      <c r="C12" s="16">
        <v>3</v>
      </c>
      <c r="D12" s="16">
        <v>0</v>
      </c>
      <c r="E12" s="8">
        <v>20</v>
      </c>
      <c r="F12" s="17">
        <v>0.08</v>
      </c>
      <c r="G12" s="17">
        <v>0.2</v>
      </c>
      <c r="H12" s="18">
        <v>0.07000000000000001</v>
      </c>
      <c r="I12" s="18">
        <v>0.0427</v>
      </c>
    </row>
    <row r="13" spans="1:9">
      <c r="A13" s="4" t="s">
        <v>47</v>
      </c>
      <c r="B13" s="8">
        <v>319</v>
      </c>
      <c r="C13" s="16">
        <v>2</v>
      </c>
      <c r="D13" s="16">
        <v>0</v>
      </c>
      <c r="E13" s="8">
        <v>22</v>
      </c>
      <c r="F13" s="17">
        <v>0.15</v>
      </c>
      <c r="G13" s="17">
        <v>0.3</v>
      </c>
      <c r="H13" s="18">
        <v>0.075</v>
      </c>
      <c r="I13" s="18">
        <v>0.0522</v>
      </c>
    </row>
    <row r="14" spans="1:9">
      <c r="A14" s="4" t="s">
        <v>48</v>
      </c>
      <c r="B14" s="8">
        <v>195</v>
      </c>
      <c r="C14" s="16">
        <v>96</v>
      </c>
      <c r="D14" s="16">
        <v>20</v>
      </c>
      <c r="E14" s="8">
        <v>22</v>
      </c>
      <c r="F14" s="17">
        <v>0.12</v>
      </c>
      <c r="G14" s="17">
        <v>0.3</v>
      </c>
      <c r="H14" s="18">
        <v>0.07000000000000001</v>
      </c>
      <c r="I14" s="18">
        <v>0.0644</v>
      </c>
    </row>
  </sheetData>
  <mergeCells count="1"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12" width="12.7109375" customWidth="1"/>
  </cols>
  <sheetData>
    <row r="1" spans="1:12">
      <c r="A1" s="1" t="s">
        <v>78</v>
      </c>
    </row>
    <row r="2" spans="1:12" ht="30" customHeight="1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80</v>
      </c>
      <c r="B4" s="6" t="s">
        <v>81</v>
      </c>
      <c r="C4" s="6" t="s">
        <v>72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77</v>
      </c>
      <c r="I4" s="6" t="s">
        <v>86</v>
      </c>
      <c r="J4" s="6" t="s">
        <v>87</v>
      </c>
      <c r="K4" s="6" t="s">
        <v>88</v>
      </c>
    </row>
    <row r="5" spans="1:12">
      <c r="A5" s="4" t="s">
        <v>89</v>
      </c>
      <c r="B5" s="4" t="s">
        <v>90</v>
      </c>
      <c r="C5" s="4" t="s">
        <v>40</v>
      </c>
      <c r="D5" s="8">
        <v>320000</v>
      </c>
      <c r="E5" s="8">
        <v>24</v>
      </c>
      <c r="F5" s="13">
        <v>-76.7</v>
      </c>
      <c r="G5" s="18">
        <v>0.6588000000000001</v>
      </c>
      <c r="H5" s="18">
        <v>0.08</v>
      </c>
      <c r="I5" s="8">
        <v>2635192</v>
      </c>
      <c r="J5" s="13">
        <v>-87.90000000000001</v>
      </c>
      <c r="K5" s="4" t="s">
        <v>91</v>
      </c>
    </row>
    <row r="6" spans="1:12">
      <c r="A6" s="4" t="s">
        <v>92</v>
      </c>
      <c r="B6" s="4" t="s">
        <v>66</v>
      </c>
      <c r="C6" s="4" t="s">
        <v>48</v>
      </c>
      <c r="D6" s="8">
        <v>2350000</v>
      </c>
      <c r="E6" s="8">
        <v>84</v>
      </c>
      <c r="F6" s="13">
        <v>-36.1</v>
      </c>
      <c r="G6" s="18">
        <v>0.1608</v>
      </c>
      <c r="H6" s="18">
        <v>0.07000000000000001</v>
      </c>
      <c r="I6" s="8">
        <v>5397181</v>
      </c>
      <c r="J6" s="13">
        <v>-56.5</v>
      </c>
      <c r="K6" s="4" t="s">
        <v>91</v>
      </c>
    </row>
    <row r="7" spans="1:12">
      <c r="A7" s="4" t="s">
        <v>93</v>
      </c>
      <c r="B7" s="4" t="s">
        <v>66</v>
      </c>
      <c r="C7" s="4" t="s">
        <v>40</v>
      </c>
      <c r="D7" s="8">
        <v>1995000</v>
      </c>
      <c r="E7" s="8">
        <v>92</v>
      </c>
      <c r="F7" s="13">
        <v>30.6</v>
      </c>
      <c r="G7" s="18">
        <v>0.1736</v>
      </c>
      <c r="H7" s="18">
        <v>0.08</v>
      </c>
      <c r="I7" s="8">
        <v>4329202</v>
      </c>
      <c r="J7" s="13">
        <v>-53.9</v>
      </c>
      <c r="K7" s="4" t="s">
        <v>91</v>
      </c>
    </row>
    <row r="8" spans="1:12">
      <c r="A8" s="4" t="s">
        <v>94</v>
      </c>
      <c r="B8" s="4" t="s">
        <v>67</v>
      </c>
      <c r="C8" s="4" t="s">
        <v>48</v>
      </c>
      <c r="D8" s="8">
        <v>1900000</v>
      </c>
      <c r="E8" s="8">
        <v>92</v>
      </c>
      <c r="F8" s="13">
        <v>-34.2</v>
      </c>
      <c r="G8" s="18">
        <v>0.147</v>
      </c>
      <c r="H8" s="18">
        <v>0.07000000000000001</v>
      </c>
      <c r="I8" s="8">
        <v>3990870</v>
      </c>
      <c r="J8" s="13">
        <v>-52.4</v>
      </c>
      <c r="K8" s="4" t="s">
        <v>91</v>
      </c>
    </row>
    <row r="9" spans="1:12">
      <c r="A9" s="4" t="s">
        <v>95</v>
      </c>
      <c r="B9" s="4" t="s">
        <v>64</v>
      </c>
      <c r="C9" s="4" t="s">
        <v>41</v>
      </c>
      <c r="D9" s="8">
        <v>750000</v>
      </c>
      <c r="E9" s="8">
        <v>120</v>
      </c>
      <c r="F9" s="13">
        <v>-42.5</v>
      </c>
      <c r="G9" s="18">
        <v>0.1375</v>
      </c>
      <c r="H9" s="18">
        <v>0.0675</v>
      </c>
      <c r="I9" s="8">
        <v>1527733</v>
      </c>
      <c r="J9" s="13">
        <v>-50.9</v>
      </c>
      <c r="K9" s="4" t="s">
        <v>91</v>
      </c>
    </row>
    <row r="10" spans="1:12">
      <c r="A10" s="4" t="s">
        <v>96</v>
      </c>
      <c r="B10" s="4" t="s">
        <v>97</v>
      </c>
      <c r="C10" s="4" t="s">
        <v>43</v>
      </c>
      <c r="D10" s="8">
        <v>799900</v>
      </c>
      <c r="E10" s="8">
        <v>72</v>
      </c>
      <c r="F10" s="13">
        <v>-58.9</v>
      </c>
      <c r="G10" s="18">
        <v>0.1303</v>
      </c>
      <c r="H10" s="18">
        <v>0.0675</v>
      </c>
      <c r="I10" s="8">
        <v>1544192</v>
      </c>
      <c r="J10" s="13">
        <v>-48.2</v>
      </c>
      <c r="K10" s="4" t="s">
        <v>91</v>
      </c>
    </row>
    <row r="11" spans="1:12">
      <c r="A11" s="4" t="s">
        <v>98</v>
      </c>
      <c r="B11" s="4" t="s">
        <v>99</v>
      </c>
      <c r="C11" s="4" t="s">
        <v>39</v>
      </c>
      <c r="D11" s="8">
        <v>1300000</v>
      </c>
      <c r="E11" s="8">
        <v>94</v>
      </c>
      <c r="F11" s="13">
        <v>-55.2</v>
      </c>
      <c r="G11" s="18">
        <v>0.1042</v>
      </c>
      <c r="H11" s="18">
        <v>0.055</v>
      </c>
      <c r="I11" s="8">
        <v>2462321</v>
      </c>
      <c r="J11" s="13">
        <v>-47.2</v>
      </c>
      <c r="K11" s="4" t="s">
        <v>91</v>
      </c>
    </row>
    <row r="12" spans="1:12">
      <c r="A12" s="4" t="s">
        <v>100</v>
      </c>
      <c r="B12" s="4" t="s">
        <v>66</v>
      </c>
      <c r="C12" s="4" t="s">
        <v>40</v>
      </c>
      <c r="D12" s="8">
        <v>799000</v>
      </c>
      <c r="E12" s="8">
        <v>117</v>
      </c>
      <c r="F12" s="13">
        <v>-10</v>
      </c>
      <c r="G12" s="18">
        <v>0.1361</v>
      </c>
      <c r="H12" s="18">
        <v>0.08</v>
      </c>
      <c r="I12" s="8">
        <v>1359022</v>
      </c>
      <c r="J12" s="13">
        <v>-41.2</v>
      </c>
      <c r="K12" s="4" t="s">
        <v>91</v>
      </c>
    </row>
    <row r="13" spans="1:12">
      <c r="A13" s="4" t="s">
        <v>101</v>
      </c>
      <c r="B13" s="4" t="s">
        <v>102</v>
      </c>
      <c r="C13" s="4" t="s">
        <v>41</v>
      </c>
      <c r="D13" s="8">
        <v>1050000</v>
      </c>
      <c r="E13" s="8">
        <v>156</v>
      </c>
      <c r="F13" s="13">
        <v>-24.7</v>
      </c>
      <c r="G13" s="18">
        <v>0.1061</v>
      </c>
      <c r="H13" s="18">
        <v>0.0675</v>
      </c>
      <c r="I13" s="8">
        <v>1650725</v>
      </c>
      <c r="J13" s="13">
        <v>-36.4</v>
      </c>
      <c r="K13" s="4" t="s">
        <v>91</v>
      </c>
    </row>
    <row r="14" spans="1:12">
      <c r="A14" s="4" t="s">
        <v>101</v>
      </c>
      <c r="B14" s="4" t="s">
        <v>102</v>
      </c>
      <c r="C14" s="4" t="s">
        <v>41</v>
      </c>
      <c r="D14" s="8">
        <v>1050000</v>
      </c>
      <c r="E14" s="8">
        <v>156</v>
      </c>
      <c r="F14" s="13">
        <v>-24.7</v>
      </c>
      <c r="G14" s="18">
        <v>0.1061</v>
      </c>
      <c r="H14" s="18">
        <v>0.0675</v>
      </c>
      <c r="I14" s="8">
        <v>1650725</v>
      </c>
      <c r="J14" s="13">
        <v>-36.4</v>
      </c>
      <c r="K14" s="4" t="s">
        <v>91</v>
      </c>
    </row>
    <row r="15" spans="1:12">
      <c r="A15" s="4" t="s">
        <v>103</v>
      </c>
      <c r="B15" s="4" t="s">
        <v>66</v>
      </c>
      <c r="C15" s="4" t="s">
        <v>48</v>
      </c>
      <c r="D15" s="8">
        <v>875000</v>
      </c>
      <c r="E15" s="8">
        <v>128</v>
      </c>
      <c r="F15" s="13">
        <v>-54.3</v>
      </c>
      <c r="G15" s="18">
        <v>0.1059</v>
      </c>
      <c r="H15" s="18">
        <v>0.07000000000000001</v>
      </c>
      <c r="I15" s="8">
        <v>1324224</v>
      </c>
      <c r="J15" s="13">
        <v>-33.9</v>
      </c>
      <c r="K15" s="4" t="s">
        <v>91</v>
      </c>
    </row>
    <row r="16" spans="1:12">
      <c r="A16" s="4" t="s">
        <v>104</v>
      </c>
      <c r="B16" s="4" t="s">
        <v>68</v>
      </c>
      <c r="C16" s="4" t="s">
        <v>42</v>
      </c>
      <c r="D16" s="8">
        <v>1750000</v>
      </c>
      <c r="E16" s="8">
        <v>104</v>
      </c>
      <c r="F16" s="13">
        <v>-27</v>
      </c>
      <c r="G16" s="18">
        <v>0.0934</v>
      </c>
      <c r="H16" s="18">
        <v>0.0625</v>
      </c>
      <c r="I16" s="8">
        <v>2616300</v>
      </c>
      <c r="J16" s="13">
        <v>-33.1</v>
      </c>
      <c r="K16" s="4" t="s">
        <v>91</v>
      </c>
    </row>
    <row r="17" spans="1:11">
      <c r="A17" s="4" t="s">
        <v>105</v>
      </c>
      <c r="B17" s="4" t="s">
        <v>66</v>
      </c>
      <c r="C17" s="4" t="s">
        <v>39</v>
      </c>
      <c r="D17" s="8">
        <v>1750000</v>
      </c>
      <c r="E17" s="8">
        <v>122</v>
      </c>
      <c r="F17" s="13">
        <v>-33.1</v>
      </c>
      <c r="G17" s="18">
        <v>0.08019999999999999</v>
      </c>
      <c r="H17" s="18">
        <v>0.055</v>
      </c>
      <c r="I17" s="8">
        <v>2551358</v>
      </c>
      <c r="J17" s="13">
        <v>-31.4</v>
      </c>
      <c r="K17" s="4" t="s">
        <v>91</v>
      </c>
    </row>
    <row r="18" spans="1:11">
      <c r="A18" s="4" t="s">
        <v>106</v>
      </c>
      <c r="B18" s="4" t="s">
        <v>107</v>
      </c>
      <c r="C18" s="4" t="s">
        <v>48</v>
      </c>
      <c r="D18" s="8">
        <v>2900000</v>
      </c>
      <c r="E18" s="8">
        <v>135</v>
      </c>
      <c r="F18" s="13">
        <v>-21.4</v>
      </c>
      <c r="G18" s="18">
        <v>0.1002</v>
      </c>
      <c r="H18" s="18">
        <v>0.07000000000000001</v>
      </c>
      <c r="I18" s="8">
        <v>4152720</v>
      </c>
      <c r="J18" s="13">
        <v>-30.2</v>
      </c>
      <c r="K18" s="4" t="s">
        <v>91</v>
      </c>
    </row>
    <row r="19" spans="1:11">
      <c r="A19" s="4" t="s">
        <v>108</v>
      </c>
      <c r="B19" s="4" t="s">
        <v>64</v>
      </c>
      <c r="C19" s="4" t="s">
        <v>44</v>
      </c>
      <c r="D19" s="8">
        <v>7995000</v>
      </c>
      <c r="E19" s="8">
        <v>220</v>
      </c>
      <c r="F19" s="13">
        <v>12.4</v>
      </c>
      <c r="G19" s="18">
        <v>0.1211</v>
      </c>
      <c r="H19" s="18">
        <v>0.08500000000000001</v>
      </c>
      <c r="I19" s="8">
        <v>11393249</v>
      </c>
      <c r="J19" s="13">
        <v>-29.8</v>
      </c>
      <c r="K19" s="4" t="s">
        <v>91</v>
      </c>
    </row>
    <row r="20" spans="1:11">
      <c r="A20" s="4" t="s">
        <v>109</v>
      </c>
      <c r="B20" s="4" t="s">
        <v>67</v>
      </c>
      <c r="C20" s="4" t="s">
        <v>48</v>
      </c>
      <c r="D20" s="8">
        <v>975000</v>
      </c>
      <c r="E20" s="8">
        <v>139</v>
      </c>
      <c r="F20" s="13">
        <v>-44</v>
      </c>
      <c r="G20" s="18">
        <v>0.0973</v>
      </c>
      <c r="H20" s="18">
        <v>0.07000000000000001</v>
      </c>
      <c r="I20" s="8">
        <v>1355200</v>
      </c>
      <c r="J20" s="13">
        <v>-28.1</v>
      </c>
      <c r="K20" s="4" t="s">
        <v>91</v>
      </c>
    </row>
    <row r="21" spans="1:11">
      <c r="A21" s="4" t="s">
        <v>110</v>
      </c>
      <c r="B21" s="4" t="s">
        <v>66</v>
      </c>
      <c r="C21" s="4" t="s">
        <v>43</v>
      </c>
      <c r="D21" s="8">
        <v>1100000</v>
      </c>
      <c r="E21" s="8">
        <v>100</v>
      </c>
      <c r="F21" s="13">
        <v>-35.6</v>
      </c>
      <c r="G21" s="18">
        <v>0.09320000000000001</v>
      </c>
      <c r="H21" s="18">
        <v>0.0675</v>
      </c>
      <c r="I21" s="8">
        <v>1518955</v>
      </c>
      <c r="J21" s="13">
        <v>-27.6</v>
      </c>
      <c r="K21" s="4" t="s">
        <v>91</v>
      </c>
    </row>
    <row r="22" spans="1:11">
      <c r="A22" s="4" t="s">
        <v>111</v>
      </c>
      <c r="B22" s="4" t="s">
        <v>68</v>
      </c>
      <c r="C22" s="4" t="s">
        <v>39</v>
      </c>
      <c r="D22" s="8">
        <v>1399990</v>
      </c>
      <c r="E22" s="8">
        <v>138</v>
      </c>
      <c r="F22" s="13">
        <v>-14.6</v>
      </c>
      <c r="G22" s="18">
        <v>0.07099999999999999</v>
      </c>
      <c r="H22" s="18">
        <v>0.055</v>
      </c>
      <c r="I22" s="8">
        <v>1806595</v>
      </c>
      <c r="J22" s="13">
        <v>-22.5</v>
      </c>
      <c r="K22" s="4" t="s">
        <v>91</v>
      </c>
    </row>
    <row r="23" spans="1:11">
      <c r="A23" s="4" t="s">
        <v>112</v>
      </c>
      <c r="B23" s="4" t="s">
        <v>61</v>
      </c>
      <c r="C23" s="4" t="s">
        <v>39</v>
      </c>
      <c r="D23" s="8">
        <v>975000</v>
      </c>
      <c r="E23" s="8">
        <v>144</v>
      </c>
      <c r="F23" s="13">
        <v>-64.40000000000001</v>
      </c>
      <c r="G23" s="18">
        <v>0.0679</v>
      </c>
      <c r="H23" s="18">
        <v>0.055</v>
      </c>
      <c r="I23" s="8">
        <v>1204396</v>
      </c>
      <c r="J23" s="13">
        <v>-19</v>
      </c>
      <c r="K23" s="4" t="s">
        <v>91</v>
      </c>
    </row>
    <row r="24" spans="1:11">
      <c r="A24" s="4" t="s">
        <v>113</v>
      </c>
      <c r="B24" s="4" t="s">
        <v>59</v>
      </c>
      <c r="C24" s="4" t="s">
        <v>44</v>
      </c>
      <c r="D24" s="8">
        <v>6000000</v>
      </c>
      <c r="E24" s="8">
        <v>280</v>
      </c>
      <c r="F24" s="13">
        <v>-25</v>
      </c>
      <c r="G24" s="18">
        <v>0.0951</v>
      </c>
      <c r="H24" s="18">
        <v>0.08500000000000001</v>
      </c>
      <c r="I24" s="8">
        <v>6712588</v>
      </c>
      <c r="J24" s="13">
        <v>-10.6</v>
      </c>
      <c r="K24" s="4" t="s">
        <v>91</v>
      </c>
    </row>
    <row r="25" spans="1:11">
      <c r="A25" s="4" t="s">
        <v>114</v>
      </c>
      <c r="B25" s="4" t="s">
        <v>59</v>
      </c>
      <c r="C25" s="4" t="s">
        <v>43</v>
      </c>
      <c r="D25" s="8">
        <v>4250000</v>
      </c>
      <c r="E25" s="8">
        <v>126</v>
      </c>
      <c r="F25" s="13">
        <v>-7.1</v>
      </c>
      <c r="G25" s="18">
        <v>0.0743</v>
      </c>
      <c r="H25" s="18">
        <v>0.0675</v>
      </c>
      <c r="I25" s="8">
        <v>4676256</v>
      </c>
      <c r="J25" s="13">
        <v>-9.1</v>
      </c>
      <c r="K25" s="4" t="s">
        <v>115</v>
      </c>
    </row>
    <row r="26" spans="1:11">
      <c r="A26" s="4" t="s">
        <v>116</v>
      </c>
      <c r="B26" s="4" t="s">
        <v>67</v>
      </c>
      <c r="C26" s="4" t="s">
        <v>39</v>
      </c>
      <c r="D26" s="8">
        <v>2940000</v>
      </c>
      <c r="E26" s="8">
        <v>168</v>
      </c>
      <c r="F26" s="13">
        <v>13.4</v>
      </c>
      <c r="G26" s="18">
        <v>0.0584</v>
      </c>
      <c r="H26" s="18">
        <v>0.055</v>
      </c>
      <c r="I26" s="8">
        <v>3122509</v>
      </c>
      <c r="J26" s="13">
        <v>-5.8</v>
      </c>
      <c r="K26" s="4" t="s">
        <v>115</v>
      </c>
    </row>
    <row r="27" spans="1:11">
      <c r="A27" s="4" t="s">
        <v>117</v>
      </c>
      <c r="B27" s="4" t="s">
        <v>66</v>
      </c>
      <c r="C27" s="4" t="s">
        <v>48</v>
      </c>
      <c r="D27" s="8">
        <v>2695000</v>
      </c>
      <c r="E27" s="8">
        <v>192</v>
      </c>
      <c r="F27" s="13">
        <v>0.5</v>
      </c>
      <c r="G27" s="18">
        <v>0.0704</v>
      </c>
      <c r="H27" s="18">
        <v>0.07000000000000001</v>
      </c>
      <c r="I27" s="8">
        <v>2710400</v>
      </c>
      <c r="J27" s="13">
        <v>-0.6</v>
      </c>
      <c r="K27" s="4" t="s">
        <v>115</v>
      </c>
    </row>
    <row r="28" spans="1:11">
      <c r="A28" s="4" t="s">
        <v>118</v>
      </c>
      <c r="B28" s="4" t="s">
        <v>66</v>
      </c>
      <c r="C28" s="4" t="s">
        <v>43</v>
      </c>
      <c r="D28" s="8">
        <v>1150000</v>
      </c>
      <c r="E28" s="8">
        <v>138</v>
      </c>
      <c r="F28" s="13">
        <v>-23.5</v>
      </c>
      <c r="G28" s="18">
        <v>0.0677</v>
      </c>
      <c r="H28" s="18">
        <v>0.0675</v>
      </c>
      <c r="I28" s="8">
        <v>1153013</v>
      </c>
      <c r="J28" s="13">
        <v>-0.3</v>
      </c>
      <c r="K28" s="4" t="s">
        <v>115</v>
      </c>
    </row>
    <row r="29" spans="1:11">
      <c r="A29" s="4" t="s">
        <v>119</v>
      </c>
      <c r="B29" s="4" t="s">
        <v>63</v>
      </c>
      <c r="C29" s="4" t="s">
        <v>41</v>
      </c>
      <c r="D29" s="8">
        <v>1999000</v>
      </c>
      <c r="E29" s="8">
        <v>247</v>
      </c>
      <c r="F29" s="13">
        <v>4.9</v>
      </c>
      <c r="G29" s="18">
        <v>0.0669</v>
      </c>
      <c r="H29" s="18">
        <v>0.0675</v>
      </c>
      <c r="I29" s="8">
        <v>1982532</v>
      </c>
      <c r="J29" s="13">
        <v>0.8</v>
      </c>
      <c r="K29" s="4" t="s">
        <v>115</v>
      </c>
    </row>
    <row r="30" spans="1:11">
      <c r="A30" s="4" t="s">
        <v>120</v>
      </c>
      <c r="B30" s="4" t="s">
        <v>63</v>
      </c>
      <c r="C30" s="4" t="s">
        <v>39</v>
      </c>
      <c r="D30" s="8">
        <v>2399000</v>
      </c>
      <c r="E30" s="8">
        <v>184</v>
      </c>
      <c r="F30" s="13">
        <v>-32.4</v>
      </c>
      <c r="G30" s="18">
        <v>0.0532</v>
      </c>
      <c r="H30" s="18">
        <v>0.055</v>
      </c>
      <c r="I30" s="8">
        <v>2321541</v>
      </c>
      <c r="J30" s="13">
        <v>3.3</v>
      </c>
      <c r="K30" s="4" t="s">
        <v>115</v>
      </c>
    </row>
    <row r="31" spans="1:11">
      <c r="A31" s="4" t="s">
        <v>121</v>
      </c>
      <c r="B31" s="4" t="s">
        <v>122</v>
      </c>
      <c r="C31" s="4" t="s">
        <v>39</v>
      </c>
      <c r="D31" s="8">
        <v>2499999</v>
      </c>
      <c r="E31" s="8">
        <v>185</v>
      </c>
      <c r="F31" s="13">
        <v>-12.9</v>
      </c>
      <c r="G31" s="18">
        <v>0.053</v>
      </c>
      <c r="H31" s="18">
        <v>0.055</v>
      </c>
      <c r="I31" s="8">
        <v>2410577</v>
      </c>
      <c r="J31" s="13">
        <v>3.7</v>
      </c>
      <c r="K31" s="4" t="s">
        <v>115</v>
      </c>
    </row>
    <row r="32" spans="1:11">
      <c r="A32" s="4" t="s">
        <v>123</v>
      </c>
      <c r="B32" s="4" t="s">
        <v>68</v>
      </c>
      <c r="C32" s="4" t="s">
        <v>43</v>
      </c>
      <c r="D32" s="8">
        <v>675000</v>
      </c>
      <c r="E32" s="8">
        <v>144</v>
      </c>
      <c r="F32" s="13">
        <v>-20.3</v>
      </c>
      <c r="G32" s="18">
        <v>0.0649</v>
      </c>
      <c r="H32" s="18">
        <v>0.0675</v>
      </c>
      <c r="I32" s="8">
        <v>648960</v>
      </c>
      <c r="J32" s="13">
        <v>4</v>
      </c>
      <c r="K32" s="4" t="s">
        <v>115</v>
      </c>
    </row>
    <row r="33" spans="1:11">
      <c r="A33" s="4" t="s">
        <v>124</v>
      </c>
      <c r="B33" s="4" t="s">
        <v>61</v>
      </c>
      <c r="C33" s="4" t="s">
        <v>39</v>
      </c>
      <c r="D33" s="8">
        <v>1900000</v>
      </c>
      <c r="E33" s="8">
        <v>188</v>
      </c>
      <c r="F33" s="13">
        <v>-42.6</v>
      </c>
      <c r="G33" s="18">
        <v>0.0523</v>
      </c>
      <c r="H33" s="18">
        <v>0.055</v>
      </c>
      <c r="I33" s="8">
        <v>1806773</v>
      </c>
      <c r="J33" s="13">
        <v>5.2</v>
      </c>
      <c r="K33" s="4" t="s">
        <v>115</v>
      </c>
    </row>
    <row r="34" spans="1:11">
      <c r="A34" s="4" t="s">
        <v>125</v>
      </c>
      <c r="B34" s="4" t="s">
        <v>65</v>
      </c>
      <c r="C34" s="4" t="s">
        <v>42</v>
      </c>
      <c r="D34" s="8">
        <v>3495000</v>
      </c>
      <c r="E34" s="8">
        <v>168</v>
      </c>
      <c r="F34" s="13">
        <v>-4.1</v>
      </c>
      <c r="G34" s="18">
        <v>0.0577</v>
      </c>
      <c r="H34" s="18">
        <v>0.0625</v>
      </c>
      <c r="I34" s="8">
        <v>3229018</v>
      </c>
      <c r="J34" s="13">
        <v>8.199999999999999</v>
      </c>
      <c r="K34" s="4" t="s">
        <v>115</v>
      </c>
    </row>
    <row r="35" spans="1:11">
      <c r="A35" s="4" t="s">
        <v>126</v>
      </c>
      <c r="B35" s="4" t="s">
        <v>127</v>
      </c>
      <c r="C35" s="4" t="s">
        <v>39</v>
      </c>
      <c r="D35" s="8">
        <v>1999000</v>
      </c>
      <c r="E35" s="8">
        <v>199</v>
      </c>
      <c r="F35" s="13">
        <v>-20.1</v>
      </c>
      <c r="G35" s="18">
        <v>0.0494</v>
      </c>
      <c r="H35" s="18">
        <v>0.055</v>
      </c>
      <c r="I35" s="8">
        <v>1795175</v>
      </c>
      <c r="J35" s="13">
        <v>11.4</v>
      </c>
      <c r="K35" s="4" t="s">
        <v>128</v>
      </c>
    </row>
    <row r="36" spans="1:11">
      <c r="A36" s="4" t="s">
        <v>129</v>
      </c>
      <c r="B36" s="4" t="s">
        <v>64</v>
      </c>
      <c r="C36" s="4" t="s">
        <v>47</v>
      </c>
      <c r="D36" s="8">
        <v>3995000</v>
      </c>
      <c r="E36" s="8">
        <v>197</v>
      </c>
      <c r="F36" s="13">
        <v>14.9</v>
      </c>
      <c r="G36" s="18">
        <v>0.0664</v>
      </c>
      <c r="H36" s="18">
        <v>0.075</v>
      </c>
      <c r="I36" s="8">
        <v>3534300</v>
      </c>
      <c r="J36" s="13">
        <v>13</v>
      </c>
      <c r="K36" s="4" t="s">
        <v>128</v>
      </c>
    </row>
    <row r="37" spans="1:11">
      <c r="A37" s="4" t="s">
        <v>130</v>
      </c>
      <c r="B37" s="4" t="s">
        <v>59</v>
      </c>
      <c r="C37" s="4" t="s">
        <v>48</v>
      </c>
      <c r="D37" s="8">
        <v>10500000</v>
      </c>
      <c r="E37" s="8">
        <v>219</v>
      </c>
      <c r="F37" s="13">
        <v>39.7</v>
      </c>
      <c r="G37" s="18">
        <v>0.0619</v>
      </c>
      <c r="H37" s="18">
        <v>0.07000000000000001</v>
      </c>
      <c r="I37" s="8">
        <v>9283120</v>
      </c>
      <c r="J37" s="13">
        <v>13.1</v>
      </c>
      <c r="K37" s="4" t="s">
        <v>128</v>
      </c>
    </row>
    <row r="38" spans="1:11">
      <c r="A38" s="4" t="s">
        <v>131</v>
      </c>
      <c r="B38" s="4" t="s">
        <v>66</v>
      </c>
      <c r="C38" s="4" t="s">
        <v>40</v>
      </c>
      <c r="D38" s="8">
        <v>2100000</v>
      </c>
      <c r="E38" s="8">
        <v>226</v>
      </c>
      <c r="F38" s="13">
        <v>104.8</v>
      </c>
      <c r="G38" s="18">
        <v>0.0703</v>
      </c>
      <c r="H38" s="18">
        <v>0.08</v>
      </c>
      <c r="I38" s="8">
        <v>1845608</v>
      </c>
      <c r="J38" s="13">
        <v>13.8</v>
      </c>
      <c r="K38" s="4" t="s">
        <v>128</v>
      </c>
    </row>
    <row r="39" spans="1:11">
      <c r="A39" s="4" t="s">
        <v>132</v>
      </c>
      <c r="B39" s="4" t="s">
        <v>133</v>
      </c>
      <c r="C39" s="4" t="s">
        <v>39</v>
      </c>
      <c r="D39" s="8">
        <v>4000000</v>
      </c>
      <c r="E39" s="8">
        <v>212</v>
      </c>
      <c r="F39" s="13">
        <v>18.9</v>
      </c>
      <c r="G39" s="18">
        <v>0.0464</v>
      </c>
      <c r="H39" s="18">
        <v>0.055</v>
      </c>
      <c r="I39" s="8">
        <v>3371953</v>
      </c>
      <c r="J39" s="13">
        <v>18.6</v>
      </c>
      <c r="K39" s="4" t="s">
        <v>128</v>
      </c>
    </row>
    <row r="40" spans="1:11">
      <c r="A40" s="4" t="s">
        <v>134</v>
      </c>
      <c r="B40" s="4" t="s">
        <v>133</v>
      </c>
      <c r="C40" s="4" t="s">
        <v>39</v>
      </c>
      <c r="D40" s="8">
        <v>4000000</v>
      </c>
      <c r="E40" s="8">
        <v>212</v>
      </c>
      <c r="F40" s="13">
        <v>18.9</v>
      </c>
      <c r="G40" s="18">
        <v>0.0464</v>
      </c>
      <c r="H40" s="18">
        <v>0.055</v>
      </c>
      <c r="I40" s="8">
        <v>3371953</v>
      </c>
      <c r="J40" s="13">
        <v>18.6</v>
      </c>
      <c r="K40" s="4" t="s">
        <v>128</v>
      </c>
    </row>
    <row r="41" spans="1:11">
      <c r="A41" s="4" t="s">
        <v>135</v>
      </c>
      <c r="B41" s="4" t="s">
        <v>67</v>
      </c>
      <c r="C41" s="4" t="s">
        <v>39</v>
      </c>
      <c r="D41" s="8">
        <v>1749000</v>
      </c>
      <c r="E41" s="8">
        <v>217</v>
      </c>
      <c r="F41" s="13">
        <v>-2.9</v>
      </c>
      <c r="G41" s="18">
        <v>0.0453</v>
      </c>
      <c r="H41" s="18">
        <v>0.055</v>
      </c>
      <c r="I41" s="8">
        <v>1440815</v>
      </c>
      <c r="J41" s="13">
        <v>21.4</v>
      </c>
      <c r="K41" s="4" t="s">
        <v>128</v>
      </c>
    </row>
    <row r="42" spans="1:11">
      <c r="A42" s="4" t="s">
        <v>136</v>
      </c>
      <c r="B42" s="4" t="s">
        <v>90</v>
      </c>
      <c r="C42" s="4" t="s">
        <v>39</v>
      </c>
      <c r="D42" s="8">
        <v>2475000</v>
      </c>
      <c r="E42" s="8">
        <v>238</v>
      </c>
      <c r="F42" s="13">
        <v>-2.5</v>
      </c>
      <c r="G42" s="18">
        <v>0.0412</v>
      </c>
      <c r="H42" s="18">
        <v>0.055</v>
      </c>
      <c r="I42" s="8">
        <v>1855663</v>
      </c>
      <c r="J42" s="13">
        <v>33.4</v>
      </c>
      <c r="K42" s="4" t="s">
        <v>128</v>
      </c>
    </row>
    <row r="43" spans="1:11">
      <c r="A43" s="4" t="s">
        <v>137</v>
      </c>
      <c r="B43" s="4" t="s">
        <v>69</v>
      </c>
      <c r="C43" s="4" t="s">
        <v>43</v>
      </c>
      <c r="D43" s="8">
        <v>1040000</v>
      </c>
      <c r="E43" s="8">
        <v>200</v>
      </c>
      <c r="F43" s="13">
        <v>47.9</v>
      </c>
      <c r="G43" s="18">
        <v>0.0468</v>
      </c>
      <c r="H43" s="18">
        <v>0.0675</v>
      </c>
      <c r="I43" s="8">
        <v>721067</v>
      </c>
      <c r="J43" s="13">
        <v>44.2</v>
      </c>
      <c r="K43" s="4" t="s">
        <v>128</v>
      </c>
    </row>
    <row r="44" spans="1:11">
      <c r="A44" s="4" t="s">
        <v>138</v>
      </c>
      <c r="B44" s="4" t="s">
        <v>139</v>
      </c>
      <c r="C44" s="4" t="s">
        <v>48</v>
      </c>
      <c r="D44" s="8">
        <v>2100000</v>
      </c>
      <c r="E44" s="8">
        <v>280</v>
      </c>
      <c r="F44" s="13">
        <v>-6.8</v>
      </c>
      <c r="G44" s="18">
        <v>0.0484</v>
      </c>
      <c r="H44" s="18">
        <v>0.07000000000000001</v>
      </c>
      <c r="I44" s="8">
        <v>1452581</v>
      </c>
      <c r="J44" s="13">
        <v>44.6</v>
      </c>
      <c r="K44" s="4" t="s">
        <v>128</v>
      </c>
    </row>
    <row r="45" spans="1:11">
      <c r="A45" s="4" t="s">
        <v>140</v>
      </c>
      <c r="B45" s="4" t="s">
        <v>66</v>
      </c>
      <c r="C45" s="4" t="s">
        <v>39</v>
      </c>
      <c r="D45" s="8">
        <v>2500000</v>
      </c>
      <c r="E45" s="8">
        <v>261</v>
      </c>
      <c r="F45" s="13">
        <v>15.4</v>
      </c>
      <c r="G45" s="18">
        <v>0.0376</v>
      </c>
      <c r="H45" s="18">
        <v>0.055</v>
      </c>
      <c r="I45" s="8">
        <v>1706853</v>
      </c>
      <c r="J45" s="13">
        <v>46.5</v>
      </c>
      <c r="K45" s="4" t="s">
        <v>128</v>
      </c>
    </row>
    <row r="46" spans="1:11">
      <c r="A46" s="4" t="s">
        <v>141</v>
      </c>
      <c r="B46" s="4" t="s">
        <v>63</v>
      </c>
      <c r="C46" s="4" t="s">
        <v>46</v>
      </c>
      <c r="D46" s="8">
        <v>1999000</v>
      </c>
      <c r="E46" s="8">
        <v>313</v>
      </c>
      <c r="F46" s="13">
        <v>-23.9</v>
      </c>
      <c r="G46" s="18">
        <v>0.047</v>
      </c>
      <c r="H46" s="18">
        <v>0.07000000000000001</v>
      </c>
      <c r="I46" s="8">
        <v>1341202</v>
      </c>
      <c r="J46" s="13">
        <v>49</v>
      </c>
      <c r="K46" s="4" t="s">
        <v>128</v>
      </c>
    </row>
    <row r="47" spans="1:11">
      <c r="A47" s="4" t="s">
        <v>142</v>
      </c>
      <c r="B47" s="4" t="s">
        <v>63</v>
      </c>
      <c r="C47" s="4" t="s">
        <v>48</v>
      </c>
      <c r="D47" s="8">
        <v>4900000</v>
      </c>
      <c r="E47" s="8">
        <v>302</v>
      </c>
      <c r="F47" s="13">
        <v>20.5</v>
      </c>
      <c r="G47" s="18">
        <v>0.0449</v>
      </c>
      <c r="H47" s="18">
        <v>0.07000000000000001</v>
      </c>
      <c r="I47" s="8">
        <v>3146000</v>
      </c>
      <c r="J47" s="13">
        <v>55.8</v>
      </c>
      <c r="K47" s="4" t="s">
        <v>128</v>
      </c>
    </row>
    <row r="48" spans="1:11">
      <c r="A48" s="4" t="s">
        <v>143</v>
      </c>
      <c r="B48" s="4" t="s">
        <v>107</v>
      </c>
      <c r="C48" s="4" t="s">
        <v>41</v>
      </c>
      <c r="D48" s="8">
        <v>710000</v>
      </c>
      <c r="E48" s="8">
        <v>387</v>
      </c>
      <c r="F48" s="13">
        <v>-6.2</v>
      </c>
      <c r="G48" s="18">
        <v>0.0426</v>
      </c>
      <c r="H48" s="18">
        <v>0.0675</v>
      </c>
      <c r="I48" s="8">
        <v>448197</v>
      </c>
      <c r="J48" s="13">
        <v>58.4</v>
      </c>
      <c r="K48" s="4" t="s">
        <v>128</v>
      </c>
    </row>
    <row r="49" spans="1:11">
      <c r="A49" s="4" t="s">
        <v>144</v>
      </c>
      <c r="B49" s="4" t="s">
        <v>67</v>
      </c>
      <c r="C49" s="4" t="s">
        <v>42</v>
      </c>
      <c r="D49" s="8">
        <v>1799000</v>
      </c>
      <c r="E49" s="8">
        <v>257</v>
      </c>
      <c r="F49" s="13">
        <v>-7.2</v>
      </c>
      <c r="G49" s="18">
        <v>0.0377</v>
      </c>
      <c r="H49" s="18">
        <v>0.0625</v>
      </c>
      <c r="I49" s="8">
        <v>1085280</v>
      </c>
      <c r="J49" s="13">
        <v>65.8</v>
      </c>
      <c r="K49" s="4" t="s">
        <v>128</v>
      </c>
    </row>
    <row r="50" spans="1:11">
      <c r="A50" s="4" t="s">
        <v>145</v>
      </c>
      <c r="B50" s="4" t="s">
        <v>64</v>
      </c>
      <c r="C50" s="4" t="s">
        <v>43</v>
      </c>
      <c r="D50" s="8">
        <v>2800000</v>
      </c>
      <c r="E50" s="8">
        <v>238</v>
      </c>
      <c r="F50" s="13">
        <v>44.9</v>
      </c>
      <c r="G50" s="18">
        <v>0.0393</v>
      </c>
      <c r="H50" s="18">
        <v>0.0675</v>
      </c>
      <c r="I50" s="8">
        <v>1630859</v>
      </c>
      <c r="J50" s="13">
        <v>71.7</v>
      </c>
      <c r="K50" s="4" t="s">
        <v>128</v>
      </c>
    </row>
    <row r="51" spans="1:11">
      <c r="A51" s="4" t="s">
        <v>146</v>
      </c>
      <c r="B51" s="4" t="s">
        <v>147</v>
      </c>
      <c r="C51" s="4" t="s">
        <v>39</v>
      </c>
      <c r="D51" s="8">
        <v>2149000</v>
      </c>
      <c r="E51" s="8">
        <v>324</v>
      </c>
      <c r="F51" s="13">
        <v>4.4</v>
      </c>
      <c r="G51" s="18">
        <v>0.0303</v>
      </c>
      <c r="H51" s="18">
        <v>0.055</v>
      </c>
      <c r="I51" s="8">
        <v>1183520</v>
      </c>
      <c r="J51" s="13">
        <v>81.59999999999999</v>
      </c>
      <c r="K51" s="4" t="s">
        <v>128</v>
      </c>
    </row>
    <row r="52" spans="1:11">
      <c r="A52" s="4" t="s">
        <v>148</v>
      </c>
      <c r="B52" s="4" t="s">
        <v>63</v>
      </c>
      <c r="C52" s="4" t="s">
        <v>48</v>
      </c>
      <c r="D52" s="8">
        <v>4900000</v>
      </c>
      <c r="E52" s="8">
        <v>362</v>
      </c>
      <c r="F52" s="13">
        <v>31.3</v>
      </c>
      <c r="G52" s="18">
        <v>0.0374</v>
      </c>
      <c r="H52" s="18">
        <v>0.07000000000000001</v>
      </c>
      <c r="I52" s="8">
        <v>2618440</v>
      </c>
      <c r="J52" s="13">
        <v>87.09999999999999</v>
      </c>
      <c r="K52" s="4" t="s">
        <v>128</v>
      </c>
    </row>
    <row r="53" spans="1:11">
      <c r="A53" s="4" t="s">
        <v>149</v>
      </c>
      <c r="B53" s="4" t="s">
        <v>66</v>
      </c>
      <c r="C53" s="4" t="s">
        <v>40</v>
      </c>
      <c r="D53" s="8">
        <v>990000</v>
      </c>
      <c r="E53" s="8">
        <v>412</v>
      </c>
      <c r="F53" s="13">
        <v>81.7</v>
      </c>
      <c r="G53" s="18">
        <v>0.0385</v>
      </c>
      <c r="H53" s="18">
        <v>0.08</v>
      </c>
      <c r="I53" s="8">
        <v>476850</v>
      </c>
      <c r="J53" s="13">
        <v>107.6</v>
      </c>
      <c r="K53" s="4" t="s">
        <v>128</v>
      </c>
    </row>
    <row r="54" spans="1:11">
      <c r="A54" s="4" t="s">
        <v>150</v>
      </c>
      <c r="B54" s="4" t="s">
        <v>63</v>
      </c>
      <c r="C54" s="4" t="s">
        <v>43</v>
      </c>
      <c r="D54" s="8">
        <v>1900000</v>
      </c>
      <c r="E54" s="8">
        <v>298</v>
      </c>
      <c r="F54" s="13">
        <v>0.9</v>
      </c>
      <c r="G54" s="18">
        <v>0.0315</v>
      </c>
      <c r="H54" s="18">
        <v>0.0675</v>
      </c>
      <c r="I54" s="8">
        <v>885387</v>
      </c>
      <c r="J54" s="13">
        <v>114.6</v>
      </c>
      <c r="K54" s="4" t="s">
        <v>128</v>
      </c>
    </row>
    <row r="55" spans="1:11">
      <c r="A55" s="4" t="s">
        <v>151</v>
      </c>
      <c r="B55" s="4" t="s">
        <v>59</v>
      </c>
      <c r="C55" s="4" t="s">
        <v>45</v>
      </c>
      <c r="D55" s="8">
        <v>995000</v>
      </c>
      <c r="E55" s="8">
        <v>829</v>
      </c>
      <c r="F55" s="13">
        <v>0.8</v>
      </c>
      <c r="G55" s="18">
        <v>0.0287</v>
      </c>
      <c r="H55" s="18">
        <v>0.065</v>
      </c>
      <c r="I55" s="8">
        <v>438646</v>
      </c>
      <c r="J55" s="13">
        <v>126.8</v>
      </c>
      <c r="K55" s="4" t="s">
        <v>128</v>
      </c>
    </row>
    <row r="56" spans="1:11">
      <c r="A56" s="4" t="s">
        <v>152</v>
      </c>
      <c r="B56" s="4" t="s">
        <v>64</v>
      </c>
      <c r="C56" s="4" t="s">
        <v>43</v>
      </c>
      <c r="D56" s="8">
        <v>2299000</v>
      </c>
      <c r="E56" s="8">
        <v>406</v>
      </c>
      <c r="F56" s="13">
        <v>66.59999999999999</v>
      </c>
      <c r="G56" s="18">
        <v>0.0231</v>
      </c>
      <c r="H56" s="18">
        <v>0.0675</v>
      </c>
      <c r="I56" s="8">
        <v>785408</v>
      </c>
      <c r="J56" s="13">
        <v>192.7</v>
      </c>
      <c r="K56" s="4" t="s">
        <v>128</v>
      </c>
    </row>
    <row r="57" spans="1:11">
      <c r="A57" s="4" t="s">
        <v>153</v>
      </c>
      <c r="B57" s="4" t="s">
        <v>61</v>
      </c>
      <c r="C57" s="4" t="s">
        <v>39</v>
      </c>
      <c r="D57" s="8">
        <v>3749000</v>
      </c>
      <c r="E57" s="8">
        <v>555</v>
      </c>
      <c r="F57" s="13">
        <v>36.2</v>
      </c>
      <c r="G57" s="18">
        <v>0.0177</v>
      </c>
      <c r="H57" s="18">
        <v>0.055</v>
      </c>
      <c r="I57" s="8">
        <v>1204396</v>
      </c>
      <c r="J57" s="13">
        <v>211.3</v>
      </c>
      <c r="K57" s="4" t="s">
        <v>128</v>
      </c>
    </row>
    <row r="58" spans="1:11">
      <c r="A58" s="4" t="s">
        <v>154</v>
      </c>
      <c r="B58" s="4" t="s">
        <v>61</v>
      </c>
      <c r="C58" s="4" t="s">
        <v>48</v>
      </c>
      <c r="D58" s="8">
        <v>6000000</v>
      </c>
      <c r="E58" s="8">
        <v>738</v>
      </c>
      <c r="F58" s="13">
        <v>94.59999999999999</v>
      </c>
      <c r="G58" s="18">
        <v>0.0184</v>
      </c>
      <c r="H58" s="18">
        <v>0.07000000000000001</v>
      </c>
      <c r="I58" s="8">
        <v>1573194</v>
      </c>
      <c r="J58" s="13">
        <v>281.4</v>
      </c>
      <c r="K58" s="4" t="s">
        <v>128</v>
      </c>
    </row>
    <row r="59" spans="1:11">
      <c r="A59" s="4" t="s">
        <v>155</v>
      </c>
      <c r="B59" s="4" t="s">
        <v>61</v>
      </c>
      <c r="C59" s="4" t="s">
        <v>48</v>
      </c>
      <c r="D59" s="8">
        <v>5000000</v>
      </c>
      <c r="E59" s="8">
        <v>784</v>
      </c>
      <c r="F59" s="13">
        <v>81.59999999999999</v>
      </c>
      <c r="G59" s="18">
        <v>0.0173</v>
      </c>
      <c r="H59" s="18">
        <v>0.07000000000000001</v>
      </c>
      <c r="I59" s="8">
        <v>1234200</v>
      </c>
      <c r="J59" s="13">
        <v>305.1</v>
      </c>
      <c r="K59" s="4" t="s">
        <v>128</v>
      </c>
    </row>
    <row r="60" spans="1:11">
      <c r="A60" s="4" t="s">
        <v>156</v>
      </c>
      <c r="B60" s="4" t="s">
        <v>147</v>
      </c>
      <c r="C60" s="4" t="s">
        <v>48</v>
      </c>
      <c r="D60" s="8">
        <v>2400000</v>
      </c>
      <c r="E60" s="8">
        <v>2166</v>
      </c>
      <c r="F60" s="13">
        <v>160.7</v>
      </c>
      <c r="G60" s="18">
        <v>0.0063</v>
      </c>
      <c r="H60" s="18">
        <v>0.07000000000000001</v>
      </c>
      <c r="I60" s="8">
        <v>214509</v>
      </c>
      <c r="J60" s="13">
        <v>1018.8</v>
      </c>
      <c r="K60" s="4" t="s">
        <v>128</v>
      </c>
    </row>
  </sheetData>
  <mergeCells count="1"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6" width="12.7109375" customWidth="1"/>
    <col min="7" max="7" width="58.7109375" customWidth="1"/>
  </cols>
  <sheetData>
    <row r="1" spans="1:8">
      <c r="A1" s="1" t="s">
        <v>157</v>
      </c>
    </row>
    <row r="2" spans="1:8" ht="30" customHeight="1">
      <c r="A2" s="2" t="s">
        <v>158</v>
      </c>
      <c r="B2" s="2"/>
      <c r="C2" s="2"/>
      <c r="D2" s="2"/>
      <c r="E2" s="2"/>
      <c r="F2" s="2"/>
      <c r="G2" s="2"/>
      <c r="H2" s="2"/>
    </row>
    <row r="4" spans="1:8">
      <c r="A4" s="6" t="s">
        <v>80</v>
      </c>
      <c r="B4" s="6" t="s">
        <v>81</v>
      </c>
      <c r="C4" s="6" t="s">
        <v>72</v>
      </c>
      <c r="D4" s="6" t="s">
        <v>82</v>
      </c>
      <c r="E4" s="6" t="s">
        <v>86</v>
      </c>
      <c r="F4" s="6" t="s">
        <v>87</v>
      </c>
      <c r="G4" s="6" t="s">
        <v>159</v>
      </c>
    </row>
    <row r="5" spans="1:8">
      <c r="A5" s="4" t="s">
        <v>92</v>
      </c>
      <c r="B5" s="4" t="s">
        <v>66</v>
      </c>
      <c r="C5" s="4" t="s">
        <v>48</v>
      </c>
      <c r="D5" s="8">
        <v>2350000</v>
      </c>
      <c r="E5" s="8">
        <v>5397181</v>
      </c>
      <c r="F5" s="13">
        <v>-56.5</v>
      </c>
      <c r="G5" s="4" t="s">
        <v>160</v>
      </c>
    </row>
    <row r="6" spans="1:8">
      <c r="A6" s="4" t="s">
        <v>93</v>
      </c>
      <c r="B6" s="4" t="s">
        <v>66</v>
      </c>
      <c r="C6" s="4" t="s">
        <v>40</v>
      </c>
      <c r="D6" s="8">
        <v>1995000</v>
      </c>
      <c r="E6" s="8">
        <v>4329202</v>
      </c>
      <c r="F6" s="13">
        <v>-53.9</v>
      </c>
      <c r="G6" s="4" t="s">
        <v>161</v>
      </c>
    </row>
    <row r="7" spans="1:8">
      <c r="A7" s="4" t="s">
        <v>94</v>
      </c>
      <c r="B7" s="4" t="s">
        <v>67</v>
      </c>
      <c r="C7" s="4" t="s">
        <v>48</v>
      </c>
      <c r="D7" s="8">
        <v>1900000</v>
      </c>
      <c r="E7" s="8">
        <v>3990870</v>
      </c>
      <c r="F7" s="13">
        <v>-52.4</v>
      </c>
      <c r="G7" s="4" t="s">
        <v>162</v>
      </c>
    </row>
    <row r="8" spans="1:8">
      <c r="A8" s="4" t="s">
        <v>95</v>
      </c>
      <c r="B8" s="4" t="s">
        <v>64</v>
      </c>
      <c r="C8" s="4" t="s">
        <v>41</v>
      </c>
      <c r="D8" s="8">
        <v>750000</v>
      </c>
      <c r="E8" s="8">
        <v>1527733</v>
      </c>
      <c r="F8" s="13">
        <v>-50.9</v>
      </c>
      <c r="G8" s="4" t="s">
        <v>163</v>
      </c>
    </row>
    <row r="9" spans="1:8">
      <c r="A9" s="4" t="s">
        <v>96</v>
      </c>
      <c r="B9" s="4" t="s">
        <v>97</v>
      </c>
      <c r="C9" s="4" t="s">
        <v>43</v>
      </c>
      <c r="D9" s="8">
        <v>799900</v>
      </c>
      <c r="E9" s="8">
        <v>1544192</v>
      </c>
      <c r="F9" s="13">
        <v>-48.2</v>
      </c>
      <c r="G9" s="4" t="s">
        <v>164</v>
      </c>
    </row>
    <row r="10" spans="1:8">
      <c r="A10" s="4" t="s">
        <v>98</v>
      </c>
      <c r="B10" s="4" t="s">
        <v>99</v>
      </c>
      <c r="C10" s="4" t="s">
        <v>39</v>
      </c>
      <c r="D10" s="8">
        <v>1300000</v>
      </c>
      <c r="E10" s="8">
        <v>2462321</v>
      </c>
      <c r="F10" s="13">
        <v>-47.2</v>
      </c>
      <c r="G10" s="4" t="s">
        <v>165</v>
      </c>
    </row>
    <row r="11" spans="1:8">
      <c r="A11" s="4" t="s">
        <v>100</v>
      </c>
      <c r="B11" s="4" t="s">
        <v>66</v>
      </c>
      <c r="C11" s="4" t="s">
        <v>40</v>
      </c>
      <c r="D11" s="8">
        <v>799000</v>
      </c>
      <c r="E11" s="8">
        <v>1359022</v>
      </c>
      <c r="F11" s="13">
        <v>-41.2</v>
      </c>
      <c r="G11" s="4" t="s">
        <v>166</v>
      </c>
    </row>
    <row r="12" spans="1:8">
      <c r="A12" s="4" t="s">
        <v>101</v>
      </c>
      <c r="B12" s="4" t="s">
        <v>102</v>
      </c>
      <c r="C12" s="4" t="s">
        <v>41</v>
      </c>
      <c r="D12" s="8">
        <v>1050000</v>
      </c>
      <c r="E12" s="8">
        <v>1650725</v>
      </c>
      <c r="F12" s="13">
        <v>-36.4</v>
      </c>
      <c r="G12" s="4" t="s">
        <v>167</v>
      </c>
    </row>
    <row r="13" spans="1:8">
      <c r="A13" s="4" t="s">
        <v>101</v>
      </c>
      <c r="B13" s="4" t="s">
        <v>102</v>
      </c>
      <c r="C13" s="4" t="s">
        <v>41</v>
      </c>
      <c r="D13" s="8">
        <v>1050000</v>
      </c>
      <c r="E13" s="8">
        <v>1650725</v>
      </c>
      <c r="F13" s="13">
        <v>-36.4</v>
      </c>
      <c r="G13" s="4" t="s">
        <v>167</v>
      </c>
    </row>
    <row r="14" spans="1:8">
      <c r="A14" s="4" t="s">
        <v>103</v>
      </c>
      <c r="B14" s="4" t="s">
        <v>66</v>
      </c>
      <c r="C14" s="4" t="s">
        <v>48</v>
      </c>
      <c r="D14" s="8">
        <v>875000</v>
      </c>
      <c r="E14" s="8">
        <v>1324224</v>
      </c>
      <c r="F14" s="13">
        <v>-33.9</v>
      </c>
      <c r="G14" s="4" t="s">
        <v>168</v>
      </c>
    </row>
    <row r="15" spans="1:8">
      <c r="A15" s="4" t="s">
        <v>104</v>
      </c>
      <c r="B15" s="4" t="s">
        <v>68</v>
      </c>
      <c r="C15" s="4" t="s">
        <v>42</v>
      </c>
      <c r="D15" s="8">
        <v>1750000</v>
      </c>
      <c r="E15" s="8">
        <v>2616300</v>
      </c>
      <c r="F15" s="13">
        <v>-33.1</v>
      </c>
      <c r="G15" s="4" t="s">
        <v>169</v>
      </c>
    </row>
    <row r="16" spans="1:8">
      <c r="A16" s="4" t="s">
        <v>105</v>
      </c>
      <c r="B16" s="4" t="s">
        <v>66</v>
      </c>
      <c r="C16" s="4" t="s">
        <v>39</v>
      </c>
      <c r="D16" s="8">
        <v>1750000</v>
      </c>
      <c r="E16" s="8">
        <v>2551358</v>
      </c>
      <c r="F16" s="13">
        <v>-31.4</v>
      </c>
      <c r="G16" s="4" t="s">
        <v>170</v>
      </c>
    </row>
    <row r="17" spans="1:7">
      <c r="A17" s="4" t="s">
        <v>106</v>
      </c>
      <c r="B17" s="4" t="s">
        <v>107</v>
      </c>
      <c r="C17" s="4" t="s">
        <v>48</v>
      </c>
      <c r="D17" s="8">
        <v>2900000</v>
      </c>
      <c r="E17" s="8">
        <v>4152720</v>
      </c>
      <c r="F17" s="13">
        <v>-30.2</v>
      </c>
      <c r="G17" s="4" t="s">
        <v>171</v>
      </c>
    </row>
    <row r="18" spans="1:7">
      <c r="A18" s="4" t="s">
        <v>108</v>
      </c>
      <c r="B18" s="4" t="s">
        <v>64</v>
      </c>
      <c r="C18" s="4" t="s">
        <v>44</v>
      </c>
      <c r="D18" s="8">
        <v>7995000</v>
      </c>
      <c r="E18" s="8">
        <v>11393249</v>
      </c>
      <c r="F18" s="13">
        <v>-29.8</v>
      </c>
      <c r="G18" s="4" t="s">
        <v>172</v>
      </c>
    </row>
    <row r="19" spans="1:7">
      <c r="A19" s="4" t="s">
        <v>109</v>
      </c>
      <c r="B19" s="4" t="s">
        <v>67</v>
      </c>
      <c r="C19" s="4" t="s">
        <v>48</v>
      </c>
      <c r="D19" s="8">
        <v>975000</v>
      </c>
      <c r="E19" s="8">
        <v>1355200</v>
      </c>
      <c r="F19" s="13">
        <v>-28.1</v>
      </c>
      <c r="G19" s="4" t="s">
        <v>173</v>
      </c>
    </row>
    <row r="20" spans="1:7">
      <c r="A20" s="4" t="s">
        <v>110</v>
      </c>
      <c r="B20" s="4" t="s">
        <v>66</v>
      </c>
      <c r="C20" s="4" t="s">
        <v>43</v>
      </c>
      <c r="D20" s="8">
        <v>1100000</v>
      </c>
      <c r="E20" s="8">
        <v>1518955</v>
      </c>
      <c r="F20" s="13">
        <v>-27.6</v>
      </c>
      <c r="G20" s="4" t="s">
        <v>174</v>
      </c>
    </row>
    <row r="21" spans="1:7">
      <c r="A21" s="4" t="s">
        <v>111</v>
      </c>
      <c r="B21" s="4" t="s">
        <v>68</v>
      </c>
      <c r="C21" s="4" t="s">
        <v>39</v>
      </c>
      <c r="D21" s="8">
        <v>1399990</v>
      </c>
      <c r="E21" s="8">
        <v>1806595</v>
      </c>
      <c r="F21" s="13">
        <v>-22.5</v>
      </c>
      <c r="G21" s="4" t="s">
        <v>175</v>
      </c>
    </row>
    <row r="22" spans="1:7">
      <c r="A22" s="4" t="s">
        <v>112</v>
      </c>
      <c r="B22" s="4" t="s">
        <v>61</v>
      </c>
      <c r="C22" s="4" t="s">
        <v>39</v>
      </c>
      <c r="D22" s="8">
        <v>975000</v>
      </c>
      <c r="E22" s="8">
        <v>1204396</v>
      </c>
      <c r="F22" s="13">
        <v>-19</v>
      </c>
      <c r="G22" s="4" t="s">
        <v>176</v>
      </c>
    </row>
    <row r="23" spans="1:7">
      <c r="A23" s="4" t="s">
        <v>113</v>
      </c>
      <c r="B23" s="4" t="s">
        <v>59</v>
      </c>
      <c r="C23" s="4" t="s">
        <v>44</v>
      </c>
      <c r="D23" s="8">
        <v>6000000</v>
      </c>
      <c r="E23" s="8">
        <v>6712588</v>
      </c>
      <c r="F23" s="13">
        <v>-10.6</v>
      </c>
      <c r="G23" s="4" t="s">
        <v>177</v>
      </c>
    </row>
  </sheetData>
  <mergeCells count="1"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8" width="12.7109375" customWidth="1"/>
  </cols>
  <sheetData>
    <row r="1" spans="1:9">
      <c r="A1" s="1" t="s">
        <v>178</v>
      </c>
    </row>
    <row r="2" spans="1:9" ht="30" customHeight="1">
      <c r="A2" s="2" t="s">
        <v>179</v>
      </c>
      <c r="B2" s="2"/>
      <c r="C2" s="2"/>
      <c r="D2" s="2"/>
      <c r="E2" s="2"/>
      <c r="F2" s="2"/>
      <c r="G2" s="2"/>
      <c r="H2" s="2"/>
      <c r="I2" s="2"/>
    </row>
    <row r="4" spans="1:9">
      <c r="A4" s="6" t="s">
        <v>72</v>
      </c>
      <c r="B4" s="6" t="s">
        <v>73</v>
      </c>
      <c r="C4" s="6" t="s">
        <v>74</v>
      </c>
      <c r="D4" s="6" t="s">
        <v>180</v>
      </c>
      <c r="E4" s="6" t="s">
        <v>33</v>
      </c>
      <c r="F4" s="6" t="s">
        <v>56</v>
      </c>
    </row>
    <row r="5" spans="1:9">
      <c r="A5" s="4" t="s">
        <v>48</v>
      </c>
      <c r="B5" s="16">
        <v>96</v>
      </c>
      <c r="C5" s="16">
        <v>20</v>
      </c>
      <c r="D5" s="16">
        <v>13</v>
      </c>
      <c r="E5" s="8">
        <v>194.5</v>
      </c>
      <c r="F5" s="14">
        <v>11.7</v>
      </c>
    </row>
    <row r="6" spans="1:9">
      <c r="A6" s="4" t="s">
        <v>39</v>
      </c>
      <c r="B6" s="16">
        <v>90</v>
      </c>
      <c r="C6" s="16">
        <v>21</v>
      </c>
      <c r="D6" s="16">
        <v>16</v>
      </c>
      <c r="E6" s="8">
        <v>177.5</v>
      </c>
      <c r="F6" s="14">
        <v>13.7</v>
      </c>
    </row>
    <row r="7" spans="1:9">
      <c r="A7" s="4" t="s">
        <v>42</v>
      </c>
      <c r="B7" s="16">
        <v>34</v>
      </c>
      <c r="C7" s="16">
        <v>11</v>
      </c>
      <c r="D7" s="16">
        <v>3</v>
      </c>
      <c r="E7" s="8">
        <v>149.5</v>
      </c>
      <c r="F7" s="14">
        <v>4.9</v>
      </c>
    </row>
    <row r="8" spans="1:9">
      <c r="A8" s="4" t="s">
        <v>43</v>
      </c>
      <c r="B8" s="16">
        <v>33</v>
      </c>
      <c r="C8" s="16">
        <v>5</v>
      </c>
      <c r="D8" s="16">
        <v>9</v>
      </c>
      <c r="E8" s="8">
        <v>136</v>
      </c>
      <c r="F8" s="14">
        <v>32.4</v>
      </c>
    </row>
    <row r="9" spans="1:9">
      <c r="A9" s="4" t="s">
        <v>40</v>
      </c>
      <c r="B9" s="16">
        <v>29</v>
      </c>
      <c r="C9" s="16">
        <v>3</v>
      </c>
      <c r="D9" s="16">
        <v>5</v>
      </c>
      <c r="E9" s="8">
        <v>197</v>
      </c>
      <c r="F9" s="14">
        <v>30</v>
      </c>
    </row>
    <row r="10" spans="1:9">
      <c r="A10" s="4" t="s">
        <v>41</v>
      </c>
      <c r="B10" s="16">
        <v>25</v>
      </c>
      <c r="C10" s="16">
        <v>6</v>
      </c>
      <c r="D10" s="16">
        <v>5</v>
      </c>
      <c r="E10" s="8">
        <v>247</v>
      </c>
      <c r="F10" s="14">
        <v>15</v>
      </c>
    </row>
    <row r="11" spans="1:9">
      <c r="A11" s="4" t="s">
        <v>44</v>
      </c>
      <c r="B11" s="16">
        <v>11</v>
      </c>
      <c r="C11" s="16">
        <v>0</v>
      </c>
      <c r="D11" s="16">
        <v>2</v>
      </c>
      <c r="E11" s="8">
        <v>347</v>
      </c>
      <c r="F11" s="15" t="s">
        <v>62</v>
      </c>
    </row>
    <row r="12" spans="1:9">
      <c r="A12" s="4" t="s">
        <v>45</v>
      </c>
      <c r="B12" s="16">
        <v>8</v>
      </c>
      <c r="C12" s="16">
        <v>3</v>
      </c>
      <c r="D12" s="16">
        <v>1</v>
      </c>
      <c r="E12" s="8">
        <v>364.5</v>
      </c>
      <c r="F12" s="14">
        <v>6</v>
      </c>
    </row>
    <row r="13" spans="1:9">
      <c r="A13" s="4" t="s">
        <v>46</v>
      </c>
      <c r="B13" s="16">
        <v>3</v>
      </c>
      <c r="C13" s="16">
        <v>0</v>
      </c>
      <c r="D13" s="16">
        <v>1</v>
      </c>
      <c r="E13" s="8">
        <v>345</v>
      </c>
      <c r="F13" s="15" t="s">
        <v>62</v>
      </c>
    </row>
    <row r="14" spans="1:9">
      <c r="A14" s="4" t="s">
        <v>47</v>
      </c>
      <c r="B14" s="16">
        <v>2</v>
      </c>
      <c r="C14" s="16">
        <v>0</v>
      </c>
      <c r="D14" s="16">
        <v>1</v>
      </c>
      <c r="E14" s="8">
        <v>319</v>
      </c>
      <c r="F14" s="15" t="s">
        <v>62</v>
      </c>
    </row>
  </sheetData>
  <mergeCells count="1">
    <mergeCell ref="A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7" width="12.7109375" customWidth="1"/>
  </cols>
  <sheetData>
    <row r="1" spans="1:8">
      <c r="A1" s="1" t="s">
        <v>181</v>
      </c>
    </row>
    <row r="2" spans="1:8" ht="30" customHeight="1">
      <c r="A2" s="2" t="s">
        <v>182</v>
      </c>
      <c r="B2" s="2"/>
      <c r="C2" s="2"/>
      <c r="D2" s="2"/>
      <c r="E2" s="2"/>
      <c r="F2" s="2"/>
      <c r="G2" s="2"/>
      <c r="H2" s="2"/>
    </row>
    <row r="4" spans="1:8">
      <c r="A4" s="6" t="s">
        <v>80</v>
      </c>
      <c r="B4" s="6" t="s">
        <v>81</v>
      </c>
      <c r="C4" s="6" t="s">
        <v>72</v>
      </c>
      <c r="D4" s="6" t="s">
        <v>183</v>
      </c>
      <c r="E4" s="6" t="s">
        <v>83</v>
      </c>
      <c r="F4" s="6" t="s">
        <v>184</v>
      </c>
      <c r="G4" s="6" t="s">
        <v>185</v>
      </c>
    </row>
    <row r="5" spans="1:8">
      <c r="A5" s="4" t="s">
        <v>186</v>
      </c>
      <c r="B5" s="4" t="s">
        <v>139</v>
      </c>
      <c r="C5" s="4" t="s">
        <v>40</v>
      </c>
      <c r="D5" s="8">
        <v>21000000</v>
      </c>
      <c r="E5" s="8">
        <v>557</v>
      </c>
      <c r="F5" s="8">
        <v>59</v>
      </c>
      <c r="G5" s="13">
        <v>842.9</v>
      </c>
    </row>
    <row r="6" spans="1:8">
      <c r="A6" s="4" t="s">
        <v>187</v>
      </c>
      <c r="B6" s="4" t="s">
        <v>188</v>
      </c>
      <c r="C6" s="4" t="s">
        <v>40</v>
      </c>
      <c r="D6" s="8">
        <v>12500000</v>
      </c>
      <c r="E6" s="8">
        <v>805</v>
      </c>
      <c r="F6" s="8">
        <v>95</v>
      </c>
      <c r="G6" s="13">
        <v>749.3</v>
      </c>
    </row>
    <row r="7" spans="1:8">
      <c r="A7" s="4" t="s">
        <v>189</v>
      </c>
      <c r="B7" s="4" t="s">
        <v>69</v>
      </c>
      <c r="C7" s="4" t="s">
        <v>41</v>
      </c>
      <c r="D7" s="8">
        <v>7995000</v>
      </c>
      <c r="E7" s="8">
        <v>643</v>
      </c>
      <c r="F7" s="8">
        <v>77</v>
      </c>
      <c r="G7" s="13">
        <v>730.9</v>
      </c>
    </row>
    <row r="8" spans="1:8">
      <c r="A8" s="4" t="s">
        <v>190</v>
      </c>
      <c r="B8" s="4" t="s">
        <v>68</v>
      </c>
      <c r="C8" s="4" t="s">
        <v>39</v>
      </c>
      <c r="D8" s="8">
        <v>5200000</v>
      </c>
      <c r="E8" s="8">
        <v>1932</v>
      </c>
      <c r="F8" s="8">
        <v>329</v>
      </c>
      <c r="G8" s="13">
        <v>487.2</v>
      </c>
    </row>
    <row r="9" spans="1:8">
      <c r="A9" s="4" t="s">
        <v>191</v>
      </c>
      <c r="B9" s="4" t="s">
        <v>192</v>
      </c>
      <c r="C9" s="4" t="s">
        <v>48</v>
      </c>
      <c r="D9" s="8">
        <v>23000000</v>
      </c>
      <c r="E9" s="8">
        <v>812</v>
      </c>
      <c r="F9" s="8">
        <v>148</v>
      </c>
      <c r="G9" s="13">
        <v>448.6</v>
      </c>
    </row>
    <row r="10" spans="1:8">
      <c r="A10" s="4" t="s">
        <v>193</v>
      </c>
      <c r="B10" s="4" t="s">
        <v>69</v>
      </c>
      <c r="C10" s="4" t="s">
        <v>39</v>
      </c>
      <c r="D10" s="8">
        <v>6895000</v>
      </c>
      <c r="E10" s="8">
        <v>690</v>
      </c>
      <c r="F10" s="8">
        <v>129</v>
      </c>
      <c r="G10" s="13">
        <v>435.7</v>
      </c>
    </row>
    <row r="11" spans="1:8">
      <c r="A11" s="4" t="s">
        <v>194</v>
      </c>
      <c r="B11" s="4" t="s">
        <v>97</v>
      </c>
      <c r="C11" s="4" t="s">
        <v>43</v>
      </c>
      <c r="D11" s="8">
        <v>11250000</v>
      </c>
      <c r="E11" s="8">
        <v>653</v>
      </c>
      <c r="F11" s="8">
        <v>139</v>
      </c>
      <c r="G11" s="13">
        <v>371.2</v>
      </c>
    </row>
    <row r="12" spans="1:8">
      <c r="A12" s="4" t="s">
        <v>195</v>
      </c>
      <c r="B12" s="4" t="s">
        <v>196</v>
      </c>
      <c r="C12" s="4" t="s">
        <v>44</v>
      </c>
      <c r="D12" s="8">
        <v>12000000</v>
      </c>
      <c r="E12" s="8">
        <v>1920</v>
      </c>
      <c r="F12" s="8">
        <v>515</v>
      </c>
      <c r="G12" s="13">
        <v>272.8</v>
      </c>
    </row>
    <row r="13" spans="1:8">
      <c r="A13" s="4" t="s">
        <v>197</v>
      </c>
      <c r="B13" s="4" t="s">
        <v>198</v>
      </c>
      <c r="C13" s="4" t="s">
        <v>48</v>
      </c>
      <c r="D13" s="8">
        <v>13900000</v>
      </c>
      <c r="E13" s="8">
        <v>562</v>
      </c>
      <c r="F13" s="8">
        <v>159</v>
      </c>
      <c r="G13" s="13">
        <v>252.8</v>
      </c>
    </row>
    <row r="14" spans="1:8">
      <c r="A14" s="4" t="s">
        <v>199</v>
      </c>
      <c r="B14" s="4" t="s">
        <v>107</v>
      </c>
      <c r="C14" s="4" t="s">
        <v>41</v>
      </c>
      <c r="D14" s="8">
        <v>7000000</v>
      </c>
      <c r="E14" s="8">
        <v>415</v>
      </c>
      <c r="F14" s="8">
        <v>127</v>
      </c>
      <c r="G14" s="13">
        <v>226.9</v>
      </c>
    </row>
    <row r="15" spans="1:8">
      <c r="A15" s="4" t="s">
        <v>200</v>
      </c>
      <c r="B15" s="4" t="s">
        <v>192</v>
      </c>
      <c r="C15" s="4" t="s">
        <v>44</v>
      </c>
      <c r="D15" s="8">
        <v>14750000</v>
      </c>
      <c r="E15" s="8">
        <v>1137</v>
      </c>
      <c r="F15" s="8">
        <v>349</v>
      </c>
      <c r="G15" s="13">
        <v>225.8</v>
      </c>
    </row>
    <row r="16" spans="1:8">
      <c r="A16" s="4" t="s">
        <v>201</v>
      </c>
      <c r="B16" s="4" t="s">
        <v>192</v>
      </c>
      <c r="C16" s="4" t="s">
        <v>44</v>
      </c>
      <c r="D16" s="8">
        <v>14999000</v>
      </c>
      <c r="E16" s="8">
        <v>1112</v>
      </c>
      <c r="F16" s="8">
        <v>342</v>
      </c>
      <c r="G16" s="13">
        <v>225.4</v>
      </c>
    </row>
    <row r="17" spans="1:7">
      <c r="A17" s="4" t="s">
        <v>202</v>
      </c>
      <c r="B17" s="4" t="s">
        <v>66</v>
      </c>
      <c r="C17" s="4" t="s">
        <v>45</v>
      </c>
      <c r="D17" s="8">
        <v>5000000</v>
      </c>
      <c r="E17" s="8">
        <v>577</v>
      </c>
      <c r="F17" s="8">
        <v>184</v>
      </c>
      <c r="G17" s="13">
        <v>214.3</v>
      </c>
    </row>
    <row r="18" spans="1:7">
      <c r="A18" s="4" t="s">
        <v>203</v>
      </c>
      <c r="B18" s="4" t="s">
        <v>97</v>
      </c>
      <c r="C18" s="4" t="s">
        <v>43</v>
      </c>
      <c r="D18" s="8">
        <v>8900000</v>
      </c>
      <c r="E18" s="8">
        <v>335</v>
      </c>
      <c r="F18" s="8">
        <v>110</v>
      </c>
      <c r="G18" s="13">
        <v>204</v>
      </c>
    </row>
    <row r="19" spans="1:7">
      <c r="A19" s="4" t="s">
        <v>204</v>
      </c>
      <c r="B19" s="4" t="s">
        <v>192</v>
      </c>
      <c r="C19" s="4" t="s">
        <v>39</v>
      </c>
      <c r="D19" s="8">
        <v>10795000</v>
      </c>
      <c r="E19" s="8">
        <v>506</v>
      </c>
      <c r="F19" s="8">
        <v>168</v>
      </c>
      <c r="G19" s="13">
        <v>201.8</v>
      </c>
    </row>
    <row r="20" spans="1:7">
      <c r="A20" s="4" t="s">
        <v>205</v>
      </c>
      <c r="B20" s="4" t="s">
        <v>206</v>
      </c>
      <c r="C20" s="4" t="s">
        <v>41</v>
      </c>
      <c r="D20" s="8">
        <v>2200000</v>
      </c>
      <c r="E20" s="8">
        <v>1190</v>
      </c>
      <c r="F20" s="8">
        <v>411</v>
      </c>
      <c r="G20" s="13">
        <v>189.2</v>
      </c>
    </row>
    <row r="21" spans="1:7">
      <c r="A21" s="4" t="s">
        <v>207</v>
      </c>
      <c r="B21" s="4" t="s">
        <v>208</v>
      </c>
      <c r="C21" s="4" t="s">
        <v>40</v>
      </c>
      <c r="D21" s="8">
        <v>5999999</v>
      </c>
      <c r="E21" s="8">
        <v>179</v>
      </c>
      <c r="F21" s="8">
        <v>63</v>
      </c>
      <c r="G21" s="13">
        <v>184.6</v>
      </c>
    </row>
    <row r="22" spans="1:7">
      <c r="A22" s="4" t="s">
        <v>209</v>
      </c>
      <c r="B22" s="4" t="s">
        <v>192</v>
      </c>
      <c r="C22" s="4" t="s">
        <v>44</v>
      </c>
      <c r="D22" s="8">
        <v>12400000</v>
      </c>
      <c r="E22" s="8">
        <v>992</v>
      </c>
      <c r="F22" s="8">
        <v>356</v>
      </c>
      <c r="G22" s="13">
        <v>179</v>
      </c>
    </row>
    <row r="23" spans="1:7">
      <c r="A23" s="4" t="s">
        <v>210</v>
      </c>
      <c r="B23" s="4" t="s">
        <v>66</v>
      </c>
      <c r="C23" s="4" t="s">
        <v>40</v>
      </c>
      <c r="D23" s="8">
        <v>2043000</v>
      </c>
      <c r="E23" s="8">
        <v>450</v>
      </c>
      <c r="F23" s="8">
        <v>162</v>
      </c>
      <c r="G23" s="13">
        <v>177.7</v>
      </c>
    </row>
    <row r="24" spans="1:7">
      <c r="A24" s="4" t="s">
        <v>211</v>
      </c>
      <c r="B24" s="4" t="s">
        <v>139</v>
      </c>
      <c r="C24" s="4" t="s">
        <v>40</v>
      </c>
      <c r="D24" s="8">
        <v>2850000</v>
      </c>
      <c r="E24" s="8">
        <v>380</v>
      </c>
      <c r="F24" s="8">
        <v>140</v>
      </c>
      <c r="G24" s="13">
        <v>172</v>
      </c>
    </row>
    <row r="25" spans="1:7">
      <c r="A25" s="4" t="s">
        <v>211</v>
      </c>
      <c r="B25" s="4" t="s">
        <v>212</v>
      </c>
      <c r="C25" s="4" t="s">
        <v>40</v>
      </c>
      <c r="D25" s="8">
        <v>2800000</v>
      </c>
      <c r="E25" s="8">
        <v>373</v>
      </c>
      <c r="F25" s="8">
        <v>139</v>
      </c>
      <c r="G25" s="13">
        <v>167.7</v>
      </c>
    </row>
    <row r="26" spans="1:7">
      <c r="A26" s="4" t="s">
        <v>203</v>
      </c>
      <c r="B26" s="4" t="s">
        <v>97</v>
      </c>
      <c r="C26" s="4" t="s">
        <v>43</v>
      </c>
      <c r="D26" s="8">
        <v>7600000</v>
      </c>
      <c r="E26" s="8">
        <v>286</v>
      </c>
      <c r="F26" s="8">
        <v>110</v>
      </c>
      <c r="G26" s="13">
        <v>159.6</v>
      </c>
    </row>
    <row r="27" spans="1:7">
      <c r="A27" s="4" t="s">
        <v>213</v>
      </c>
      <c r="B27" s="4" t="s">
        <v>147</v>
      </c>
      <c r="C27" s="4" t="s">
        <v>46</v>
      </c>
      <c r="D27" s="8">
        <v>5000000</v>
      </c>
      <c r="E27" s="8">
        <v>875</v>
      </c>
      <c r="F27" s="8">
        <v>347</v>
      </c>
      <c r="G27" s="13">
        <v>151.8</v>
      </c>
    </row>
    <row r="28" spans="1:7">
      <c r="A28" s="4" t="s">
        <v>210</v>
      </c>
      <c r="B28" s="4" t="s">
        <v>66</v>
      </c>
      <c r="C28" s="4" t="s">
        <v>40</v>
      </c>
      <c r="D28" s="8">
        <v>1740000</v>
      </c>
      <c r="E28" s="8">
        <v>383</v>
      </c>
      <c r="F28" s="8">
        <v>162</v>
      </c>
      <c r="G28" s="13">
        <v>136.5</v>
      </c>
    </row>
    <row r="29" spans="1:7">
      <c r="A29" s="4" t="s">
        <v>210</v>
      </c>
      <c r="B29" s="4" t="s">
        <v>66</v>
      </c>
      <c r="C29" s="4" t="s">
        <v>40</v>
      </c>
      <c r="D29" s="8">
        <v>1700000</v>
      </c>
      <c r="E29" s="8">
        <v>392</v>
      </c>
      <c r="F29" s="8">
        <v>166</v>
      </c>
      <c r="G29" s="13">
        <v>136</v>
      </c>
    </row>
    <row r="30" spans="1:7">
      <c r="A30" s="4" t="s">
        <v>199</v>
      </c>
      <c r="B30" s="4" t="s">
        <v>59</v>
      </c>
      <c r="C30" s="4" t="s">
        <v>41</v>
      </c>
      <c r="D30" s="8">
        <v>7000000</v>
      </c>
      <c r="E30" s="8">
        <v>415</v>
      </c>
      <c r="F30" s="8">
        <v>177</v>
      </c>
      <c r="G30" s="13">
        <v>134.4</v>
      </c>
    </row>
    <row r="31" spans="1:7">
      <c r="A31" s="4" t="s">
        <v>214</v>
      </c>
      <c r="B31" s="4" t="s">
        <v>99</v>
      </c>
      <c r="C31" s="4" t="s">
        <v>40</v>
      </c>
      <c r="D31" s="8">
        <v>3500000</v>
      </c>
      <c r="E31" s="8">
        <v>197</v>
      </c>
      <c r="F31" s="8">
        <v>88</v>
      </c>
      <c r="G31" s="13">
        <v>123.3</v>
      </c>
    </row>
    <row r="32" spans="1:7">
      <c r="A32" s="4" t="s">
        <v>215</v>
      </c>
      <c r="B32" s="4" t="s">
        <v>67</v>
      </c>
      <c r="C32" s="4" t="s">
        <v>41</v>
      </c>
      <c r="D32" s="8">
        <v>2650000</v>
      </c>
      <c r="E32" s="8">
        <v>337</v>
      </c>
      <c r="F32" s="8">
        <v>152</v>
      </c>
      <c r="G32" s="13">
        <v>121.8</v>
      </c>
    </row>
    <row r="33" spans="1:7">
      <c r="A33" s="4" t="s">
        <v>205</v>
      </c>
      <c r="B33" s="4" t="s">
        <v>192</v>
      </c>
      <c r="C33" s="4" t="s">
        <v>48</v>
      </c>
      <c r="D33" s="8">
        <v>2500000</v>
      </c>
      <c r="E33" s="8">
        <v>1352</v>
      </c>
      <c r="F33" s="8">
        <v>633</v>
      </c>
      <c r="G33" s="13">
        <v>113.5</v>
      </c>
    </row>
    <row r="34" spans="1:7">
      <c r="A34" s="4" t="s">
        <v>216</v>
      </c>
      <c r="B34" s="4" t="s">
        <v>67</v>
      </c>
      <c r="C34" s="4" t="s">
        <v>39</v>
      </c>
      <c r="D34" s="8">
        <v>7950000</v>
      </c>
      <c r="E34" s="8">
        <v>204</v>
      </c>
      <c r="F34" s="8">
        <v>97</v>
      </c>
      <c r="G34" s="13">
        <v>111</v>
      </c>
    </row>
    <row r="35" spans="1:7">
      <c r="A35" s="4" t="s">
        <v>217</v>
      </c>
      <c r="B35" s="4" t="s">
        <v>66</v>
      </c>
      <c r="C35" s="4" t="s">
        <v>40</v>
      </c>
      <c r="D35" s="8">
        <v>1250000</v>
      </c>
      <c r="E35" s="8">
        <v>379</v>
      </c>
      <c r="F35" s="8">
        <v>192</v>
      </c>
      <c r="G35" s="13">
        <v>97.7</v>
      </c>
    </row>
    <row r="36" spans="1:7">
      <c r="A36" s="4" t="s">
        <v>154</v>
      </c>
      <c r="B36" s="4" t="s">
        <v>61</v>
      </c>
      <c r="C36" s="4" t="s">
        <v>48</v>
      </c>
      <c r="D36" s="8">
        <v>6000000</v>
      </c>
      <c r="E36" s="8">
        <v>738</v>
      </c>
      <c r="F36" s="8">
        <v>380</v>
      </c>
      <c r="G36" s="13">
        <v>94.5</v>
      </c>
    </row>
    <row r="37" spans="1:7">
      <c r="A37" s="4" t="s">
        <v>218</v>
      </c>
      <c r="B37" s="4" t="s">
        <v>69</v>
      </c>
      <c r="C37" s="4" t="s">
        <v>39</v>
      </c>
      <c r="D37" s="8">
        <v>1575000</v>
      </c>
      <c r="E37" s="8">
        <v>414</v>
      </c>
      <c r="F37" s="8">
        <v>216</v>
      </c>
      <c r="G37" s="13">
        <v>92.09999999999999</v>
      </c>
    </row>
    <row r="38" spans="1:7">
      <c r="A38" s="4" t="s">
        <v>219</v>
      </c>
      <c r="B38" s="4" t="s">
        <v>90</v>
      </c>
      <c r="C38" s="4" t="s">
        <v>39</v>
      </c>
      <c r="D38" s="8">
        <v>4795000</v>
      </c>
      <c r="E38" s="8">
        <v>480</v>
      </c>
      <c r="F38" s="8">
        <v>250</v>
      </c>
      <c r="G38" s="13">
        <v>91.90000000000001</v>
      </c>
    </row>
    <row r="39" spans="1:7">
      <c r="A39" s="4" t="s">
        <v>149</v>
      </c>
      <c r="B39" s="4" t="s">
        <v>66</v>
      </c>
      <c r="C39" s="4" t="s">
        <v>40</v>
      </c>
      <c r="D39" s="8">
        <v>1020000</v>
      </c>
      <c r="E39" s="8">
        <v>425</v>
      </c>
      <c r="F39" s="8">
        <v>227</v>
      </c>
      <c r="G39" s="13">
        <v>87.2</v>
      </c>
    </row>
    <row r="40" spans="1:7">
      <c r="A40" s="4" t="s">
        <v>220</v>
      </c>
      <c r="B40" s="4" t="s">
        <v>66</v>
      </c>
      <c r="C40" s="4" t="s">
        <v>48</v>
      </c>
      <c r="D40" s="8">
        <v>11900000</v>
      </c>
      <c r="E40" s="8">
        <v>132</v>
      </c>
      <c r="F40" s="8">
        <v>71</v>
      </c>
      <c r="G40" s="13">
        <v>85.8</v>
      </c>
    </row>
    <row r="41" spans="1:7">
      <c r="A41" s="4" t="s">
        <v>149</v>
      </c>
      <c r="B41" s="4" t="s">
        <v>66</v>
      </c>
      <c r="C41" s="4" t="s">
        <v>40</v>
      </c>
      <c r="D41" s="8">
        <v>1000000</v>
      </c>
      <c r="E41" s="8">
        <v>417</v>
      </c>
      <c r="F41" s="8">
        <v>227</v>
      </c>
      <c r="G41" s="13">
        <v>83.59999999999999</v>
      </c>
    </row>
    <row r="42" spans="1:7">
      <c r="A42" s="4" t="s">
        <v>221</v>
      </c>
      <c r="B42" s="4" t="s">
        <v>90</v>
      </c>
      <c r="C42" s="4" t="s">
        <v>39</v>
      </c>
      <c r="D42" s="8">
        <v>4490000</v>
      </c>
      <c r="E42" s="8">
        <v>449</v>
      </c>
      <c r="F42" s="8">
        <v>250</v>
      </c>
      <c r="G42" s="13">
        <v>79.7</v>
      </c>
    </row>
    <row r="43" spans="1:7">
      <c r="A43" s="4" t="s">
        <v>222</v>
      </c>
      <c r="B43" s="4" t="s">
        <v>66</v>
      </c>
      <c r="C43" s="4" t="s">
        <v>48</v>
      </c>
      <c r="D43" s="8">
        <v>4600000</v>
      </c>
      <c r="E43" s="8">
        <v>362</v>
      </c>
      <c r="F43" s="8">
        <v>202</v>
      </c>
      <c r="G43" s="13">
        <v>79.40000000000001</v>
      </c>
    </row>
    <row r="44" spans="1:7">
      <c r="A44" s="4" t="s">
        <v>223</v>
      </c>
      <c r="B44" s="4" t="s">
        <v>224</v>
      </c>
      <c r="C44" s="4" t="s">
        <v>39</v>
      </c>
      <c r="D44" s="8">
        <v>4500000</v>
      </c>
      <c r="E44" s="8">
        <v>444</v>
      </c>
      <c r="F44" s="8">
        <v>249</v>
      </c>
      <c r="G44" s="13">
        <v>78.3</v>
      </c>
    </row>
  </sheetData>
  <mergeCells count="1"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9" width="12.7109375" customWidth="1"/>
  </cols>
  <sheetData>
    <row r="1" spans="1:9">
      <c r="A1" s="1" t="s">
        <v>225</v>
      </c>
    </row>
    <row r="2" spans="1:9" ht="30" customHeight="1">
      <c r="A2" s="2" t="s">
        <v>226</v>
      </c>
      <c r="B2" s="2"/>
      <c r="C2" s="2"/>
      <c r="D2" s="2"/>
      <c r="E2" s="2"/>
      <c r="F2" s="2"/>
      <c r="G2" s="2"/>
      <c r="H2" s="2"/>
      <c r="I2" s="2"/>
    </row>
    <row r="4" spans="1:9">
      <c r="A4" s="6" t="s">
        <v>80</v>
      </c>
      <c r="B4" s="6" t="s">
        <v>81</v>
      </c>
      <c r="C4" s="6" t="s">
        <v>72</v>
      </c>
      <c r="D4" s="6" t="s">
        <v>227</v>
      </c>
      <c r="E4" s="6" t="s">
        <v>228</v>
      </c>
      <c r="F4" s="6" t="s">
        <v>229</v>
      </c>
      <c r="G4" s="6" t="s">
        <v>83</v>
      </c>
      <c r="H4" s="6" t="s">
        <v>230</v>
      </c>
    </row>
    <row r="5" spans="1:9">
      <c r="A5" s="4" t="s">
        <v>231</v>
      </c>
      <c r="B5" s="4" t="s">
        <v>232</v>
      </c>
      <c r="C5" s="4" t="s">
        <v>42</v>
      </c>
      <c r="D5" s="16">
        <v>1500</v>
      </c>
      <c r="E5" s="16">
        <v>2004</v>
      </c>
      <c r="F5" s="8">
        <v>895000</v>
      </c>
      <c r="G5" s="8">
        <v>597</v>
      </c>
      <c r="H5" s="13">
        <v>2.2</v>
      </c>
    </row>
    <row r="6" spans="1:9">
      <c r="A6" s="4" t="s">
        <v>233</v>
      </c>
      <c r="B6" s="4" t="s">
        <v>234</v>
      </c>
      <c r="C6" s="4" t="s">
        <v>39</v>
      </c>
      <c r="D6" s="16">
        <v>13402</v>
      </c>
      <c r="E6" s="16">
        <v>1959</v>
      </c>
      <c r="F6" s="8">
        <v>1800000</v>
      </c>
      <c r="G6" s="8">
        <v>134</v>
      </c>
      <c r="H6" s="13">
        <v>-14.8</v>
      </c>
    </row>
    <row r="7" spans="1:9">
      <c r="A7" s="4" t="s">
        <v>235</v>
      </c>
      <c r="B7" s="4" t="s">
        <v>69</v>
      </c>
      <c r="C7" s="4" t="s">
        <v>39</v>
      </c>
      <c r="D7" s="16">
        <v>12500</v>
      </c>
      <c r="E7" s="16">
        <v>1959</v>
      </c>
      <c r="F7" s="8">
        <v>2700000</v>
      </c>
      <c r="G7" s="8">
        <v>216</v>
      </c>
      <c r="H7" s="13">
        <v>156.1</v>
      </c>
    </row>
    <row r="8" spans="1:9">
      <c r="A8" s="4" t="s">
        <v>236</v>
      </c>
      <c r="B8" s="4" t="s">
        <v>69</v>
      </c>
      <c r="C8" s="4" t="s">
        <v>48</v>
      </c>
      <c r="D8" s="16">
        <v>1938</v>
      </c>
      <c r="E8" s="15" t="s">
        <v>62</v>
      </c>
      <c r="F8" s="8">
        <v>325000</v>
      </c>
      <c r="G8" s="8">
        <v>168</v>
      </c>
      <c r="H8" s="13">
        <v>-28.7</v>
      </c>
    </row>
    <row r="9" spans="1:9">
      <c r="A9" s="4" t="s">
        <v>237</v>
      </c>
      <c r="B9" s="4" t="s">
        <v>69</v>
      </c>
      <c r="C9" s="4" t="s">
        <v>40</v>
      </c>
      <c r="D9" s="16">
        <v>5200</v>
      </c>
      <c r="E9" s="16">
        <v>1974</v>
      </c>
      <c r="F9" s="8">
        <v>200000</v>
      </c>
      <c r="G9" s="8">
        <v>38</v>
      </c>
      <c r="H9" s="13">
        <v>-40.4</v>
      </c>
    </row>
    <row r="10" spans="1:9">
      <c r="A10" s="4" t="s">
        <v>238</v>
      </c>
      <c r="B10" s="4" t="s">
        <v>69</v>
      </c>
      <c r="C10" s="4" t="s">
        <v>48</v>
      </c>
      <c r="D10" s="16">
        <v>1938</v>
      </c>
      <c r="E10" s="15" t="s">
        <v>62</v>
      </c>
      <c r="F10" s="8">
        <v>185000</v>
      </c>
      <c r="G10" s="8">
        <v>95</v>
      </c>
      <c r="H10" s="13">
        <v>-59.4</v>
      </c>
    </row>
    <row r="11" spans="1:9">
      <c r="A11" s="4" t="s">
        <v>239</v>
      </c>
      <c r="B11" s="4" t="s">
        <v>240</v>
      </c>
      <c r="C11" s="4" t="s">
        <v>42</v>
      </c>
      <c r="D11" s="16">
        <v>10289</v>
      </c>
      <c r="E11" s="16">
        <v>1952</v>
      </c>
      <c r="F11" s="8">
        <v>1350000</v>
      </c>
      <c r="G11" s="8">
        <v>131</v>
      </c>
      <c r="H11" s="13">
        <v>-37.1</v>
      </c>
    </row>
    <row r="12" spans="1:9">
      <c r="A12" s="4" t="s">
        <v>241</v>
      </c>
      <c r="B12" s="4" t="s">
        <v>139</v>
      </c>
      <c r="C12" s="4" t="s">
        <v>43</v>
      </c>
      <c r="D12" s="16">
        <v>36491</v>
      </c>
      <c r="E12" s="16">
        <v>1960</v>
      </c>
      <c r="F12" s="8">
        <v>3500000</v>
      </c>
      <c r="G12" s="8">
        <v>96</v>
      </c>
      <c r="H12" s="13">
        <v>39.8</v>
      </c>
    </row>
    <row r="13" spans="1:9">
      <c r="A13" s="4" t="s">
        <v>242</v>
      </c>
      <c r="B13" s="4" t="s">
        <v>90</v>
      </c>
      <c r="C13" s="4" t="s">
        <v>48</v>
      </c>
      <c r="D13" s="16">
        <v>17001</v>
      </c>
      <c r="E13" s="16">
        <v>1964</v>
      </c>
      <c r="F13" s="8">
        <v>3450000</v>
      </c>
      <c r="G13" s="8">
        <v>203</v>
      </c>
      <c r="H13" s="13">
        <v>41.3</v>
      </c>
    </row>
    <row r="14" spans="1:9">
      <c r="A14" s="4" t="s">
        <v>243</v>
      </c>
      <c r="B14" s="4" t="s">
        <v>90</v>
      </c>
      <c r="C14" s="4" t="s">
        <v>39</v>
      </c>
      <c r="D14" s="16">
        <v>22496</v>
      </c>
      <c r="E14" s="16">
        <v>1957</v>
      </c>
      <c r="F14" s="8">
        <v>2700000</v>
      </c>
      <c r="G14" s="8">
        <v>120</v>
      </c>
      <c r="H14" s="13">
        <v>0.3</v>
      </c>
    </row>
    <row r="15" spans="1:9">
      <c r="A15" s="4" t="s">
        <v>244</v>
      </c>
      <c r="B15" s="4" t="s">
        <v>147</v>
      </c>
      <c r="C15" s="4" t="s">
        <v>39</v>
      </c>
      <c r="D15" s="16">
        <v>12960</v>
      </c>
      <c r="E15" s="16">
        <v>1955</v>
      </c>
      <c r="F15" s="8">
        <v>2550000</v>
      </c>
      <c r="G15" s="8">
        <v>197</v>
      </c>
      <c r="H15" s="13">
        <v>22.7</v>
      </c>
    </row>
    <row r="16" spans="1:9">
      <c r="A16" s="4" t="s">
        <v>245</v>
      </c>
      <c r="B16" s="4" t="s">
        <v>147</v>
      </c>
      <c r="C16" s="4" t="s">
        <v>39</v>
      </c>
      <c r="D16" s="16">
        <v>6750</v>
      </c>
      <c r="E16" s="16">
        <v>1946</v>
      </c>
      <c r="F16" s="8">
        <v>1015000</v>
      </c>
      <c r="G16" s="8">
        <v>150</v>
      </c>
      <c r="H16" s="13">
        <v>-33.7</v>
      </c>
    </row>
    <row r="17" spans="1:8">
      <c r="A17" s="4" t="s">
        <v>246</v>
      </c>
      <c r="B17" s="4" t="s">
        <v>206</v>
      </c>
      <c r="C17" s="4" t="s">
        <v>39</v>
      </c>
      <c r="D17" s="16">
        <v>5500</v>
      </c>
      <c r="E17" s="16">
        <v>1956</v>
      </c>
      <c r="F17" s="8">
        <v>1950000</v>
      </c>
      <c r="G17" s="8">
        <v>355</v>
      </c>
      <c r="H17" s="13">
        <v>40.1</v>
      </c>
    </row>
    <row r="18" spans="1:8">
      <c r="A18" s="4" t="s">
        <v>247</v>
      </c>
      <c r="B18" s="4" t="s">
        <v>206</v>
      </c>
      <c r="C18" s="4" t="s">
        <v>39</v>
      </c>
      <c r="D18" s="16">
        <v>5500</v>
      </c>
      <c r="E18" s="16">
        <v>1961</v>
      </c>
      <c r="F18" s="8">
        <v>1780000</v>
      </c>
      <c r="G18" s="8">
        <v>324</v>
      </c>
      <c r="H18" s="13">
        <v>27.9</v>
      </c>
    </row>
    <row r="19" spans="1:8">
      <c r="A19" s="4" t="s">
        <v>248</v>
      </c>
      <c r="B19" s="4" t="s">
        <v>206</v>
      </c>
      <c r="C19" s="4" t="s">
        <v>39</v>
      </c>
      <c r="D19" s="16">
        <v>6192</v>
      </c>
      <c r="E19" s="16">
        <v>1953</v>
      </c>
      <c r="F19" s="8">
        <v>1195000</v>
      </c>
      <c r="G19" s="8">
        <v>193</v>
      </c>
      <c r="H19" s="13">
        <v>-18.7</v>
      </c>
    </row>
    <row r="20" spans="1:8">
      <c r="A20" s="4" t="s">
        <v>249</v>
      </c>
      <c r="B20" s="4" t="s">
        <v>250</v>
      </c>
      <c r="C20" s="4" t="s">
        <v>39</v>
      </c>
      <c r="D20" s="16">
        <v>11349</v>
      </c>
      <c r="E20" s="16">
        <v>1960</v>
      </c>
      <c r="F20" s="8">
        <v>1080000</v>
      </c>
      <c r="G20" s="8">
        <v>95</v>
      </c>
      <c r="H20" s="13">
        <v>-44.7</v>
      </c>
    </row>
    <row r="21" spans="1:8">
      <c r="A21" s="4" t="s">
        <v>251</v>
      </c>
      <c r="B21" s="4" t="s">
        <v>208</v>
      </c>
      <c r="C21" s="4" t="s">
        <v>42</v>
      </c>
      <c r="D21" s="16">
        <v>11736</v>
      </c>
      <c r="E21" s="16">
        <v>1959</v>
      </c>
      <c r="F21" s="8">
        <v>1575244</v>
      </c>
      <c r="G21" s="8">
        <v>134</v>
      </c>
      <c r="H21" s="13">
        <v>-31</v>
      </c>
    </row>
    <row r="22" spans="1:8">
      <c r="A22" s="4" t="s">
        <v>252</v>
      </c>
      <c r="B22" s="4" t="s">
        <v>208</v>
      </c>
      <c r="C22" s="4" t="s">
        <v>42</v>
      </c>
      <c r="D22" s="16">
        <v>10000</v>
      </c>
      <c r="E22" s="16">
        <v>1952</v>
      </c>
      <c r="F22" s="8">
        <v>1075000</v>
      </c>
      <c r="G22" s="8">
        <v>108</v>
      </c>
      <c r="H22" s="13">
        <v>-49.2</v>
      </c>
    </row>
    <row r="23" spans="1:8">
      <c r="A23" s="4" t="s">
        <v>253</v>
      </c>
      <c r="B23" s="4" t="s">
        <v>64</v>
      </c>
      <c r="C23" s="4" t="s">
        <v>39</v>
      </c>
      <c r="D23" s="16">
        <v>13683</v>
      </c>
      <c r="E23" s="16">
        <v>1971</v>
      </c>
      <c r="F23" s="8">
        <v>2600000</v>
      </c>
      <c r="G23" s="8">
        <v>190</v>
      </c>
      <c r="H23" s="13">
        <v>25.7</v>
      </c>
    </row>
    <row r="24" spans="1:8">
      <c r="A24" s="4" t="s">
        <v>254</v>
      </c>
      <c r="B24" s="4" t="s">
        <v>64</v>
      </c>
      <c r="C24" s="4" t="s">
        <v>48</v>
      </c>
      <c r="D24" s="16">
        <v>9998</v>
      </c>
      <c r="E24" s="16">
        <v>1959</v>
      </c>
      <c r="F24" s="8">
        <v>1765000</v>
      </c>
      <c r="G24" s="8">
        <v>177</v>
      </c>
      <c r="H24" s="13">
        <v>-4.3</v>
      </c>
    </row>
    <row r="25" spans="1:8">
      <c r="A25" s="4" t="s">
        <v>255</v>
      </c>
      <c r="B25" s="4" t="s">
        <v>64</v>
      </c>
      <c r="C25" s="4" t="s">
        <v>48</v>
      </c>
      <c r="D25" s="16">
        <v>16500</v>
      </c>
      <c r="E25" s="16">
        <v>1968</v>
      </c>
      <c r="F25" s="8">
        <v>1725000</v>
      </c>
      <c r="G25" s="8">
        <v>105</v>
      </c>
      <c r="H25" s="13">
        <v>-26.1</v>
      </c>
    </row>
    <row r="26" spans="1:8">
      <c r="A26" s="4" t="s">
        <v>256</v>
      </c>
      <c r="B26" s="4" t="s">
        <v>64</v>
      </c>
      <c r="C26" s="4" t="s">
        <v>39</v>
      </c>
      <c r="D26" s="16">
        <v>11662</v>
      </c>
      <c r="E26" s="16">
        <v>1950</v>
      </c>
      <c r="F26" s="8">
        <v>1395000</v>
      </c>
      <c r="G26" s="8">
        <v>120</v>
      </c>
      <c r="H26" s="13">
        <v>-27.1</v>
      </c>
    </row>
    <row r="27" spans="1:8">
      <c r="A27" s="4" t="s">
        <v>257</v>
      </c>
      <c r="B27" s="4" t="s">
        <v>64</v>
      </c>
      <c r="C27" s="4" t="s">
        <v>48</v>
      </c>
      <c r="D27" s="16">
        <v>11662</v>
      </c>
      <c r="E27" s="16">
        <v>1950</v>
      </c>
      <c r="F27" s="8">
        <v>1365000</v>
      </c>
      <c r="G27" s="8">
        <v>117</v>
      </c>
      <c r="H27" s="13">
        <v>-31</v>
      </c>
    </row>
    <row r="28" spans="1:8">
      <c r="A28" s="4" t="s">
        <v>258</v>
      </c>
      <c r="B28" s="4" t="s">
        <v>64</v>
      </c>
      <c r="C28" s="4" t="s">
        <v>39</v>
      </c>
      <c r="D28" s="16">
        <v>6003</v>
      </c>
      <c r="E28" s="16">
        <v>1974</v>
      </c>
      <c r="F28" s="8">
        <v>1200000</v>
      </c>
      <c r="G28" s="8">
        <v>200</v>
      </c>
      <c r="H28" s="13">
        <v>-14.7</v>
      </c>
    </row>
    <row r="29" spans="1:8">
      <c r="A29" s="4" t="s">
        <v>259</v>
      </c>
      <c r="B29" s="4" t="s">
        <v>64</v>
      </c>
      <c r="C29" s="4" t="s">
        <v>48</v>
      </c>
      <c r="D29" s="16">
        <v>3429</v>
      </c>
      <c r="E29" s="16">
        <v>1961</v>
      </c>
      <c r="F29" s="8">
        <v>1175000</v>
      </c>
      <c r="G29" s="8">
        <v>343</v>
      </c>
      <c r="H29" s="13">
        <v>5.1</v>
      </c>
    </row>
    <row r="30" spans="1:8">
      <c r="A30" s="4" t="s">
        <v>260</v>
      </c>
      <c r="B30" s="4" t="s">
        <v>64</v>
      </c>
      <c r="C30" s="4" t="s">
        <v>41</v>
      </c>
      <c r="D30" s="16">
        <v>6110</v>
      </c>
      <c r="E30" s="16">
        <v>1965</v>
      </c>
      <c r="F30" s="8">
        <v>1150000</v>
      </c>
      <c r="G30" s="8">
        <v>188</v>
      </c>
      <c r="H30" s="13">
        <v>20.9</v>
      </c>
    </row>
    <row r="31" spans="1:8">
      <c r="A31" s="4" t="s">
        <v>261</v>
      </c>
      <c r="B31" s="4" t="s">
        <v>64</v>
      </c>
      <c r="C31" s="4" t="s">
        <v>48</v>
      </c>
      <c r="D31" s="16">
        <v>9828</v>
      </c>
      <c r="E31" s="16">
        <v>2000</v>
      </c>
      <c r="F31" s="8">
        <v>1115000</v>
      </c>
      <c r="G31" s="8">
        <v>113</v>
      </c>
      <c r="H31" s="13">
        <v>-39.3</v>
      </c>
    </row>
    <row r="32" spans="1:8">
      <c r="A32" s="4" t="s">
        <v>262</v>
      </c>
      <c r="B32" s="4" t="s">
        <v>64</v>
      </c>
      <c r="C32" s="4" t="s">
        <v>39</v>
      </c>
      <c r="D32" s="16">
        <v>7004</v>
      </c>
      <c r="E32" s="16">
        <v>1956</v>
      </c>
      <c r="F32" s="8">
        <v>885000</v>
      </c>
      <c r="G32" s="8">
        <v>126</v>
      </c>
      <c r="H32" s="13">
        <v>-41.4</v>
      </c>
    </row>
    <row r="33" spans="1:8">
      <c r="A33" s="4" t="s">
        <v>263</v>
      </c>
      <c r="B33" s="4" t="s">
        <v>64</v>
      </c>
      <c r="C33" s="4" t="s">
        <v>48</v>
      </c>
      <c r="D33" s="16">
        <v>1258</v>
      </c>
      <c r="E33" s="16">
        <v>2006</v>
      </c>
      <c r="F33" s="8">
        <v>580000</v>
      </c>
      <c r="G33" s="8">
        <v>461</v>
      </c>
      <c r="H33" s="13">
        <v>-17.4</v>
      </c>
    </row>
    <row r="34" spans="1:8">
      <c r="A34" s="4" t="s">
        <v>264</v>
      </c>
      <c r="B34" s="4" t="s">
        <v>63</v>
      </c>
      <c r="C34" s="4" t="s">
        <v>39</v>
      </c>
      <c r="D34" s="16">
        <v>35087</v>
      </c>
      <c r="E34" s="16">
        <v>1972</v>
      </c>
      <c r="F34" s="8">
        <v>6300000</v>
      </c>
      <c r="G34" s="8">
        <v>180</v>
      </c>
      <c r="H34" s="13">
        <v>51.1</v>
      </c>
    </row>
    <row r="35" spans="1:8">
      <c r="A35" s="4" t="s">
        <v>265</v>
      </c>
      <c r="B35" s="4" t="s">
        <v>63</v>
      </c>
      <c r="C35" s="4" t="s">
        <v>45</v>
      </c>
      <c r="D35" s="16">
        <v>7960</v>
      </c>
      <c r="E35" s="16">
        <v>1962</v>
      </c>
      <c r="F35" s="8">
        <v>2150000</v>
      </c>
      <c r="G35" s="8">
        <v>270</v>
      </c>
      <c r="H35" s="13">
        <v>35.2</v>
      </c>
    </row>
    <row r="36" spans="1:8">
      <c r="A36" s="4" t="s">
        <v>266</v>
      </c>
      <c r="B36" s="4" t="s">
        <v>63</v>
      </c>
      <c r="C36" s="4" t="s">
        <v>39</v>
      </c>
      <c r="D36" s="16">
        <v>13512</v>
      </c>
      <c r="E36" s="16">
        <v>1952</v>
      </c>
      <c r="F36" s="8">
        <v>2051000</v>
      </c>
      <c r="G36" s="8">
        <v>152</v>
      </c>
      <c r="H36" s="13">
        <v>-22.9</v>
      </c>
    </row>
    <row r="37" spans="1:8">
      <c r="A37" s="4" t="s">
        <v>267</v>
      </c>
      <c r="B37" s="4" t="s">
        <v>63</v>
      </c>
      <c r="C37" s="4" t="s">
        <v>39</v>
      </c>
      <c r="D37" s="16">
        <v>11480</v>
      </c>
      <c r="E37" s="16">
        <v>1969</v>
      </c>
      <c r="F37" s="8">
        <v>1750000</v>
      </c>
      <c r="G37" s="8">
        <v>152</v>
      </c>
      <c r="H37" s="13">
        <v>-29.2</v>
      </c>
    </row>
    <row r="38" spans="1:8">
      <c r="A38" s="4" t="s">
        <v>268</v>
      </c>
      <c r="B38" s="4" t="s">
        <v>63</v>
      </c>
      <c r="C38" s="4" t="s">
        <v>39</v>
      </c>
      <c r="D38" s="16">
        <v>6752</v>
      </c>
      <c r="E38" s="16">
        <v>1964</v>
      </c>
      <c r="F38" s="8">
        <v>1150000</v>
      </c>
      <c r="G38" s="8">
        <v>170</v>
      </c>
      <c r="H38" s="13">
        <v>-40.3</v>
      </c>
    </row>
    <row r="39" spans="1:8">
      <c r="A39" s="4" t="s">
        <v>269</v>
      </c>
      <c r="B39" s="4" t="s">
        <v>63</v>
      </c>
      <c r="C39" s="4" t="s">
        <v>48</v>
      </c>
      <c r="D39" s="16">
        <v>1276</v>
      </c>
      <c r="E39" s="16">
        <v>2007</v>
      </c>
      <c r="F39" s="8">
        <v>575000</v>
      </c>
      <c r="G39" s="8">
        <v>451</v>
      </c>
      <c r="H39" s="13">
        <v>-37.3</v>
      </c>
    </row>
    <row r="40" spans="1:8">
      <c r="A40" s="4" t="s">
        <v>270</v>
      </c>
      <c r="B40" s="4" t="s">
        <v>271</v>
      </c>
      <c r="C40" s="4" t="s">
        <v>48</v>
      </c>
      <c r="D40" s="16">
        <v>25024</v>
      </c>
      <c r="E40" s="16">
        <v>1962</v>
      </c>
      <c r="F40" s="8">
        <v>4500000</v>
      </c>
      <c r="G40" s="8">
        <v>180</v>
      </c>
      <c r="H40" s="13">
        <v>53.8</v>
      </c>
    </row>
    <row r="41" spans="1:8">
      <c r="A41" s="4" t="s">
        <v>272</v>
      </c>
      <c r="B41" s="4" t="s">
        <v>271</v>
      </c>
      <c r="C41" s="4" t="s">
        <v>45</v>
      </c>
      <c r="D41" s="16">
        <v>6250</v>
      </c>
      <c r="E41" s="16">
        <v>1954</v>
      </c>
      <c r="F41" s="8">
        <v>1140000</v>
      </c>
      <c r="G41" s="8">
        <v>182</v>
      </c>
      <c r="H41" s="13">
        <v>0.9</v>
      </c>
    </row>
    <row r="42" spans="1:8">
      <c r="A42" s="4" t="s">
        <v>273</v>
      </c>
      <c r="B42" s="4" t="s">
        <v>274</v>
      </c>
      <c r="C42" s="4" t="s">
        <v>42</v>
      </c>
      <c r="D42" s="16">
        <v>20250</v>
      </c>
      <c r="E42" s="16">
        <v>1953</v>
      </c>
      <c r="F42" s="8">
        <v>2575000</v>
      </c>
      <c r="G42" s="8">
        <v>127</v>
      </c>
      <c r="H42" s="13">
        <v>-12.6</v>
      </c>
    </row>
    <row r="43" spans="1:8">
      <c r="A43" s="4" t="s">
        <v>275</v>
      </c>
      <c r="B43" s="4" t="s">
        <v>274</v>
      </c>
      <c r="C43" s="4" t="s">
        <v>43</v>
      </c>
      <c r="D43" s="16">
        <v>5268</v>
      </c>
      <c r="E43" s="16">
        <v>1968</v>
      </c>
      <c r="F43" s="8">
        <v>500000</v>
      </c>
      <c r="G43" s="8">
        <v>95</v>
      </c>
      <c r="H43" s="13">
        <v>-50.6</v>
      </c>
    </row>
    <row r="44" spans="1:8">
      <c r="A44" s="4" t="s">
        <v>276</v>
      </c>
      <c r="B44" s="4" t="s">
        <v>68</v>
      </c>
      <c r="C44" s="4" t="s">
        <v>42</v>
      </c>
      <c r="D44" s="16">
        <v>10125</v>
      </c>
      <c r="E44" s="16">
        <v>1971</v>
      </c>
      <c r="F44" s="8">
        <v>2050000</v>
      </c>
      <c r="G44" s="8">
        <v>202</v>
      </c>
      <c r="H44" s="13">
        <v>47.1</v>
      </c>
    </row>
    <row r="45" spans="1:8">
      <c r="A45" s="4" t="s">
        <v>277</v>
      </c>
      <c r="B45" s="4" t="s">
        <v>68</v>
      </c>
      <c r="C45" s="4" t="s">
        <v>43</v>
      </c>
      <c r="D45" s="16">
        <v>12217</v>
      </c>
      <c r="E45" s="16">
        <v>1963</v>
      </c>
      <c r="F45" s="8">
        <v>875000</v>
      </c>
      <c r="G45" s="8">
        <v>72</v>
      </c>
      <c r="H45" s="13">
        <v>-10.7</v>
      </c>
    </row>
    <row r="46" spans="1:8">
      <c r="A46" s="4" t="s">
        <v>278</v>
      </c>
      <c r="B46" s="4" t="s">
        <v>67</v>
      </c>
      <c r="C46" s="4" t="s">
        <v>42</v>
      </c>
      <c r="D46" s="16">
        <v>13951</v>
      </c>
      <c r="E46" s="16">
        <v>1957</v>
      </c>
      <c r="F46" s="8">
        <v>2464500</v>
      </c>
      <c r="G46" s="8">
        <v>177</v>
      </c>
      <c r="H46" s="13">
        <v>24.7</v>
      </c>
    </row>
    <row r="47" spans="1:8">
      <c r="A47" s="4" t="s">
        <v>279</v>
      </c>
      <c r="B47" s="4" t="s">
        <v>67</v>
      </c>
      <c r="C47" s="4" t="s">
        <v>43</v>
      </c>
      <c r="D47" s="16">
        <v>15800</v>
      </c>
      <c r="E47" s="15" t="s">
        <v>62</v>
      </c>
      <c r="F47" s="8">
        <v>1726650</v>
      </c>
      <c r="G47" s="8">
        <v>109</v>
      </c>
      <c r="H47" s="13">
        <v>27.8</v>
      </c>
    </row>
    <row r="48" spans="1:8">
      <c r="A48" s="4" t="s">
        <v>280</v>
      </c>
      <c r="B48" s="4" t="s">
        <v>67</v>
      </c>
      <c r="C48" s="4" t="s">
        <v>39</v>
      </c>
      <c r="D48" s="16">
        <v>13802</v>
      </c>
      <c r="E48" s="16">
        <v>1975</v>
      </c>
      <c r="F48" s="8">
        <v>1550000</v>
      </c>
      <c r="G48" s="8">
        <v>112</v>
      </c>
      <c r="H48" s="13">
        <v>-9.5</v>
      </c>
    </row>
    <row r="49" spans="1:8">
      <c r="A49" s="4" t="s">
        <v>281</v>
      </c>
      <c r="B49" s="4" t="s">
        <v>67</v>
      </c>
      <c r="C49" s="4" t="s">
        <v>42</v>
      </c>
      <c r="D49" s="16">
        <v>1488</v>
      </c>
      <c r="E49" s="16">
        <v>1999</v>
      </c>
      <c r="F49" s="8">
        <v>595000</v>
      </c>
      <c r="G49" s="8">
        <v>400</v>
      </c>
      <c r="H49" s="13">
        <v>-14.5</v>
      </c>
    </row>
    <row r="50" spans="1:8">
      <c r="A50" s="4" t="s">
        <v>282</v>
      </c>
      <c r="B50" s="4" t="s">
        <v>283</v>
      </c>
      <c r="C50" s="4" t="s">
        <v>39</v>
      </c>
      <c r="D50" s="16">
        <v>9445</v>
      </c>
      <c r="E50" s="16">
        <v>1946</v>
      </c>
      <c r="F50" s="8">
        <v>3000000</v>
      </c>
      <c r="G50" s="8">
        <v>318</v>
      </c>
      <c r="H50" s="13">
        <v>67.59999999999999</v>
      </c>
    </row>
    <row r="51" spans="1:8">
      <c r="A51" s="4" t="s">
        <v>284</v>
      </c>
      <c r="B51" s="4" t="s">
        <v>65</v>
      </c>
      <c r="C51" s="4" t="s">
        <v>42</v>
      </c>
      <c r="D51" s="16">
        <v>31764</v>
      </c>
      <c r="E51" s="16">
        <v>1957</v>
      </c>
      <c r="F51" s="8">
        <v>4050000</v>
      </c>
      <c r="G51" s="8">
        <v>128</v>
      </c>
      <c r="H51" s="13">
        <v>23.6</v>
      </c>
    </row>
    <row r="52" spans="1:8">
      <c r="A52" s="4" t="s">
        <v>285</v>
      </c>
      <c r="B52" s="4" t="s">
        <v>65</v>
      </c>
      <c r="C52" s="4" t="s">
        <v>48</v>
      </c>
      <c r="D52" s="16">
        <v>4250</v>
      </c>
      <c r="E52" s="16">
        <v>2003</v>
      </c>
      <c r="F52" s="8">
        <v>1262500</v>
      </c>
      <c r="G52" s="8">
        <v>297</v>
      </c>
      <c r="H52" s="13">
        <v>9.4</v>
      </c>
    </row>
    <row r="53" spans="1:8">
      <c r="A53" s="4" t="s">
        <v>286</v>
      </c>
      <c r="B53" s="4" t="s">
        <v>65</v>
      </c>
      <c r="C53" s="4" t="s">
        <v>48</v>
      </c>
      <c r="D53" s="16">
        <v>5250</v>
      </c>
      <c r="E53" s="16">
        <v>1990</v>
      </c>
      <c r="F53" s="8">
        <v>1262500</v>
      </c>
      <c r="G53" s="8">
        <v>240</v>
      </c>
      <c r="H53" s="13">
        <v>-0.8</v>
      </c>
    </row>
    <row r="54" spans="1:8">
      <c r="A54" s="4" t="s">
        <v>287</v>
      </c>
      <c r="B54" s="4" t="s">
        <v>65</v>
      </c>
      <c r="C54" s="4" t="s">
        <v>48</v>
      </c>
      <c r="D54" s="16">
        <v>6250</v>
      </c>
      <c r="E54" s="16">
        <v>1971</v>
      </c>
      <c r="F54" s="8">
        <v>700000</v>
      </c>
      <c r="G54" s="8">
        <v>112</v>
      </c>
      <c r="H54" s="13">
        <v>-49.2</v>
      </c>
    </row>
    <row r="55" spans="1:8">
      <c r="A55" s="4" t="s">
        <v>288</v>
      </c>
      <c r="B55" s="4" t="s">
        <v>59</v>
      </c>
      <c r="C55" s="4" t="s">
        <v>48</v>
      </c>
      <c r="D55" s="16">
        <v>12300</v>
      </c>
      <c r="E55" s="16">
        <v>1958</v>
      </c>
      <c r="F55" s="8">
        <v>1750000</v>
      </c>
      <c r="G55" s="8">
        <v>142</v>
      </c>
      <c r="H55" s="13">
        <v>-40.2</v>
      </c>
    </row>
    <row r="56" spans="1:8">
      <c r="A56" s="4" t="s">
        <v>289</v>
      </c>
      <c r="B56" s="4" t="s">
        <v>59</v>
      </c>
      <c r="C56" s="4" t="s">
        <v>41</v>
      </c>
      <c r="D56" s="16">
        <v>3921</v>
      </c>
      <c r="E56" s="16">
        <v>1959</v>
      </c>
      <c r="F56" s="8">
        <v>1200000</v>
      </c>
      <c r="G56" s="8">
        <v>306</v>
      </c>
      <c r="H56" s="13">
        <v>7.9</v>
      </c>
    </row>
    <row r="57" spans="1:8">
      <c r="A57" s="4" t="s">
        <v>290</v>
      </c>
      <c r="B57" s="4" t="s">
        <v>59</v>
      </c>
      <c r="C57" s="4" t="s">
        <v>41</v>
      </c>
      <c r="D57" s="16">
        <v>1200</v>
      </c>
      <c r="E57" s="16">
        <v>1962</v>
      </c>
      <c r="F57" s="8">
        <v>675000</v>
      </c>
      <c r="G57" s="8">
        <v>562</v>
      </c>
      <c r="H57" s="13">
        <v>5.6</v>
      </c>
    </row>
    <row r="58" spans="1:8">
      <c r="A58" s="4" t="s">
        <v>291</v>
      </c>
      <c r="B58" s="4" t="s">
        <v>59</v>
      </c>
      <c r="C58" s="4" t="s">
        <v>41</v>
      </c>
      <c r="D58" s="16">
        <v>1200</v>
      </c>
      <c r="E58" s="16">
        <v>1961</v>
      </c>
      <c r="F58" s="8">
        <v>483600</v>
      </c>
      <c r="G58" s="8">
        <v>403</v>
      </c>
      <c r="H58" s="13">
        <v>-24.4</v>
      </c>
    </row>
    <row r="59" spans="1:8">
      <c r="A59" s="4" t="s">
        <v>292</v>
      </c>
      <c r="B59" s="4" t="s">
        <v>293</v>
      </c>
      <c r="C59" s="4" t="s">
        <v>45</v>
      </c>
      <c r="D59" s="16">
        <v>15756</v>
      </c>
      <c r="E59" s="15" t="s">
        <v>62</v>
      </c>
      <c r="F59" s="8">
        <v>901000</v>
      </c>
      <c r="G59" s="8">
        <v>57</v>
      </c>
      <c r="H59" s="13">
        <v>-48.3</v>
      </c>
    </row>
    <row r="60" spans="1:8">
      <c r="A60" s="4" t="s">
        <v>294</v>
      </c>
      <c r="B60" s="4" t="s">
        <v>224</v>
      </c>
      <c r="C60" s="4" t="s">
        <v>39</v>
      </c>
      <c r="D60" s="16">
        <v>10125</v>
      </c>
      <c r="E60" s="16">
        <v>1959</v>
      </c>
      <c r="F60" s="8">
        <v>3767690</v>
      </c>
      <c r="G60" s="8">
        <v>372</v>
      </c>
      <c r="H60" s="13">
        <v>103.4</v>
      </c>
    </row>
    <row r="61" spans="1:8">
      <c r="A61" s="4" t="s">
        <v>295</v>
      </c>
      <c r="B61" s="4" t="s">
        <v>224</v>
      </c>
      <c r="C61" s="4" t="s">
        <v>48</v>
      </c>
      <c r="D61" s="16">
        <v>6997</v>
      </c>
      <c r="E61" s="16">
        <v>1964</v>
      </c>
      <c r="F61" s="8">
        <v>3200000</v>
      </c>
      <c r="G61" s="8">
        <v>457</v>
      </c>
      <c r="H61" s="13">
        <v>98.59999999999999</v>
      </c>
    </row>
    <row r="62" spans="1:8">
      <c r="A62" s="4" t="s">
        <v>296</v>
      </c>
      <c r="B62" s="4" t="s">
        <v>224</v>
      </c>
      <c r="C62" s="4" t="s">
        <v>41</v>
      </c>
      <c r="D62" s="16">
        <v>5625</v>
      </c>
      <c r="E62" s="16">
        <v>1959</v>
      </c>
      <c r="F62" s="8">
        <v>1600000</v>
      </c>
      <c r="G62" s="8">
        <v>284</v>
      </c>
      <c r="H62" s="13">
        <v>69.40000000000001</v>
      </c>
    </row>
    <row r="63" spans="1:8">
      <c r="A63" s="4" t="s">
        <v>297</v>
      </c>
      <c r="B63" s="4" t="s">
        <v>224</v>
      </c>
      <c r="C63" s="4" t="s">
        <v>41</v>
      </c>
      <c r="D63" s="16">
        <v>12496</v>
      </c>
      <c r="E63" s="16">
        <v>1961</v>
      </c>
      <c r="F63" s="8">
        <v>950000</v>
      </c>
      <c r="G63" s="8">
        <v>76</v>
      </c>
      <c r="H63" s="13">
        <v>-30.8</v>
      </c>
    </row>
    <row r="64" spans="1:8">
      <c r="A64" s="4" t="s">
        <v>298</v>
      </c>
      <c r="B64" s="4" t="s">
        <v>66</v>
      </c>
      <c r="C64" s="4" t="s">
        <v>48</v>
      </c>
      <c r="D64" s="16">
        <v>7000</v>
      </c>
      <c r="E64" s="16">
        <v>1960</v>
      </c>
      <c r="F64" s="8">
        <v>1400000</v>
      </c>
      <c r="G64" s="8">
        <v>200</v>
      </c>
      <c r="H64" s="13">
        <v>-2</v>
      </c>
    </row>
    <row r="65" spans="1:8">
      <c r="A65" s="4" t="s">
        <v>299</v>
      </c>
      <c r="B65" s="4" t="s">
        <v>66</v>
      </c>
      <c r="C65" s="4" t="s">
        <v>48</v>
      </c>
      <c r="D65" s="16">
        <v>1412</v>
      </c>
      <c r="E65" s="16">
        <v>1939</v>
      </c>
      <c r="F65" s="8">
        <v>985000</v>
      </c>
      <c r="G65" s="8">
        <v>698</v>
      </c>
      <c r="H65" s="13">
        <v>46.3</v>
      </c>
    </row>
    <row r="66" spans="1:8">
      <c r="A66" s="4" t="s">
        <v>300</v>
      </c>
      <c r="B66" s="4" t="s">
        <v>66</v>
      </c>
      <c r="C66" s="4" t="s">
        <v>42</v>
      </c>
      <c r="D66" s="16">
        <v>1671</v>
      </c>
      <c r="E66" s="16">
        <v>1998</v>
      </c>
      <c r="F66" s="8">
        <v>905000</v>
      </c>
      <c r="G66" s="8">
        <v>542</v>
      </c>
      <c r="H66" s="13">
        <v>10.9</v>
      </c>
    </row>
    <row r="67" spans="1:8">
      <c r="A67" s="4" t="s">
        <v>301</v>
      </c>
      <c r="B67" s="4" t="s">
        <v>66</v>
      </c>
      <c r="C67" s="4" t="s">
        <v>40</v>
      </c>
      <c r="D67" s="16">
        <v>6250</v>
      </c>
      <c r="E67" s="16">
        <v>1925</v>
      </c>
      <c r="F67" s="8">
        <v>700000</v>
      </c>
      <c r="G67" s="8">
        <v>112</v>
      </c>
      <c r="H67" s="13">
        <v>11.9</v>
      </c>
    </row>
    <row r="68" spans="1:8">
      <c r="A68" s="4" t="s">
        <v>302</v>
      </c>
      <c r="B68" s="4" t="s">
        <v>66</v>
      </c>
      <c r="C68" s="4" t="s">
        <v>48</v>
      </c>
      <c r="D68" s="16">
        <v>6776</v>
      </c>
      <c r="E68" s="16">
        <v>1959</v>
      </c>
      <c r="F68" s="8">
        <v>660000</v>
      </c>
      <c r="G68" s="8">
        <v>97</v>
      </c>
      <c r="H68" s="13">
        <v>-53.1</v>
      </c>
    </row>
    <row r="69" spans="1:8">
      <c r="A69" s="4" t="s">
        <v>303</v>
      </c>
      <c r="B69" s="4" t="s">
        <v>66</v>
      </c>
      <c r="C69" s="4" t="s">
        <v>43</v>
      </c>
      <c r="D69" s="16">
        <v>4633</v>
      </c>
      <c r="E69" s="16">
        <v>1949</v>
      </c>
      <c r="F69" s="8">
        <v>600000</v>
      </c>
      <c r="G69" s="8">
        <v>130</v>
      </c>
      <c r="H69" s="13">
        <v>-28.8</v>
      </c>
    </row>
    <row r="70" spans="1:8">
      <c r="A70" s="4" t="s">
        <v>304</v>
      </c>
      <c r="B70" s="4" t="s">
        <v>66</v>
      </c>
      <c r="C70" s="4" t="s">
        <v>40</v>
      </c>
      <c r="D70" s="16">
        <v>7380</v>
      </c>
      <c r="E70" s="16">
        <v>1960</v>
      </c>
      <c r="F70" s="8">
        <v>505000</v>
      </c>
      <c r="G70" s="8">
        <v>68</v>
      </c>
      <c r="H70" s="13">
        <v>-25.6</v>
      </c>
    </row>
    <row r="71" spans="1:8">
      <c r="A71" s="4" t="s">
        <v>305</v>
      </c>
      <c r="B71" s="4" t="s">
        <v>61</v>
      </c>
      <c r="C71" s="4" t="s">
        <v>48</v>
      </c>
      <c r="D71" s="16">
        <v>31542</v>
      </c>
      <c r="E71" s="16">
        <v>1963</v>
      </c>
      <c r="F71" s="8">
        <v>3450000</v>
      </c>
      <c r="G71" s="8">
        <v>109</v>
      </c>
      <c r="H71" s="13">
        <v>-19.7</v>
      </c>
    </row>
    <row r="72" spans="1:8">
      <c r="A72" s="4" t="s">
        <v>306</v>
      </c>
      <c r="B72" s="4" t="s">
        <v>61</v>
      </c>
      <c r="C72" s="4" t="s">
        <v>39</v>
      </c>
      <c r="D72" s="16">
        <v>13500</v>
      </c>
      <c r="E72" s="16">
        <v>1973</v>
      </c>
      <c r="F72" s="8">
        <v>1950000</v>
      </c>
      <c r="G72" s="8">
        <v>144</v>
      </c>
      <c r="H72" s="13">
        <v>-30.3</v>
      </c>
    </row>
    <row r="73" spans="1:8">
      <c r="A73" s="4" t="s">
        <v>307</v>
      </c>
      <c r="B73" s="4" t="s">
        <v>308</v>
      </c>
      <c r="C73" s="4" t="s">
        <v>42</v>
      </c>
      <c r="D73" s="16">
        <v>5170</v>
      </c>
      <c r="E73" s="16">
        <v>2000</v>
      </c>
      <c r="F73" s="8">
        <v>1725000</v>
      </c>
      <c r="G73" s="8">
        <v>334</v>
      </c>
      <c r="H73" s="13">
        <v>10.4</v>
      </c>
    </row>
  </sheetData>
  <mergeCells count="1"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cols>
    <col min="1" max="1" width="30.7109375" customWidth="1"/>
    <col min="2" max="2" width="15.7109375" customWidth="1"/>
    <col min="3" max="3" width="13.7109375" customWidth="1"/>
    <col min="4" max="4" width="24.7109375" customWidth="1"/>
    <col min="5" max="7" width="15.7109375" customWidth="1"/>
  </cols>
  <sheetData>
    <row r="1" spans="1:7">
      <c r="A1" s="1" t="s">
        <v>309</v>
      </c>
    </row>
    <row r="2" spans="1:7" ht="42" customHeight="1">
      <c r="A2" s="2" t="s">
        <v>310</v>
      </c>
      <c r="B2" s="2"/>
      <c r="C2" s="2"/>
      <c r="D2" s="2"/>
      <c r="E2" s="2"/>
      <c r="F2" s="2"/>
      <c r="G2" s="2"/>
    </row>
    <row r="4" spans="1:7">
      <c r="A4" s="19" t="s">
        <v>311</v>
      </c>
      <c r="B4" s="19"/>
      <c r="D4" s="19" t="s">
        <v>331</v>
      </c>
      <c r="E4" s="19"/>
    </row>
    <row r="5" spans="1:7">
      <c r="A5" s="7" t="s">
        <v>312</v>
      </c>
      <c r="B5" s="20">
        <v>1800000</v>
      </c>
      <c r="D5" s="5" t="s">
        <v>332</v>
      </c>
      <c r="E5" s="21">
        <f>($B$6*$B$8*(1-$B$9))</f>
        <v>226761.84</v>
      </c>
    </row>
    <row r="6" spans="1:7">
      <c r="A6" s="7" t="s">
        <v>313</v>
      </c>
      <c r="B6" s="22">
        <v>13402</v>
      </c>
      <c r="D6" s="5" t="s">
        <v>333</v>
      </c>
      <c r="E6" s="23">
        <f>E5*(1-$B$10)</f>
        <v>131521.8672</v>
      </c>
    </row>
    <row r="7" spans="1:7">
      <c r="A7" s="19" t="s">
        <v>314</v>
      </c>
      <c r="B7" s="19"/>
      <c r="D7" s="5" t="s">
        <v>334</v>
      </c>
      <c r="E7" s="12">
        <f>E6/$B$5</f>
        <v>0.07306770400000001</v>
      </c>
    </row>
    <row r="8" spans="1:7">
      <c r="A8" s="7" t="s">
        <v>315</v>
      </c>
      <c r="B8" s="20">
        <v>18</v>
      </c>
      <c r="D8" s="5" t="s">
        <v>335</v>
      </c>
      <c r="E8" s="23">
        <f>E6/$B$11</f>
        <v>2391306.6763636363</v>
      </c>
    </row>
    <row r="9" spans="1:7">
      <c r="A9" s="7" t="s">
        <v>316</v>
      </c>
      <c r="B9" s="24">
        <v>0.06</v>
      </c>
      <c r="D9" s="5" t="s">
        <v>336</v>
      </c>
      <c r="E9" s="12">
        <f>$B$14+$B$16/10000</f>
        <v>0.0675</v>
      </c>
    </row>
    <row r="10" spans="1:7">
      <c r="A10" s="7" t="s">
        <v>317</v>
      </c>
      <c r="B10" s="24">
        <v>0.42</v>
      </c>
      <c r="D10" s="5" t="s">
        <v>337</v>
      </c>
      <c r="E10" s="21">
        <f>$B$5*$B$13</f>
        <v>1080000.0</v>
      </c>
    </row>
    <row r="11" spans="1:7">
      <c r="A11" s="7" t="s">
        <v>318</v>
      </c>
      <c r="B11" s="25">
        <v>0.055</v>
      </c>
      <c r="D11" s="5" t="s">
        <v>338</v>
      </c>
      <c r="E11" s="23">
        <f>$B$5*(1-$B$13)+$B$5*$B$23</f>
        <v>756000.0</v>
      </c>
    </row>
    <row r="12" spans="1:7">
      <c r="A12" s="19" t="s">
        <v>319</v>
      </c>
      <c r="B12" s="19"/>
      <c r="D12" s="5" t="s">
        <v>339</v>
      </c>
      <c r="E12" s="21">
        <f>E10*(E9/12)/(1-(1+E9/12)^-($B$15*12))*12</f>
        <v>89542.13366755907</v>
      </c>
    </row>
    <row r="13" spans="1:7">
      <c r="A13" s="7" t="s">
        <v>320</v>
      </c>
      <c r="B13" s="24">
        <v>0.6</v>
      </c>
      <c r="D13" s="5" t="s">
        <v>340</v>
      </c>
      <c r="E13" s="26">
        <f>E6/E12</f>
        <v>1.468826593839031</v>
      </c>
    </row>
    <row r="14" spans="1:7">
      <c r="A14" s="7" t="s">
        <v>321</v>
      </c>
      <c r="B14" s="25">
        <v>0.0675</v>
      </c>
      <c r="D14" s="5" t="s">
        <v>341</v>
      </c>
      <c r="E14" s="27">
        <f>E6/E10</f>
        <v>0.12177950666666668</v>
      </c>
    </row>
    <row r="15" spans="1:7">
      <c r="A15" s="7" t="s">
        <v>322</v>
      </c>
      <c r="B15" s="22">
        <v>25</v>
      </c>
      <c r="D15" s="5" t="s">
        <v>342</v>
      </c>
      <c r="E15" s="27">
        <f>(D29-E12)/E11</f>
        <v>0.06137776377307005</v>
      </c>
    </row>
    <row r="16" spans="1:7">
      <c r="A16" s="7" t="s">
        <v>323</v>
      </c>
      <c r="B16" s="28">
        <v>0</v>
      </c>
      <c r="D16" s="5" t="s">
        <v>343</v>
      </c>
      <c r="E16" s="21">
        <f>($B$6*$B$8*(1-$B$9))*(1+$B$19)^$B$21-(($B$6*$B$8*(1-$B$9))*$B$10)*(1+$B$20)^$B$21</f>
        <v>155123.83473116503</v>
      </c>
    </row>
    <row r="17" spans="1:7">
      <c r="A17" s="19" t="s">
        <v>324</v>
      </c>
      <c r="B17" s="19"/>
      <c r="D17" s="5" t="s">
        <v>344</v>
      </c>
      <c r="E17" s="23">
        <f>E16/$B$18</f>
        <v>2697805.8214115654</v>
      </c>
    </row>
    <row r="18" spans="1:7">
      <c r="A18" s="7" t="s">
        <v>325</v>
      </c>
      <c r="B18" s="25">
        <v>0.0575</v>
      </c>
      <c r="D18" s="5" t="s">
        <v>345</v>
      </c>
      <c r="E18" s="21">
        <f>E10*((1+E9/12)^($B$15*12)-(1+E9/12)^($B$21*12))/((1+E9/12)^($B$15*12)-1)</f>
        <v>981351.6127126849</v>
      </c>
    </row>
    <row r="19" spans="1:7">
      <c r="A19" s="7" t="s">
        <v>326</v>
      </c>
      <c r="B19" s="24">
        <v>0.03</v>
      </c>
      <c r="D19" s="5" t="s">
        <v>346</v>
      </c>
      <c r="E19" s="23">
        <f>E17*(1-$B$22)-E18</f>
        <v>1662498.092270649</v>
      </c>
    </row>
    <row r="20" spans="1:7">
      <c r="A20" s="7" t="s">
        <v>327</v>
      </c>
      <c r="B20" s="24">
        <v>0.025</v>
      </c>
      <c r="D20" s="5" t="s">
        <v>347</v>
      </c>
      <c r="E20" s="27">
        <f>IRR(G28:G38)</f>
        <v>0.22481131800675067</v>
      </c>
    </row>
    <row r="21" spans="1:7">
      <c r="A21" s="7" t="s">
        <v>328</v>
      </c>
      <c r="B21" s="22">
        <v>5</v>
      </c>
      <c r="D21" s="5" t="s">
        <v>348</v>
      </c>
      <c r="E21" s="26">
        <f>SUM(G29:G38)/E11</f>
        <v>2.5683680048856083</v>
      </c>
    </row>
    <row r="22" spans="1:7">
      <c r="A22" s="7" t="s">
        <v>329</v>
      </c>
      <c r="B22" s="24">
        <v>0.02</v>
      </c>
    </row>
    <row r="23" spans="1:7">
      <c r="A23" s="7" t="s">
        <v>330</v>
      </c>
      <c r="B23" s="24">
        <v>0.02</v>
      </c>
    </row>
    <row r="26" spans="1:7">
      <c r="A26" s="1" t="s">
        <v>349</v>
      </c>
    </row>
    <row r="27" spans="1:7">
      <c r="A27" s="6" t="s">
        <v>350</v>
      </c>
      <c r="B27" s="6" t="s">
        <v>351</v>
      </c>
      <c r="C27" s="6" t="s">
        <v>352</v>
      </c>
      <c r="D27" s="6" t="s">
        <v>353</v>
      </c>
      <c r="E27" s="6" t="s">
        <v>354</v>
      </c>
      <c r="F27" s="6" t="s">
        <v>355</v>
      </c>
      <c r="G27" s="6" t="s">
        <v>356</v>
      </c>
    </row>
    <row r="28" spans="1:7">
      <c r="A28" s="29">
        <v>0</v>
      </c>
      <c r="B28" s="15"/>
      <c r="C28" s="15"/>
      <c r="D28" s="15"/>
      <c r="E28" s="15"/>
      <c r="F28" s="15"/>
      <c r="G28" s="21">
        <f>-E11</f>
        <v>-756000.0</v>
      </c>
    </row>
    <row r="29" spans="1:7">
      <c r="A29" s="29">
        <v>1</v>
      </c>
      <c r="B29" s="21">
        <f>IF(1&lt;=$B$21,($B$6*$B$8*(1-$B$9))*(1+$B$19)^1,0)</f>
        <v>233564.69520000002</v>
      </c>
      <c r="C29" s="21">
        <f>IF(1&lt;=$B$21,(($B$6*$B$8*(1-$B$9))*$B$10)*(1+$B$20)^1,0)</f>
        <v>97620.97211999998</v>
      </c>
      <c r="D29" s="21">
        <f>B29-C29</f>
        <v>135943.72308000003</v>
      </c>
      <c r="E29" s="21">
        <f>IF(1&lt;=$B$21,E12,0)</f>
        <v>89542.13366755907</v>
      </c>
      <c r="F29" s="21">
        <f>IF(1&lt;=$B$21,D29-E29,0)</f>
        <v>46401.58941244095</v>
      </c>
      <c r="G29" s="21">
        <f>F29+IF(1=$B$21,E19,0)</f>
        <v>46401.58941244095</v>
      </c>
    </row>
    <row r="30" spans="1:7">
      <c r="A30" s="29">
        <v>2</v>
      </c>
      <c r="B30" s="21">
        <f>IF(2&lt;=$B$21,($B$6*$B$8*(1-$B$9))*(1+$B$19)^2,0)</f>
        <v>240571.636056</v>
      </c>
      <c r="C30" s="21">
        <f>IF(2&lt;=$B$21,(($B$6*$B$8*(1-$B$9))*$B$10)*(1+$B$20)^2,0)</f>
        <v>100061.49642299998</v>
      </c>
      <c r="D30" s="21">
        <f>B30-C30</f>
        <v>140510.139633</v>
      </c>
      <c r="E30" s="21">
        <f>IF(2&lt;=$B$21,E12,0)</f>
        <v>89542.13366755907</v>
      </c>
      <c r="F30" s="21">
        <f>IF(2&lt;=$B$21,D30-E30,0)</f>
        <v>50968.00596544094</v>
      </c>
      <c r="G30" s="21">
        <f>F30+IF(2=$B$21,E19,0)</f>
        <v>50968.00596544094</v>
      </c>
    </row>
    <row r="31" spans="1:7">
      <c r="A31" s="29">
        <v>3</v>
      </c>
      <c r="B31" s="21">
        <f>IF(3&lt;=$B$21,($B$6*$B$8*(1-$B$9))*(1+$B$19)^3,0)</f>
        <v>247788.78513768</v>
      </c>
      <c r="C31" s="21">
        <f>IF(3&lt;=$B$21,(($B$6*$B$8*(1-$B$9))*$B$10)*(1+$B$20)^3,0)</f>
        <v>102563.03383357495</v>
      </c>
      <c r="D31" s="21">
        <f>B31-C31</f>
        <v>145225.75130410504</v>
      </c>
      <c r="E31" s="21">
        <f>IF(3&lt;=$B$21,E12,0)</f>
        <v>89542.13366755907</v>
      </c>
      <c r="F31" s="21">
        <f>IF(3&lt;=$B$21,D31-E31,0)</f>
        <v>55683.61763654597</v>
      </c>
      <c r="G31" s="21">
        <f>F31+IF(3=$B$21,E19,0)</f>
        <v>55683.61763654597</v>
      </c>
    </row>
    <row r="32" spans="1:7">
      <c r="A32" s="29">
        <v>4</v>
      </c>
      <c r="B32" s="21">
        <f>IF(4&lt;=$B$21,($B$6*$B$8*(1-$B$9))*(1+$B$19)^4,0)</f>
        <v>255222.44869181042</v>
      </c>
      <c r="C32" s="21">
        <f>IF(4&lt;=$B$21,(($B$6*$B$8*(1-$B$9))*$B$10)*(1+$B$20)^4,0)</f>
        <v>105127.10967941432</v>
      </c>
      <c r="D32" s="21">
        <f>B32-C32</f>
        <v>150095.3390123961</v>
      </c>
      <c r="E32" s="21">
        <f>IF(4&lt;=$B$21,E12,0)</f>
        <v>89542.13366755907</v>
      </c>
      <c r="F32" s="21">
        <f>IF(4&lt;=$B$21,D32-E32,0)</f>
        <v>60553.20534483704</v>
      </c>
      <c r="G32" s="21">
        <f>F32+IF(4=$B$21,E19,0)</f>
        <v>60553.20534483704</v>
      </c>
    </row>
    <row r="33" spans="1:7">
      <c r="A33" s="29">
        <v>5</v>
      </c>
      <c r="B33" s="21">
        <f>IF(5&lt;=$B$21,($B$6*$B$8*(1-$B$9))*(1+$B$19)^5,0)</f>
        <v>262879.1221525647</v>
      </c>
      <c r="C33" s="21">
        <f>IF(5&lt;=$B$21,(($B$6*$B$8*(1-$B$9))*$B$10)*(1+$B$20)^5,0)</f>
        <v>107755.28742139967</v>
      </c>
      <c r="D33" s="21">
        <f>B33-C33</f>
        <v>155123.83473116503</v>
      </c>
      <c r="E33" s="21">
        <f>IF(5&lt;=$B$21,E12,0)</f>
        <v>89542.13366755907</v>
      </c>
      <c r="F33" s="21">
        <f>IF(5&lt;=$B$21,D33-E33,0)</f>
        <v>65581.70106360596</v>
      </c>
      <c r="G33" s="21">
        <f>F33+IF(5=$B$21,E19,0)</f>
        <v>1728079.793334255</v>
      </c>
    </row>
    <row r="34" spans="1:7">
      <c r="A34" s="29">
        <v>6</v>
      </c>
      <c r="B34" s="21">
        <f>IF(6&lt;=$B$21,($B$6*$B$8*(1-$B$9))*(1+$B$19)^6,0)</f>
        <v>0</v>
      </c>
      <c r="C34" s="21">
        <f>IF(6&lt;=$B$21,(($B$6*$B$8*(1-$B$9))*$B$10)*(1+$B$20)^6,0)</f>
        <v>0</v>
      </c>
      <c r="D34" s="21">
        <f>B34-C34</f>
        <v>0</v>
      </c>
      <c r="E34" s="21">
        <f>IF(6&lt;=$B$21,E12,0)</f>
        <v>0</v>
      </c>
      <c r="F34" s="21">
        <f>IF(6&lt;=$B$21,D34-E34,0)</f>
        <v>0</v>
      </c>
      <c r="G34" s="21">
        <f>F34+IF(6=$B$21,E19,0)</f>
        <v>0</v>
      </c>
    </row>
    <row r="35" spans="1:7">
      <c r="A35" s="29">
        <v>7</v>
      </c>
      <c r="B35" s="21">
        <f>IF(7&lt;=$B$21,($B$6*$B$8*(1-$B$9))*(1+$B$19)^7,0)</f>
        <v>0</v>
      </c>
      <c r="C35" s="21">
        <f>IF(7&lt;=$B$21,(($B$6*$B$8*(1-$B$9))*$B$10)*(1+$B$20)^7,0)</f>
        <v>0</v>
      </c>
      <c r="D35" s="21">
        <f>B35-C35</f>
        <v>0</v>
      </c>
      <c r="E35" s="21">
        <f>IF(7&lt;=$B$21,E12,0)</f>
        <v>0</v>
      </c>
      <c r="F35" s="21">
        <f>IF(7&lt;=$B$21,D35-E35,0)</f>
        <v>0</v>
      </c>
      <c r="G35" s="21">
        <f>F35+IF(7=$B$21,E19,0)</f>
        <v>0</v>
      </c>
    </row>
    <row r="36" spans="1:7">
      <c r="A36" s="29">
        <v>8</v>
      </c>
      <c r="B36" s="21">
        <f>IF(8&lt;=$B$21,($B$6*$B$8*(1-$B$9))*(1+$B$19)^8,0)</f>
        <v>0</v>
      </c>
      <c r="C36" s="21">
        <f>IF(8&lt;=$B$21,(($B$6*$B$8*(1-$B$9))*$B$10)*(1+$B$20)^8,0)</f>
        <v>0</v>
      </c>
      <c r="D36" s="21">
        <f>B36-C36</f>
        <v>0</v>
      </c>
      <c r="E36" s="21">
        <f>IF(8&lt;=$B$21,E12,0)</f>
        <v>0</v>
      </c>
      <c r="F36" s="21">
        <f>IF(8&lt;=$B$21,D36-E36,0)</f>
        <v>0</v>
      </c>
      <c r="G36" s="21">
        <f>F36+IF(8=$B$21,E19,0)</f>
        <v>0</v>
      </c>
    </row>
    <row r="37" spans="1:7">
      <c r="A37" s="29">
        <v>9</v>
      </c>
      <c r="B37" s="21">
        <f>IF(9&lt;=$B$21,($B$6*$B$8*(1-$B$9))*(1+$B$19)^9,0)</f>
        <v>0</v>
      </c>
      <c r="C37" s="21">
        <f>IF(9&lt;=$B$21,(($B$6*$B$8*(1-$B$9))*$B$10)*(1+$B$20)^9,0)</f>
        <v>0</v>
      </c>
      <c r="D37" s="21">
        <f>B37-C37</f>
        <v>0</v>
      </c>
      <c r="E37" s="21">
        <f>IF(9&lt;=$B$21,E12,0)</f>
        <v>0</v>
      </c>
      <c r="F37" s="21">
        <f>IF(9&lt;=$B$21,D37-E37,0)</f>
        <v>0</v>
      </c>
      <c r="G37" s="21">
        <f>F37+IF(9=$B$21,E19,0)</f>
        <v>0</v>
      </c>
    </row>
    <row r="38" spans="1:7">
      <c r="A38" s="29">
        <v>10</v>
      </c>
      <c r="B38" s="21">
        <f>IF(10&lt;=$B$21,($B$6*$B$8*(1-$B$9))*(1+$B$19)^10,0)</f>
        <v>0</v>
      </c>
      <c r="C38" s="21">
        <f>IF(10&lt;=$B$21,(($B$6*$B$8*(1-$B$9))*$B$10)*(1+$B$20)^10,0)</f>
        <v>0</v>
      </c>
      <c r="D38" s="21">
        <f>B38-C38</f>
        <v>0</v>
      </c>
      <c r="E38" s="21">
        <f>IF(10&lt;=$B$21,E12,0)</f>
        <v>0</v>
      </c>
      <c r="F38" s="21">
        <f>IF(10&lt;=$B$21,D38-E38,0)</f>
        <v>0</v>
      </c>
      <c r="G38" s="21">
        <f>F38+IF(10=$B$21,E19,0)</f>
        <v>0</v>
      </c>
    </row>
    <row r="40" spans="1:7">
      <c r="A40" s="1" t="s">
        <v>357</v>
      </c>
    </row>
    <row r="41" spans="1:7">
      <c r="A41" s="6" t="s">
        <v>358</v>
      </c>
      <c r="B41" s="6" t="s">
        <v>344</v>
      </c>
      <c r="C41" s="6" t="s">
        <v>359</v>
      </c>
      <c r="D41" s="6" t="s">
        <v>348</v>
      </c>
    </row>
    <row r="42" spans="1:7">
      <c r="A42" s="30">
        <v>0.05</v>
      </c>
      <c r="B42" s="21">
        <f>$E$16/A42</f>
        <v>3102476.6946233003</v>
      </c>
      <c r="C42" s="21">
        <f>B42*(1-$B$22)-$E$18</f>
        <v>2059075.548018149</v>
      </c>
      <c r="D42" s="26">
        <f>$E$21+(C42-$E$19)/$E$11</f>
        <v>3.092941359048968</v>
      </c>
    </row>
    <row r="43" spans="1:7">
      <c r="A43" s="30">
        <v>0.0525</v>
      </c>
      <c r="B43" s="21">
        <f>$E$16/A43</f>
        <v>2954739.7091650483</v>
      </c>
      <c r="C43" s="21">
        <f>B43*(1-$B$22)-$E$18</f>
        <v>1914293.3022690625</v>
      </c>
      <c r="D43" s="26">
        <f>$E$21+(C43-$E$19)/$E$11</f>
        <v>2.901430451973457</v>
      </c>
    </row>
    <row r="44" spans="1:7">
      <c r="A44" s="30">
        <v>0.055</v>
      </c>
      <c r="B44" s="21">
        <f>$E$16/A44</f>
        <v>2820433.358748455</v>
      </c>
      <c r="C44" s="21">
        <f>B44*(1-$B$22)-$E$18</f>
        <v>1782673.0788608007</v>
      </c>
      <c r="D44" s="26">
        <f>$E$21+(C44-$E$19)/$E$11</f>
        <v>2.727329627359354</v>
      </c>
    </row>
    <row r="45" spans="1:7">
      <c r="A45" s="31">
        <v>0.0575</v>
      </c>
      <c r="B45" s="21">
        <f>$E$16/A45</f>
        <v>2697805.8214115654</v>
      </c>
      <c r="C45" s="21">
        <f>B45*(1-$B$22)-$E$18</f>
        <v>1662498.092270649</v>
      </c>
      <c r="D45" s="26">
        <f>$E$21+(C45-$E$19)/$E$11</f>
        <v>2.5683680048856083</v>
      </c>
    </row>
    <row r="46" spans="1:7">
      <c r="A46" s="30">
        <v>0.06</v>
      </c>
      <c r="B46" s="21">
        <f>$E$16/A46</f>
        <v>2585397.2455194173</v>
      </c>
      <c r="C46" s="21">
        <f>B46*(1-$B$22)-$E$18</f>
        <v>1552337.6878963439</v>
      </c>
      <c r="D46" s="26">
        <f>$E$21+(C46-$E$19)/$E$11</f>
        <v>2.4226531842846755</v>
      </c>
    </row>
    <row r="47" spans="1:7">
      <c r="A47" s="30">
        <v>0.0625</v>
      </c>
      <c r="B47" s="21">
        <f>$E$16/A47</f>
        <v>2481981.3556986405</v>
      </c>
      <c r="C47" s="21">
        <f>B47*(1-$B$22)-$E$18</f>
        <v>1450990.1158719826</v>
      </c>
      <c r="D47" s="26">
        <f>$E$21+(C47-$E$19)/$E$11</f>
        <v>2.288595549331817</v>
      </c>
    </row>
    <row r="48" spans="1:7">
      <c r="A48" s="30">
        <v>0.065</v>
      </c>
      <c r="B48" s="21">
        <f>$E$16/A48</f>
        <v>2386520.534325616</v>
      </c>
      <c r="C48" s="21">
        <f>B48*(1-$B$22)-$E$18</f>
        <v>1357438.5109264185</v>
      </c>
      <c r="D48" s="26">
        <f>$E$21+(C48-$E$19)/$E$11</f>
        <v>2.1648500401445627</v>
      </c>
    </row>
    <row r="49" spans="1:4">
      <c r="A49" s="30">
        <v>0.0675</v>
      </c>
      <c r="B49" s="21">
        <f>$E$16/A49</f>
        <v>2298130.8849061485</v>
      </c>
      <c r="C49" s="21">
        <f>B49*(1-$B$22)-$E$18</f>
        <v>1270816.6544953403</v>
      </c>
      <c r="D49" s="26">
        <f>$E$21+(C49-$E$19)/$E$11</f>
        <v>2.050270864971179</v>
      </c>
    </row>
  </sheetData>
  <mergeCells count="6">
    <mergeCell ref="A2:G2"/>
    <mergeCell ref="A4:B4"/>
    <mergeCell ref="A7:B7"/>
    <mergeCell ref="A12:B12"/>
    <mergeCell ref="A17:B17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Key Conclusions</vt:lpstr>
      <vt:lpstr>Assumptions</vt:lpstr>
      <vt:lpstr>Submarkets</vt:lpstr>
      <vt:lpstr>Types</vt:lpstr>
      <vt:lpstr>Repricing</vt:lpstr>
      <vt:lpstr>Opportunities</vt:lpstr>
      <vt:lpstr>Absorption</vt:lpstr>
      <vt:lpstr>Prospects</vt:lpstr>
      <vt:lpstr>Comps</vt:lpstr>
      <vt:lpstr>Scenario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2026-07-22T19:50:33Z</dcterms:created>
  <dcterms:modified xsi:type="dcterms:W3CDTF">2026-07-22T19:50:33Z</dcterms:modified>
</cp:coreProperties>
</file>