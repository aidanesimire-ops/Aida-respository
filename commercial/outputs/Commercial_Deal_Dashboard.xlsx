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Guide" sheetId="2" r:id="rId2"/>
    <sheet name="Key Takeaways" sheetId="3" r:id="rId3"/>
    <sheet name="Call List" sheetId="4" r:id="rId4"/>
    <sheet name="Neighborhoods" sheetId="5" r:id="rId5"/>
    <sheet name="Repricing" sheetId="6" r:id="rId6"/>
    <sheet name="Segmentation" sheetId="7" r:id="rId7"/>
    <sheet name="Neighborhood Mix" sheetId="8" r:id="rId8"/>
    <sheet name="Opportunities" sheetId="9" r:id="rId9"/>
    <sheet name="Prospects" sheetId="10" r:id="rId10"/>
    <sheet name="Leasing" sheetId="11" r:id="rId11"/>
    <sheet name="Comps" sheetId="12" r:id="rId12"/>
    <sheet name="Market" sheetId="13" r:id="rId13"/>
    <sheet name="Assumptions" sheetId="14" r:id="rId14"/>
    <sheet name="Scenario" sheetId="15" r:id="rId15"/>
    <sheet name="Types" sheetId="16" r:id="rId16"/>
    <sheet name="Absorption" sheetId="17" r:id="rId17"/>
  </sheets>
  <definedNames>
    <definedName name="_xlnm._FilterDatabase" localSheetId="16" hidden="1">Absorption!$A$4:$F$14</definedName>
    <definedName name="_xlnm._FilterDatabase" localSheetId="3" hidden="1">'Call List'!$A$4:$O$197</definedName>
    <definedName name="_xlnm._FilterDatabase" localSheetId="11" hidden="1">Comps!$A$4:$H$73</definedName>
    <definedName name="_xlnm._FilterDatabase" localSheetId="10" hidden="1">Leasing!$A$15:$H$39</definedName>
    <definedName name="_xlnm._FilterDatabase" localSheetId="4" hidden="1">Neighborhoods!$A$4:$M$13</definedName>
    <definedName name="_xlnm._FilterDatabase" localSheetId="8" hidden="1">Opportunities!$A$4:$G$23</definedName>
    <definedName name="_xlnm._FilterDatabase" localSheetId="9" hidden="1">Prospects!$A$4:$G$44</definedName>
    <definedName name="_xlnm._FilterDatabase" localSheetId="5" hidden="1">Repricing!$A$4:$J$266</definedName>
    <definedName name="_xlnm._FilterDatabase" localSheetId="15" hidden="1">Types!$A$4:$K$14</definedName>
  </definedNames>
  <calcPr calcId="124519" fullCalcOnLoad="1"/>
</workbook>
</file>

<file path=xl/sharedStrings.xml><?xml version="1.0" encoding="utf-8"?>
<sst xmlns="http://schemas.openxmlformats.org/spreadsheetml/2006/main" count="3968" uniqueCount="1400">
  <si>
    <t>Commercial Deal Dashboard — Fort Lauderdale</t>
  </si>
  <si>
    <t>Everything in one workbook. The MLS export has no income, so cap / rent / value figures are assumption- or comp-based — a screening &amp; pitching tool, not an appraisal. Verify before quoting. Click any tab below.</t>
  </si>
  <si>
    <t>How to use it on a call</t>
  </si>
  <si>
    <t>•</t>
  </si>
  <si>
    <t>Call List — your prospect list: a ready opener to say, the value read, and owner-FAQ answers for each owner (motivated/failed first).</t>
  </si>
  <si>
    <t>Neighborhoods — every submarket as a system: what it supports, rents, yield, supply, and the pitch angle.</t>
  </si>
  <si>
    <t>Repricing — what each listing is GOING FOR vs what it SHOULD be — adjusted basis, up ▲ or down ▼, in % and $.</t>
  </si>
  <si>
    <t>Opportunities / Prospects — the underpriced buys, and failed listings + overpriced actives to call.</t>
  </si>
  <si>
    <t>Leasing — asking rents by type &amp; submarket + data-derived cap rates. Comps — the closed sales behind every number.</t>
  </si>
  <si>
    <t>Market — researched benchmarks + construction / land / waterfront / insurance costs + incentives (Live Local, OZ, CRA).</t>
  </si>
  <si>
    <t>Assumptions / Scenario — tune the income assumptions (yellow cells) and underwrite a single deal.</t>
  </si>
  <si>
    <t>Tabs</t>
  </si>
  <si>
    <t>Guide</t>
  </si>
  <si>
    <t>Plain-English glossary + how to recreate this on new data.</t>
  </si>
  <si>
    <t>Key Takeaways</t>
  </si>
  <si>
    <t>The headlines in plain English.</t>
  </si>
  <si>
    <t>Call List</t>
  </si>
  <si>
    <t>Owners to cold-call — opener + value read + FAQ.</t>
  </si>
  <si>
    <t>Neighborhoods</t>
  </si>
  <si>
    <t>Every submarket as a system, side by side.</t>
  </si>
  <si>
    <t>Repricing</t>
  </si>
  <si>
    <t>Going-for vs should-be, adjusted basis up/down.</t>
  </si>
  <si>
    <t>Segmentation</t>
  </si>
  <si>
    <t>Market share by asset type, price bracket &amp; size class.</t>
  </si>
  <si>
    <t>Neighborhood Mix</t>
  </si>
  <si>
    <t>What each area is made of (type / price / size).</t>
  </si>
  <si>
    <t>Opportunities</t>
  </si>
  <si>
    <t>Underpriced buys.</t>
  </si>
  <si>
    <t>Prospects</t>
  </si>
  <si>
    <t>Failed listings + overpriced actives.</t>
  </si>
  <si>
    <t>Leasing</t>
  </si>
  <si>
    <t>Asking rents + data-derived cap rates.</t>
  </si>
  <si>
    <t>Comps</t>
  </si>
  <si>
    <t>Closed sales behind the numbers.</t>
  </si>
  <si>
    <t>Market</t>
  </si>
  <si>
    <t>Benchmarks, costs &amp; the neighborhood playbook.</t>
  </si>
  <si>
    <t>Assumptions</t>
  </si>
  <si>
    <t>Editable income norms by asset type.</t>
  </si>
  <si>
    <t>Scenario</t>
  </si>
  <si>
    <t>Live single-deal underwriting.</t>
  </si>
  <si>
    <t>Types</t>
  </si>
  <si>
    <t>$/SqFt + assumed income by asset class.</t>
  </si>
  <si>
    <t>Absorption</t>
  </si>
  <si>
    <t>Months of supply by submarket &amp; type.</t>
  </si>
  <si>
    <t>Guide — understand it &amp; recreate it</t>
  </si>
  <si>
    <t>A plain-English glossary of every number, what's real vs assumed, and how to run this on a new set of properties.</t>
  </si>
  <si>
    <t>What this is</t>
  </si>
  <si>
    <t>The short version</t>
  </si>
  <si>
    <t>A comp-based commercial screening &amp; pitching tool built from an MLS export. The export has price, size, type, age and location but NO income — so cap rate, rent and value figures are ASSUMPTION- or COMP-based. Use it to screen, prospect and price — not to appraise.</t>
  </si>
  <si>
    <t>What's real vs. what's assumed</t>
  </si>
  <si>
    <t>Real (from your data)</t>
  </si>
  <si>
    <t>Price, building SqFt, asset type, year built, MLS area, status — and everything derived from them: $/SqFt, the price/size/type brackets, market share, closed comps, and asking lease rates.</t>
  </si>
  <si>
    <t>Assumed (editable)</t>
  </si>
  <si>
    <t>Rent $/SqFt, vacancy, operating-expense ratio, market cap rate, rent/expense growth, and financing (LTV, rate, hold). Change these on the Assumptions &amp; Scenario tabs (yellow cells) or in the dashboard.</t>
  </si>
  <si>
    <t>Glossary — every number explained</t>
  </si>
  <si>
    <t>Normalized $/SqFt</t>
  </si>
  <si>
    <t>The model's price per SqFt for a STANDARDIZED building in that area — size, age, type and the closed-vs-listed gap removed — so areas compare apples-to-apples.</t>
  </si>
  <si>
    <t>Going $/SF</t>
  </si>
  <si>
    <t>What a listing is actually asking per SqFt right now.</t>
  </si>
  <si>
    <t>Model $/SF</t>
  </si>
  <si>
    <t>What comps say that exact building SHOULD be per SqFt (its normalized value for size/age/type/area).</t>
  </si>
  <si>
    <t>Adjust ▲ up / ▼ down</t>
  </si>
  <si>
    <t>How far the asking is from the model. ▲ up = priced BELOW market (room to raise, or a buy); ▼ down = priced ABOVE market.</t>
  </si>
  <si>
    <t>Adjusted basis (Δ $)</t>
  </si>
  <si>
    <t>The dollar version of the adjustment: (Model $/SF − Going $/SF) × SqFt.</t>
  </si>
  <si>
    <t>Implied cap (assumptions)</t>
  </si>
  <si>
    <t>NOI ÷ price, where NOI = SqFt × assumed rent × (1−vacancy) × (1−opex). Moves when you change assumptions.</t>
  </si>
  <si>
    <t>Implied cap (data)</t>
  </si>
  <si>
    <t>Anchored to real rents &amp; prices: (lease $/SF ÷ sale $/SF gross yield) × (1−vacancy) × (1−opex). A market-level proxy, not a specific building's cap.</t>
  </si>
  <si>
    <t>Gross yield</t>
  </si>
  <si>
    <t>Annual asking lease $/SF ÷ sale $/SF — rent per dollar of price, before expenses.</t>
  </si>
  <si>
    <t>Lease $/SF</t>
  </si>
  <si>
    <t>Asking rent per SqFt per year (rate basis inferred from the listing).</t>
  </si>
  <si>
    <t>Value / Comp value</t>
  </si>
  <si>
    <t>What comps or assumptions say it's worth — compare against the asking price.</t>
  </si>
  <si>
    <t>Market share %</t>
  </si>
  <si>
    <t>What percentage a category (asset type, price bracket, size class) makes up of its parent — the whole market, an asset class, or a neighborhood.</t>
  </si>
  <si>
    <t>The brackets</t>
  </si>
  <si>
    <t>Price brackets</t>
  </si>
  <si>
    <t>&lt; $1M · $1–2.5M · $2.5–5M · $5–10M · $10M+</t>
  </si>
  <si>
    <t>Size classes (SqFt)</t>
  </si>
  <si>
    <t>&lt; 2.5K · 2.5–5K · 5–10K · 10–25K · 25–50K · 50K+  — the 'floor plan' analog (the export has no unit-mix / bed-bath data).</t>
  </si>
  <si>
    <t>Multifamily unit brackets</t>
  </si>
  <si>
    <t>&lt; 10 · 10–25 · 25–50 · 50–100 · 100+ units — only where a unit count could be parsed from the address (limited coverage).</t>
  </si>
  <si>
    <t>Confidence &amp; flags</t>
  </si>
  <si>
    <t>Confidence: High / Med / Indicative</t>
  </si>
  <si>
    <t>How many closed comps back a number (≥8 High, ≥4 Med, else Indicative). Treat 'Indicative' cells as directional.</t>
  </si>
  <si>
    <t>Flag: Underpriced / Fair / Overpriced</t>
  </si>
  <si>
    <t>Asking vs value on the income lens (&gt;10% under, within ±10%, &gt;10% over).</t>
  </si>
  <si>
    <t>Flag: Check</t>
  </si>
  <si>
    <t>Implied cap outside a plausible band — usually the SqFt or assumed rent is off; verify before quoting.</t>
  </si>
  <si>
    <t>How to recreate this for other properties</t>
  </si>
  <si>
    <t>The whole workbook + dashboard regenerate from a folder of CSVs. To analyze a different set of properties (a new MLS pull, another market, or a specific list):</t>
  </si>
  <si>
    <t>1. Export</t>
  </si>
  <si>
    <t>From the MLS, export the properties as a CSV in the 'Agent Single Line — COM' layout (or any CSV with the columns below).</t>
  </si>
  <si>
    <t>2. Replace the data</t>
  </si>
  <si>
    <t>Put your CSV(s) in  commercial/data/raw/  and delete the old ones (the tool reads every CSV in that folder).</t>
  </si>
  <si>
    <t>3. Run</t>
  </si>
  <si>
    <t>In a terminal from the commercial/ folder:  pip install -r requirements.txt   then   python analysis/run_all.py   (or double-click run.sh). ~30 seconds.</t>
  </si>
  <si>
    <t>4. Open</t>
  </si>
  <si>
    <t>outputs/Commercial_Deal_Dashboard.xlsx  and  dashboard/index.html — everything is rebuilt on your data.</t>
  </si>
  <si>
    <t>Columns it reads</t>
  </si>
  <si>
    <t>MLS #, St (status), Area, Address, Current Price, Sale Price, Year Built, Prop Type (Sale/Lease), Type of Property, Property SqFt, Waterfront (Y/N), #Bays. Different headers? Edit the mapping at the top of  analysis/cre_common.py.</t>
  </si>
  <si>
    <t>Tune the assumptions</t>
  </si>
  <si>
    <t>Rents/vacancy/opex/cap live in  analysis/cre_assumptions.py  (or edit live on the dashboard). Refresh the market benchmarks in  analysis/market_context.py.</t>
  </si>
  <si>
    <t>Sources &amp; freshness</t>
  </si>
  <si>
    <t>Market benchmarks</t>
  </si>
  <si>
    <t>Researched from CBRE, Colliers, JLL, Matthews, Yardi, The Real Deal, RSMeans/Turner/RLB, LandSearch, Holland &amp; Knight and others (2024–2025 (some Q1 2026); curated 2026-07-29). Full list on the Market tab — refresh periodically.</t>
  </si>
  <si>
    <t>Your data</t>
  </si>
  <si>
    <t>Source: com_active.csv, com_cancelled.csv, com_closed_pending_rented.csv. 984 listings, 331 priced sale comps.</t>
  </si>
  <si>
    <t>Key takeaways</t>
  </si>
  <si>
    <t>No income in the source MLS export — every NOI/cap/return here is derived from the editable assumptions (Assumptions tab &amp; dashboard). This is pricing &amp; screening, not appraisal.</t>
  </si>
  <si>
    <t>984 listings, 331 sale comps (69 closed). Normalized $/SqFt fit R²=0.585; market-wide $182/SqFt.</t>
  </si>
  <si>
    <t>Priciest area: Area 3600 $268/SqFt; cheapest: Area 3160 $99/SqFt.</t>
  </si>
  <si>
    <t>Live inventory at default assumptions: 20 underpriced / 26 overpriced of 56 — flags move as you tune.</t>
  </si>
  <si>
    <t>Prospecting: 206 failed listings + 25 overpriced actives to call.</t>
  </si>
  <si>
    <t>Seed underwrite (Multifamily, $1.80M, $18/SqFt rent): NOI $132K, going-in cap 7.31%, DSCR 1.47×, 5-yr IRR 22.5%, EM 2.57×. Model it live on the Scenario tab.</t>
  </si>
  <si>
    <t>Cold-call list — owners to work</t>
  </si>
  <si>
    <t>193 owners · 172 motivated (came off-market) first. Say the opener, use the value read, answer with the FAQ. Comp/assumption-based — verify before quoting.</t>
  </si>
  <si>
    <t>#</t>
  </si>
  <si>
    <t>Address</t>
  </si>
  <si>
    <t>Type</t>
  </si>
  <si>
    <t>Area</t>
  </si>
  <si>
    <t>Status</t>
  </si>
  <si>
    <t>Motiv.</t>
  </si>
  <si>
    <t>SqFt</t>
  </si>
  <si>
    <t>Last ask</t>
  </si>
  <si>
    <t>Comp value</t>
  </si>
  <si>
    <t>Comp $/SF</t>
  </si>
  <si>
    <t>Impl cap</t>
  </si>
  <si>
    <t>Opener — say this</t>
  </si>
  <si>
    <t>Value read</t>
  </si>
  <si>
    <t>If they ask…</t>
  </si>
  <si>
    <t>3100 SE 6th Avenue</t>
  </si>
  <si>
    <t>Commercial (other)</t>
  </si>
  <si>
    <t>Area 3800</t>
  </si>
  <si>
    <t>Expired</t>
  </si>
  <si>
    <t>YES</t>
  </si>
  <si>
    <t>Hi, I saw 3100 SE 6th Avenue came off the market — I cover Andrews Ave · SE 17th St. Commercial around here is trading near $71/SF and leasing around $26/SF. I think it can be positioned to actually sell — got two minutes?</t>
  </si>
  <si>
    <t>Comps put it around $6.40M (~$71/SF) — about a 10.3% cap at market rents. It should rent ~$26/SF — about $2.39M/yr gross.</t>
  </si>
  <si>
    <t>What's it worth? Comps support ~$6.40M (~$71/SF). You were asking $11.90M.  •  What does it rent for? ~$26/SF/yr — about $2.39M/yr gross on 90,193 SF.  •  What cap? ~10.3% implied from lease-vs-sale comps (market benchmark —).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</si>
  <si>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2209 NE 26th Street</t>
  </si>
  <si>
    <t>Hotel</t>
  </si>
  <si>
    <t>Area 3370</t>
  </si>
  <si>
    <t>—</t>
  </si>
  <si>
    <t>Hi, I saw 2209 NE 26th Street came off the market — I cover Dixie Hwy · Oakland Park Blvd. Hotel around here is trading near $226/SF. I think it can be positioned to actually sell — got two minutes?</t>
  </si>
  <si>
    <t>Comps put it around $6.26M (~$226/SF) — about a 7.7% cap at market rents.</t>
  </si>
  <si>
    <t>What's it worth? Comps support ~$6.26M (~$226/SF). You were asking $9.60M.  •  What cap? ~7.7% implied from lease-vs-sale comps (market benchmark ~7.8%).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</si>
  <si>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3030 SW 4th Avenue</t>
  </si>
  <si>
    <t>Industrial</t>
  </si>
  <si>
    <t>Area 3490</t>
  </si>
  <si>
    <t>Hi, I saw 3030 SW 4th Avenue came off the market — I cover the area. Industrial around here is trading near $123/SF and leasing around $19/SF. I think it can be positioned to actually sell — got two minutes?</t>
  </si>
  <si>
    <t>Comps put it around $6.03M (~$123/SF) — about a 5.5% cap at market rents. It should rent ~$19/SF — about $950K/yr gross.</t>
  </si>
  <si>
    <t>What's it worth? Comps support ~$6.03M (~$123/SF). You were asking $8.70M.  •  What does it rent for? ~$19/SF/yr — about $950K/yr gross on 48,992 SF.  •  What cap? ~5.5% implied from lease-vs-sale comps (market benchmark ~6.0–6.3% (South FL)).  •  Why now? 1031 buyers are active, the Live Local Act unlocks density on commercial land, and rising insurance is nudging owners to test the market.</t>
  </si>
  <si>
    <t>3001 N Ocean Blvd</t>
  </si>
  <si>
    <t>Area 3130</t>
  </si>
  <si>
    <t>Hi, I saw 3001 N Ocean Blvd came off the market — I cover Ocean Blvd. Hotel around here is trading near $293/SF. I think it can be positioned to actually sell — got two minutes?</t>
  </si>
  <si>
    <t>Comps put it around $5.31M (~$293/SF) — about a 6.0% cap at market rents.</t>
  </si>
  <si>
    <t>What's it worth? Comps support ~$5.31M (~$293/SF). You were asking $8.00M.  •  What cap? ~6.0% implied from lease-vs-sale comps (market benchmark ~7.8%).  •  Why now? 1031 buyers are active, the Live Local Act unlocks density on commercial land, and rising insurance is nudging owners to test the market.</t>
  </si>
  <si>
    <t>616-626 SW 14th Ave</t>
  </si>
  <si>
    <t>Multifamily</t>
  </si>
  <si>
    <t>Area 3470</t>
  </si>
  <si>
    <t>Hi, I saw 616-626 SW 14th Ave came off the market — I cover Davie Blvd · Las Olas Blvd. Multifamily around here is trading near $97/SF and leasing around $15/SF. I think it can be positioned to actually sell — got two minutes?</t>
  </si>
  <si>
    <t>Comps put it around $3.78M (~$97/SF) — about a 4.8% cap at market rents. It should rent ~$15/SF — about $601K/yr gross.</t>
  </si>
  <si>
    <t>What's it worth? Comps support ~$3.78M (~$97/SF). You were asking $7.95M.  •  What does it rent for? ~$15/SF/yr — about $601K/yr gross on 39,000 SF.  •  What cap? ~4.8%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</si>
  <si>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925 W Broward Blvd</t>
  </si>
  <si>
    <t>Mixed Use</t>
  </si>
  <si>
    <t>Area 3560</t>
  </si>
  <si>
    <t>Hi, I saw 925 W Broward Blvd came off the market — I cover Broward Blvd · Sunrise Blvd. Mixed-use around here is trading near $110/SF and leasing around $20/SF. I think it can be positioned to actually sell — got two minutes?</t>
  </si>
  <si>
    <t>Comps put it around $2.92M (~$110/SF) — about a 3.3% cap at market rents. It should rent ~$20/SF — about $537K/yr gross.</t>
  </si>
  <si>
    <t>What's it worth? Comps support ~$2.92M (~$110/SF). You were asking $7.60M.  •  What does it rent for? ~$20/SF/yr — about $537K/yr gross on 26,576 SF.  •  What cap? ~3.3% implied from lease-vs-sale comps (market benchmark ~6.0–6.75% (blends retail/MF)).  •  Why now? 1031 buyers are active, the Live Local Act unlocks density on commercial land, and rising insurance is nudging owners to test the market.</t>
  </si>
  <si>
    <t>2000 S Federal Highway</t>
  </si>
  <si>
    <t>Retail</t>
  </si>
  <si>
    <t>Area 3480</t>
  </si>
  <si>
    <t>Cancelled</t>
  </si>
  <si>
    <t>Hi, I saw 2000 S Federal Highway came off the market — I cover Federal Hwy · SE 17th St. Retail around here is trading near $127/SF and leasing around $28/SF. I think it can be positioned to actually sell — got two minutes?</t>
  </si>
  <si>
    <t>Comps put it around $2.14M (~$127/SF) — about a 4.0% cap at market rents. It should rent ~$28/SF — about $472K/yr gross.</t>
  </si>
  <si>
    <t>What's it worth? Comps support ~$2.14M (~$127/SF). You were asking $7.00M.  •  What does it rent for? ~$28/SF/yr — about $472K/yr gross on 16,875 SF.  •  What cap? ~4.0% implied from lease-vs-sale comps (market benchmark ~6.0–6.1%).  •  Why now? 1031 buyers are active, the Live Local Act unlocks density on commercial land, and rising insurance is nudging owners to test the market.</t>
  </si>
  <si>
    <t>Area 3600</t>
  </si>
  <si>
    <t>Hi, I saw 2000 S Federal Highway came off the market — I cover SE 17th St · Federal Hwy. Retail around here is trading near $177/SF and leasing around $28/SF. I think it can be positioned to actually sell — got two minutes?</t>
  </si>
  <si>
    <t>Comps put it around $2.99M (~$177/SF) — about a 4.0% cap at market rents. It should rent ~$28/SF — about $472K/yr gross.</t>
  </si>
  <si>
    <t>What's it worth? Comps support ~$2.99M (~$177/SF). You were asking $7.00M.  •  What does it rent for? ~$28/SF/yr — about $472K/yr gross on 16,875 SF.  •  What cap? ~4.0% implied from lease-vs-sale comps (market benchmark ~6.0–6.1%).  •  How's demand? The marine &amp; yachting-services heart of the market — and increasingly a waterfront redevelopment target.  •  Why now? 1031 buyers are active, the Live Local Act unlocks density on commercial land, and rising insurance is nudging owners to test the market.</t>
  </si>
  <si>
    <t>0000 N Main Street</t>
  </si>
  <si>
    <t>Area 3260</t>
  </si>
  <si>
    <t>Hi, I saw 0000 N Main Street came off the market — I cover Sunrise Blvd · Oakland Park Blvd. Commercial around here is trading near $159/SF and leasing around $26/SF. I think it can be positioned to actually sell — got two minutes?</t>
  </si>
  <si>
    <t>Comps put it around $3.98M (~$159/SF) — about a 5.2% cap at market rents. It should rent ~$26/SF — about $662K/yr gross.</t>
  </si>
  <si>
    <t>What's it worth? Comps support ~$3.98M (~$159/SF). You were asking $6.50M.  •  What does it rent for? ~$26/SF/yr — about $662K/yr gross on 25,000 SF.  •  What cap? ~5.2% implied from lease-vs-sale comps (market benchmark —).  •  Why now? 1031 buyers are active, the Live Local Act unlocks density on commercial land, and rising insurance is nudging owners to test the market.</t>
  </si>
  <si>
    <t>2640+2648+2667 NE 32nd Street</t>
  </si>
  <si>
    <t>Area 3250</t>
  </si>
  <si>
    <t>Hi, I saw 2640+2648+2667 NE 32nd Street came off the market — I cover Oakland Park Blvd. Hotel around here is trading near $224/SF. I think it can be positioned to actually sell — got two minutes?</t>
  </si>
  <si>
    <t>Comps put it around $6.69M (~$224/SF) — about a 13.2% cap at market rents.</t>
  </si>
  <si>
    <t>What's it worth? Comps support ~$6.69M (~$224/SF). You were asking $6.00M.  •  What cap? ~13.2% implied from lease-vs-sale comps (market benchmark ~7.8%).  •  Why now? 1031 buyers are active, the Live Local Act unlocks density on commercial land, and rising insurance is nudging owners to test the market.</t>
  </si>
  <si>
    <t>1995 E Oakland Park Blvd</t>
  </si>
  <si>
    <t>Office</t>
  </si>
  <si>
    <t>Area 3360</t>
  </si>
  <si>
    <t>Hi, I saw 1995 E Oakland Park Blvd came off the market — I cover Oakland Park Blvd. Office around here is trading near $63/SF and leasing around $17/SF. I think it can be positioned to actually sell — got two minutes?</t>
  </si>
  <si>
    <t>Comps put it around $2.11M (~$63/SF) — about a 8.9% cap at market rents. It should rent ~$17/SF — about $569K/yr gross.</t>
  </si>
  <si>
    <t>What's it worth? Comps support ~$2.11M (~$63/SF). You were asking $6.00M.  •  What does it rent for? ~$17/SF/yr — about $569K/yr gross on 33,482 SF.  •  What cap? ~8.9% implied from lease-vs-sale comps (market benchmark ~6.75–8.0%).  •  Why now? 1031 buyers are active, the Live Local Act unlocks density on commercial land, and rising insurance is nudging owners to test the market.</t>
  </si>
  <si>
    <t>1916 SW 11th St</t>
  </si>
  <si>
    <t>Area 3990</t>
  </si>
  <si>
    <t>Hi, I saw 1916 SW 11th St came off the market — I cover the area. Multifamily around here is trading near $149/SF and leasing around $15/SF. I think it can be positioned to actually sell — got two minutes?</t>
  </si>
  <si>
    <t>Comps put it around $3.93M (~$149/SF) — about a 4.3% cap at market rents. It should rent ~$15/SF — about $407K/yr gross.</t>
  </si>
  <si>
    <t>What's it worth? Comps support ~$3.93M (~$149/SF). You were asking $6.00M.  •  What does it rent for? ~$15/SF/yr — about $407K/yr gross on 26,399 SF.  •  What cap? ~4.3%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</si>
  <si>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1916 SW 11th Street</t>
  </si>
  <si>
    <t>Hi, I saw 1916 SW 11th Street came off the market — I cover the area. Multifamily around here is trading near $149/SF and leasing around $15/SF. I think it can be positioned to actually sell — got two minutes?</t>
  </si>
  <si>
    <t>Comps put it around $3.93M (~$149/SF) — about a 4.5% cap at market rents. It should rent ~$15/SF — about $407K/yr gross.</t>
  </si>
  <si>
    <t>What's it worth? Comps support ~$3.93M (~$149/SF). You were asking $5.80M.  •  What does it rent for? ~$15/SF/yr — about $407K/yr gross on 26,399 SF.  •  What cap? ~4.5%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</si>
  <si>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1354 Bayview Drive</t>
  </si>
  <si>
    <t>Hi, I saw 1354 Bayview Drive came off the market — I cover Sunrise Blvd · Oakland Park Blvd. Multifamily around here is trading near $176/SF and leasing around $15/SF. I think it can be positioned to actually sell — got two minutes?</t>
  </si>
  <si>
    <t>Comps put it around $3.40M (~$176/SF) — about a 3.5% cap at market rents. It should rent ~$15/SF — about $297K/yr gross.</t>
  </si>
  <si>
    <t>What's it worth? Comps support ~$3.40M (~$176/SF). You were asking $5.45M.  •  What does it rent for? ~$15/SF/yr — about $297K/yr gross on 19,298 SF.  •  What cap? ~3.5%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</si>
  <si>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1545 Miami Road</t>
  </si>
  <si>
    <t>Hi, I saw 1545 Miami Road came off the market — I cover SE 17th St · Federal Hwy. Multifamily around here is trading near $241/SF and leasing around $15/SF. I think it can be positioned to actually sell — got two minutes?</t>
  </si>
  <si>
    <t>Comps put it around $4.83M (~$241/SF) — about a 3.7% cap at market rents. It should rent ~$15/SF — about $308K/yr gross.</t>
  </si>
  <si>
    <t>What's it worth? Comps support ~$4.83M (~$241/SF). You were asking $5.29M.  •  What does it rent for? ~$15/SF/yr — about $308K/yr gross on 20,020 SF.  •  What cap? ~3.7% implied from lease-vs-sale comps (market benchmark 4.7–5.4% (A ~4.74% · B ~4.92% · C ~5.38%); ~5.6% blended, Yardi ~6.3%).  •  How's demand? The marine &amp; yachting-services heart of the market — and increasingly a waterfront redevelopment target.  •  Why now? 1031 buyers are active, the Live Local Act unlocks density on commercial land, and rising insurance is nudging owners to test the market.</t>
  </si>
  <si>
    <t>431 NW 1st Avenue</t>
  </si>
  <si>
    <t>Area 3810</t>
  </si>
  <si>
    <t>Hi, I saw 431 NW 1st Avenue came off the market — I cover Broward Blvd. Commercial around here is trading near $265/SF and leasing around $26/SF. I think it can be positioned to actually sell — got two minutes?</t>
  </si>
  <si>
    <t>Comps put it around $4.22M (~$265/SF) — about a 4.3% cap at market rents. It should rent ~$26/SF — about $422K/yr gross.</t>
  </si>
  <si>
    <t>What's it worth? Comps support ~$4.22M (~$265/SF). You were asking $5.00M.  •  What does it rent for? ~$26/SF/yr — about $422K/yr gross on 15,937 SF.  •  What cap? ~4.3% implied from lease-vs-sale comps (market benchmark —).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</si>
  <si>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511 SE 5th Ave Unit#101/102</t>
  </si>
  <si>
    <t>Restaurant</t>
  </si>
  <si>
    <t>Hi, I saw 511 SE 5th Ave Unit#101/102 came off the market — I cover Andrews Ave · SE 17th St. Restaurant/bar around here is trading near $184/SF and leasing around $23/SF. I think it can be positioned to actually sell — got two minutes?</t>
  </si>
  <si>
    <t>Comps put it around $1.59M (~$184/SF) — about a 4.1% cap at market rents. It should rent ~$23/SF — about $196K/yr gross.</t>
  </si>
  <si>
    <t>What's it worth? Comps support ~$1.59M (~$184/SF). You were asking $5.00M.  •  What does it rent for? ~$23/SF/yr — about $196K/yr gross on 8,664 SF.  •  What cap? ~4.1% implied from lease-vs-sale comps (market benchmark —).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</si>
  <si>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1843 S Federal Highway</t>
  </si>
  <si>
    <t>Hi, I saw 1843 S Federal Highway came off the market — I cover Andrews Ave · SE 17th St. Commercial around here is trading near $202/SF and leasing around $26/SF. I think it can be positioned to actually sell — got two minutes?</t>
  </si>
  <si>
    <t>Comps put it around $2.57M (~$202/SF) — about a 3.8% cap at market rents. It should rent ~$26/SF — about $337K/yr gross.</t>
  </si>
  <si>
    <t>What's it worth? Comps support ~$2.57M (~$202/SF). You were asking $4.60M.  •  What does it rent for? ~$26/SF/yr — about $337K/yr gross on 12,715 SF.  •  What cap? ~3.8% implied from lease-vs-sale comps (market benchmark —).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</si>
  <si>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1215 NE 17th Court</t>
  </si>
  <si>
    <t>Area 3160</t>
  </si>
  <si>
    <t>Hi, I saw 1215 NE 17th Court came off the market — I cover Ocean Blvd · SE 17th St. Commercial around here is trading near $59/SF and leasing around $26/SF. I think it can be positioned to actually sell — got two minutes?</t>
  </si>
  <si>
    <t>Comps put it around $2.69M (~$59/SF) — about a 13.7% cap at market rents. It should rent ~$26/SF — about $1.21M/yr gross.</t>
  </si>
  <si>
    <t>What's it worth? Comps support ~$2.69M (~$59/SF). You were asking $4.50M.  •  What does it rent for? ~$26/SF/yr — about $1.21M/yr gross on 45,568 SF.  •  What cap? ~13.7% implied from lease-vs-sale comps (market benchmark —).  •  How's demand? The barrier-island beach market — hospitality, beachfront retail and boutique commercial/condo, where waterfront and ocean views drive a clear premium.  •  Why now? 1031 buyers are active, the Live Local Act unlocks density on commercial land, and rising insurance is nudging owners to test the market.</t>
  </si>
  <si>
    <t>2648 NE 32nd Street</t>
  </si>
  <si>
    <t>Hi, I saw 2648 NE 32nd Street came off the market — I cover Oakland Park Blvd. Hotel around here is trading near $277/SF. I think it can be positioned to actually sell — got two minutes?</t>
  </si>
  <si>
    <t>Comps put it around $5.54M (~$277/SF) — about a 11.8% cap at market rents.</t>
  </si>
  <si>
    <t>What's it worth? Comps support ~$5.54M (~$277/SF). You were asking $4.50M.  •  What cap? ~11.8% implied from lease-vs-sale comps (market benchmark ~7.8%).  •  Why now? 1031 buyers are active, the Live Local Act unlocks density on commercial land, and rising insurance is nudging owners to test the market.</t>
  </si>
  <si>
    <t>2817 E Oakland Park Boulevard</t>
  </si>
  <si>
    <t>Hi, I saw 2817 E Oakland Park Boulevard came off the market — I cover Oakland Park Blvd. Commercial around here is trading near $209/SF and leasing around $26/SF. I think it can be positioned to actually sell — got two minutes?</t>
  </si>
  <si>
    <t>Comps put it around $3.11M (~$209/SF) — about a 4.5% cap at market rents. It should rent ~$26/SF — about $394K/yr gross.</t>
  </si>
  <si>
    <t>What's it worth? Comps support ~$3.11M (~$209/SF). You were asking $4.50M.  •  What does it rent for? ~$26/SF/yr — about $394K/yr gross on 14,860 SF.  •  What cap? ~4.5% implied from lease-vs-sale comps (market benchmark —).  •  Why now? 1031 buyers are active, the Live Local Act unlocks density on commercial land, and rising insurance is nudging owners to test the market.</t>
  </si>
  <si>
    <t>702-704 NE 1st Avenue</t>
  </si>
  <si>
    <t>Area 3380</t>
  </si>
  <si>
    <t>Hi, I saw 702-704 NE 1st Avenue came off the market — I cover Wilton Dr · Federal Hwy. Commercial around here is trading near $306/SF and leasing around $26/SF. I think it can be positioned to actually sell — got two minutes?</t>
  </si>
  <si>
    <t>Comps put it around $3.41M (~$306/SF) — about a 3.6% cap at market rents. It should rent ~$26/SF — about $296K/yr gross.</t>
  </si>
  <si>
    <t>What's it worth? Comps support ~$3.41M (~$306/SF). You were asking $4.25M.  •  What does it rent for? ~$26/SF/yr — about $296K/yr gross on 11,156 SF.  •  What cap? ~3.6% implied from lease-vs-sale comps (market benchmark —).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</si>
  <si>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Comps put it around $5.54M (~$277/SF) — about a 12.7% cap at market rents.</t>
  </si>
  <si>
    <t>What's it worth? Comps support ~$5.54M (~$277/SF). You were asking $4.20M.  •  What cap? ~12.7% implied from lease-vs-sale comps (market benchmark ~7.8%).  •  Why now? 1031 buyers are active, the Live Local Act unlocks density on commercial land, and rising insurance is nudging owners to test the market.</t>
  </si>
  <si>
    <t>817 NE 4th Avenue</t>
  </si>
  <si>
    <t>Area 3270</t>
  </si>
  <si>
    <t>Hi, I saw 817 NE 4th Avenue came off the market — I cover Sunrise Blvd. Mixed-use around here is trading near $131/SF and leasing around $20/SF. I think it can be positioned to actually sell — got two minutes?</t>
  </si>
  <si>
    <t>Comps put it around $2.50M (~$131/SF) — about a 4.5% cap at market rents. It should rent ~$20/SF — about $386K/yr gross.</t>
  </si>
  <si>
    <t>What's it worth? Comps support ~$2.50M (~$131/SF). You were asking $4.00M.  •  What does it rent for? ~$20/SF/yr — about $386K/yr gross on 19,125 SF.  •  What cap? ~4.5% implied from lease-vs-sale comps (market benchmark ~6.0–6.75% (blends retail/MF)).  •  Why now? 1031 buyers are active, the Live Local Act unlocks density on commercial land, and rising insurance is nudging owners to test the market.</t>
  </si>
  <si>
    <t>2150 NW 9th Avenue</t>
  </si>
  <si>
    <t>Area 3460</t>
  </si>
  <si>
    <t>Hi, I saw 2150 NW 9th Avenue came off the market — I cover Sunrise Blvd. Commercial around here is trading near $109/SF and leasing around $26/SF. I think it can be positioned to actually sell — got two minutes?</t>
  </si>
  <si>
    <t>Comps put it around $2.47M (~$109/SF) — about a 7.7% cap at market rents. It should rent ~$26/SF — about $600K/yr gross.</t>
  </si>
  <si>
    <t>What's it worth? Comps support ~$2.47M (~$109/SF). You were asking $4.00M.  •  What does it rent for? ~$26/SF/yr — about $600K/yr gross on 22,630 SF.  •  What cap? ~7.7% implied from lease-vs-sale comps (market benchmark —).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</si>
  <si>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3001 NE 12 Terrace</t>
  </si>
  <si>
    <t>Hi, I saw 3001 NE 12 Terrace came off the market — I cover Dixie Hwy · Oakland Park Blvd. Industrial around here is trading near $242/SF and leasing around $19/SF. I think it can be positioned to actually sell — got two minutes?</t>
  </si>
  <si>
    <t>Comps put it around $3.15M (~$242/SF) — about a 3.2% cap at market rents. It should rent ~$19/SF — about $252K/yr gross.</t>
  </si>
  <si>
    <t>What's it worth? Comps support ~$3.15M (~$242/SF). You were asking $3.90M.  •  What does it rent for? ~$19/SF/yr — about $252K/yr gross on 13,000 SF.  •  What cap? ~3.2% implied from lease-vs-sale comps (market benchmark ~6.0–6.3% (South FL)).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</si>
  <si>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1730 W Sunrise Boulevard</t>
  </si>
  <si>
    <t>Hi, I saw 1730 W Sunrise Boulevard came off the market — I cover Broward Blvd · Sunrise Blvd. Retail around here is trading near $99/SF and leasing around $28/SF. I think it can be positioned to actually sell — got two minutes?</t>
  </si>
  <si>
    <t>Comps put it around $2.66M (~$99/SF) — about a 11.4% cap at market rents. It should rent ~$28/SF — about $751K/yr gross.</t>
  </si>
  <si>
    <t>What's it worth? Comps support ~$2.66M (~$99/SF). You were asking $3.90M.  •  What does it rent for? ~$28/SF/yr — about $751K/yr gross on 26,836 SF.  •  What cap? ~11.4% implied from lease-vs-sale comps (market benchmark ~6.0–6.1%).  •  Why now? 1031 buyers are active, the Live Local Act unlocks density on commercial land, and rising insurance is nudging owners to test the market.</t>
  </si>
  <si>
    <t>2666 E Oakland Park Boulevard</t>
  </si>
  <si>
    <t>Hi, I saw 2666 E Oakland Park Boulevard came off the market — I cover Oakland Park Blvd. Commercial around here is trading near $208/SF and leasing around $26/SF. I think it can be positioned to actually sell — got two minutes?</t>
  </si>
  <si>
    <t>Comps put it around $3.12M (~$208/SF) — about a 5.3% cap at market rents. It should rent ~$26/SF — about $398K/yr gross.</t>
  </si>
  <si>
    <t>What's it worth? Comps support ~$3.12M (~$208/SF). You were asking $3.80M.  •  What does it rent for? ~$26/SF/yr — about $398K/yr gross on 15,000 SF.  •  What cap? ~5.3% implied from lease-vs-sale comps (market benchmark —).  •  Why now? 1031 buyers are active, the Live Local Act unlocks density on commercial land, and rising insurance is nudging owners to test the market.</t>
  </si>
  <si>
    <t>1040 E Oakland Park Blvd</t>
  </si>
  <si>
    <t>Hi, I saw 1040 E Oakland Park Blvd came off the market — I cover Dixie Hwy · Oakland Park Blvd. Retail around here is trading near $100/SF and leasing around $28/SF. I think it can be positioned to actually sell — got two minutes?</t>
  </si>
  <si>
    <t>Comps put it around $2.47M (~$100/SF) — about a 11.2% cap at market rents. It should rent ~$28/SF — about $692K/yr gross.</t>
  </si>
  <si>
    <t>What's it worth? Comps support ~$2.47M (~$100/SF). You were asking $3.65M.  •  What does it rent for? ~$28/SF/yr — about $692K/yr gross on 24,725 SF.  •  What cap? ~11.2% implied from lease-vs-sale comps (market benchmark ~6.0–6.1%).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</si>
  <si>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2905 NE 6th Avenue</t>
  </si>
  <si>
    <t>Hi, I saw 2905 NE 6th Avenue came off the market — I cover Dixie Hwy · Oakland Park Blvd. Commercial around here is trading near $139/SF and leasing around $26/SF. I think it can be positioned to actually sell — got two minutes?</t>
  </si>
  <si>
    <t>Comps put it around $4.18M (~$139/SF) — about a 11.3% cap at market rents. It should rent ~$26/SF — about $797K/yr gross.</t>
  </si>
  <si>
    <t>What's it worth? Comps support ~$4.18M (~$139/SF). You were asking $3.60M.  •  What does it rent for? ~$26/SF/yr — about $797K/yr gross on 30,093 SF.  •  What cap? ~11.3% implied from lease-vs-sale comps (market benchmark —).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</si>
  <si>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Comps put it around $3.12M (~$208/SF) — about a 5.7% cap at market rents. It should rent ~$26/SF — about $398K/yr gross.</t>
  </si>
  <si>
    <t>What's it worth? Comps support ~$3.12M (~$208/SF). You were asking $3.60M.  •  What does it rent for? ~$26/SF/yr — about $398K/yr gross on 15,000 SF.  •  What cap? ~5.7% implied from lease-vs-sale comps (market benchmark —).  •  Why now? 1031 buyers are active, the Live Local Act unlocks density on commercial land, and rising insurance is nudging owners to test the market.</t>
  </si>
  <si>
    <t>2120 S Federal Hwy</t>
  </si>
  <si>
    <t>Hi, I saw 2120 S Federal Hwy came off the market — I cover SE 17th St · Federal Hwy. Retail around here is trading near $212/SF and leasing around $28/SF. I think it can be positioned to actually sell — got two minutes?</t>
  </si>
  <si>
    <t>Comps put it around $2.58M (~$212/SF) — about a 5.6% cap at market rents. It should rent ~$28/SF — about $340K/yr gross.</t>
  </si>
  <si>
    <t>What's it worth? Comps support ~$2.58M (~$212/SF). You were asking $3.60M.  •  What does it rent for? ~$28/SF/yr — about $340K/yr gross on 12,150 SF.  •  What cap? ~5.6% implied from lease-vs-sale comps (market benchmark ~6.0–6.1%).  •  How's demand? The marine &amp; yachting-services heart of the market — and increasingly a waterfront redevelopment target.  •  Why now? 1031 buyers are active, the Live Local Act unlocks density on commercial land, and rising insurance is nudging owners to test the market.</t>
  </si>
  <si>
    <t>2455 E Sunrise Boulevard Unit#Penthouse</t>
  </si>
  <si>
    <t>Hi, I saw 2455 E Sunrise Boulevard Unit#Penthouse came off the market — I cover Sunrise Blvd · Oakland Park Blvd. Commercial around here is trading near $230/SF and leasing around $26/SF. I think it can be positioned to actually sell — got two minutes?</t>
  </si>
  <si>
    <t>Comps put it around $2.85M (~$230/SF) — about a 4.8% cap at market rents. It should rent ~$26/SF — about $329K/yr gross.</t>
  </si>
  <si>
    <t>What's it worth? Comps support ~$2.85M (~$230/SF). You were asking $3.52M.  •  What does it rent for? ~$26/SF/yr — about $329K/yr gross on 12,398 SF.  •  What cap? ~4.8% implied from lease-vs-sale comps (market benchmark —).  •  Why now? 1031 buyers are active, the Live Local Act unlocks density on commercial land, and rising insurance is nudging owners to test the market.</t>
  </si>
  <si>
    <t>991 E Oakland Park Blvd</t>
  </si>
  <si>
    <t>Area 3720</t>
  </si>
  <si>
    <t>Hi, I saw 991 E Oakland Park Blvd came off the market — I cover Oakland Park Blvd. Office around here is trading near $88/SF and leasing around $17/SF. I think it can be positioned to actually sell — got two minutes?</t>
  </si>
  <si>
    <t>Comps put it around $1.56M (~$88/SF) — about a 8.1% cap at market rents. It should rent ~$17/SF — about $302K/yr gross.</t>
  </si>
  <si>
    <t>What's it worth? Comps support ~$1.56M (~$88/SF). You were asking $3.50M.  •  What does it rent for? ~$17/SF/yr — about $302K/yr gross on 17,740 SF.  •  What cap? ~8.1% implied from lease-vs-sale comps (market benchmark ~6.75–8.0%).  •  Why now? 1031 buyers are active, the Live Local Act unlocks density on commercial land, and rising insurance is nudging owners to test the market.</t>
  </si>
  <si>
    <t>Comps put it around $2.58M (~$212/SF) — about a 5.7% cap at market rents. It should rent ~$28/SF — about $340K/yr gross.</t>
  </si>
  <si>
    <t>What's it worth? Comps support ~$2.58M (~$212/SF). You were asking $3.50M.  •  What does it rent for? ~$28/SF/yr — about $340K/yr gross on 12,150 SF.  •  What cap? ~5.7% implied from lease-vs-sale comps (market benchmark ~6.0–6.1%).  •  How's demand? The marine &amp; yachting-services heart of the market — and increasingly a waterfront redevelopment target.  •  Why now? 1031 buyers are active, the Live Local Act unlocks density on commercial land, and rising insurance is nudging owners to test the market.</t>
  </si>
  <si>
    <t>Hi, I saw 1730 W Sunrise Boulevard came off the market — I cover Sunrise Blvd. Commercial around here is trading near $100/SF and leasing around $26/SF. I think it can be positioned to actually sell — got two minutes?</t>
  </si>
  <si>
    <t>Comps put it around $2.68M (~$100/SF) — about a 10.7% cap at market rents. It should rent ~$26/SF — about $711K/yr gross.</t>
  </si>
  <si>
    <t>What's it worth? Comps support ~$2.68M (~$100/SF). You were asking $3.40M.  •  What does it rent for? ~$26/SF/yr — about $711K/yr gross on 26,836 SF.  •  What cap? ~10.7% implied from lease-vs-sale comps (market benchmark —).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</si>
  <si>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600 SW 4th Avenue</t>
  </si>
  <si>
    <t>Area 3500</t>
  </si>
  <si>
    <t>Hi, I saw 600 SW 4th Avenue came off the market — I cover Andrews Ave. Commercial around here is trading near $208/SF and leasing around $26/SF. I think it can be positioned to actually sell — got two minutes?</t>
  </si>
  <si>
    <t>Comps put it around $2.57M (~$208/SF) — about a 4.9% cap at market rents. It should rent ~$26/SF — about $328K/yr gross.</t>
  </si>
  <si>
    <t>What's it worth? Comps support ~$2.57M (~$208/SF). You were asking $3.40M.  •  What does it rent for? ~$26/SF/yr — about $328K/yr gross on 12,363 SF.  •  What cap? ~4.9% implied from lease-vs-sale comps (market benchmark —).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</si>
  <si>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201 SW 21st St</t>
  </si>
  <si>
    <t>Withdrawn</t>
  </si>
  <si>
    <t>Hi, I saw 201 SW 21st St came off the market — I cover Andrews Ave. Industrial around here is trading near $175/SF and leasing around $19/SF. I think it can be positioned to actually sell — got two minutes?</t>
  </si>
  <si>
    <t>Comps put it around $3.65M (~$175/SF) — about a 5.9% cap at market rents. It should rent ~$19/SF — about $404K/yr gross.</t>
  </si>
  <si>
    <t>What's it worth? Comps support ~$3.65M (~$175/SF). You were asking $3.40M.  •  What does it rent for? ~$19/SF/yr — about $404K/yr gross on 20,827 SF.  •  What cap? ~5.9% implied from lease-vs-sale comps (market benchmark ~6.0–6.3% (South FL)).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</si>
  <si>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746 NE 3rd Ave &amp; 8th Street</t>
  </si>
  <si>
    <t>Hi, I saw 746 NE 3rd Ave &amp; 8th Street came off the market — I cover Sunrise Blvd. Commercial around here is trading near $182/SF and leasing around $26/SF. I think it can be positioned to actually sell — got two minutes?</t>
  </si>
  <si>
    <t>Comps put it around $3.50M (~$182/SF) — about a 7.7% cap at market rents. It should rent ~$26/SF — about $510K/yr gross.</t>
  </si>
  <si>
    <t>What's it worth? Comps support ~$3.50M (~$182/SF). You were asking $3.37M.  •  What does it rent for? ~$26/SF/yr — about $510K/yr gross on 19,250 SF.  •  What cap? ~7.7% implied from lease-vs-sale comps (market benchmark —).  •  Why now? 1031 buyers are active, the Live Local Act unlocks density on commercial land, and rising insurance is nudging owners to test the market.</t>
  </si>
  <si>
    <t>2625 NE 13th Ct</t>
  </si>
  <si>
    <t>Hi, I saw 2625 NE 13th Ct came off the market — I cover Sunrise Blvd · Oakland Park Blvd. Multifamily around here is trading near $211/SF and leasing around $15/SF. I think it can be positioned to actually sell — got two minutes?</t>
  </si>
  <si>
    <t>Comps put it around $2.88M (~$211/SF) — about a 4.0% cap at market rents. It should rent ~$15/SF — about $210K/yr gross.</t>
  </si>
  <si>
    <t>What's it worth? Comps support ~$2.88M (~$211/SF). You were asking $3.35M.  •  What does it rent for? ~$15/SF/yr — about $210K/yr gross on 13,650 SF.  •  What cap? ~4.0%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</si>
  <si>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15 SE 9th Avenue</t>
  </si>
  <si>
    <t>Hi, I saw 15 SE 9th Avenue came off the market — I cover Sunrise Blvd. Commercial around here is trading near $301/SF and leasing around $26/SF. I think it can be positioned to actually sell — got two minutes?</t>
  </si>
  <si>
    <t>Comps put it around $2.26M (~$301/SF) — about a 3.1% cap at market rents. It should rent ~$26/SF — about $199K/yr gross.</t>
  </si>
  <si>
    <t>What's it worth? Comps support ~$2.26M (~$301/SF). You were asking $3.25M.  •  What does it rent for? ~$26/SF/yr — about $199K/yr gross on 7,500 SF.  •  What cap? ~3.1% implied from lease-vs-sale comps (market benchmark —).  •  Why now? 1031 buyers are active, the Live Local Act unlocks density on commercial land, and rising insurance is nudging owners to test the market.</t>
  </si>
  <si>
    <t>1408, 1404 NE</t>
  </si>
  <si>
    <t>Hi, I saw 1408, 1404 NE came off the market — I cover Dixie Hwy · Oakland Park Blvd. Retail around here is trading near $86/SF and leasing around $28/SF. I think it can be positioned to actually sell — got two minutes?</t>
  </si>
  <si>
    <t>Comps put it around $2.82M (~$86/SF). It should rent ~$28/SF — about $917K/yr gross.</t>
  </si>
  <si>
    <t>What's it worth? Comps support ~$2.82M (~$86/SF). You were asking $3.20M.  •  What does it rent for? ~$28/SF/yr — about $917K/yr gross on 32,741 SF.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</si>
  <si>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729 SW 2nd Ct</t>
  </si>
  <si>
    <t>Hi, I saw 729 SW 2nd Ct came off the market — I cover Davie Blvd · Las Olas Blvd. Multifamily around here is trading near $185/SF and leasing around $15/SF. I think it can be positioned to actually sell — got two minutes?</t>
  </si>
  <si>
    <t>Comps put it around $2.13M (~$185/SF) — about a 3.8% cap at market rents. It should rent ~$15/SF — about $177K/yr gross.</t>
  </si>
  <si>
    <t>What's it worth? Comps support ~$2.13M (~$185/SF). You were asking $3.00M.  •  What does it rent for? ~$15/SF/yr — about $177K/yr gross on 11,500 SF.  •  What cap? ~3.8%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</si>
  <si>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1115 Tequesta Street</t>
  </si>
  <si>
    <t>Hi, I saw 1115 Tequesta Street came off the market — I cover Davie Blvd · Las Olas Blvd. Multifamily around here is trading near $147/SF and leasing around $15/SF. I think it can be positioned to actually sell — got two minutes?</t>
  </si>
  <si>
    <t>Comps put it around $2.57M (~$147/SF) — about a 5.7% cap at market rents. It should rent ~$15/SF — about $270K/yr gross.</t>
  </si>
  <si>
    <t>What's it worth? Comps support ~$2.57M (~$147/SF). You were asking $3.00M.  •  What does it rent for? ~$15/SF/yr — about $270K/yr gross on 17,500 SF.  •  What cap? ~5.7%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</si>
  <si>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828 NW 1st St</t>
  </si>
  <si>
    <t>Hi, I saw 828 NW 1st St came off the market — I cover Davie Blvd · Las Olas Blvd. Industrial around here is trading near $192/SF and leasing around $19/SF. I think it can be positioned to actually sell — got two minutes?</t>
  </si>
  <si>
    <t>Comps put it around $2.68M (~$192/SF) — about a 4.5% cap at market rents. It should rent ~$19/SF — about $271K/yr gross.</t>
  </si>
  <si>
    <t>What's it worth? Comps support ~$2.68M (~$192/SF). You were asking $2.98M.  •  What does it rent for? ~$19/SF/yr — about $271K/yr gross on 13,951 SF.  •  What cap? ~4.5% implied from lease-vs-sale comps (market benchmark ~6.0–6.3% (South FL)).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</si>
  <si>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2826 E Oakland Park Blvd</t>
  </si>
  <si>
    <t>Hi, I saw 2826 E Oakland Park Blvd came off the market — I cover Oakland Park Blvd. Office around here is trading near $140/SF and leasing around $17/SF. I think it can be positioned to actually sell — got two minutes?</t>
  </si>
  <si>
    <t>Comps put it around $1.05M (~$140/SF) — about a 4.2% cap at market rents. It should rent ~$17/SF — about $128K/yr gross.</t>
  </si>
  <si>
    <t>What's it worth? Comps support ~$1.05M (~$140/SF). You were asking $2.85M.  •  What does it rent for? ~$17/SF/yr — about $128K/yr gross on 7,505 SF.  •  What cap? ~4.2% implied from lease-vs-sale comps (market benchmark ~6.75–8.0%).  •  Why now? 1031 buyers are active, the Live Local Act unlocks density on commercial land, and rising insurance is nudging owners to test the market.</t>
  </si>
  <si>
    <t>Comps put it around $2.88M (~$211/SF) — about a 4.7% cap at market rents. It should rent ~$15/SF — about $210K/yr gross.</t>
  </si>
  <si>
    <t>What's it worth? Comps support ~$2.88M (~$211/SF). You were asking $2.85M.  •  What does it rent for? ~$15/SF/yr — about $210K/yr gross on 13,650 SF.  •  What cap? ~4.7%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</si>
  <si>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533 NE 13th Street</t>
  </si>
  <si>
    <t>Hi, I saw 533 NE 13th Street came off the market — I cover Wilton Dr · Federal Hwy. Commercial around here is trading near $266/SF and leasing around $26/SF. I think it can be positioned to actually sell — got two minutes?</t>
  </si>
  <si>
    <t>Comps put it around $3.85M (~$266/SF) — about a 6.9% cap at market rents. It should rent ~$26/SF — about $384K/yr gross.</t>
  </si>
  <si>
    <t>What's it worth? Comps support ~$3.85M (~$266/SF). You were asking $2.85M.  •  What does it rent for? ~$26/SF/yr — about $384K/yr gross on 14,491 SF.  •  What cap? ~6.9% implied from lease-vs-sale comps (market benchmark —).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</si>
  <si>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Area 30</t>
  </si>
  <si>
    <t>Hi, I saw 2826 E Oakland Park Blvd came off the market — I cover Oakland Park Blvd. Office around here is trading near $139/SF and leasing around $17/SF. I think it can be positioned to actually sell — got two minutes?</t>
  </si>
  <si>
    <t>Comps put it around $1.04M (~$139/SF) — about a 4.3% cap at market rents. It should rent ~$17/SF — about $128K/yr gross.</t>
  </si>
  <si>
    <t>What's it worth? Comps support ~$1.04M (~$139/SF). You were asking $2.80M.  •  What does it rent for? ~$17/SF/yr — about $128K/yr gross on 7,505 SF.  •  What cap? ~4.3% implied from lease-vs-sale comps (market benchmark ~6.75–8.0%).  •  Why now? 1031 buyers are active, the Live Local Act unlocks density on commercial land, and rising insurance is nudging owners to test the market.</t>
  </si>
  <si>
    <t>92 Hendricks Isle</t>
  </si>
  <si>
    <t>Area 3280</t>
  </si>
  <si>
    <t>Hi, I saw 92 Hendricks Isle came off the market — I cover Sunrise Blvd · Las Olas Blvd. Multifamily around here is trading near $320/SF and leasing around $15/SF. I think it can be positioned to actually sell — got two minutes?</t>
  </si>
  <si>
    <t>Comps put it around $2.00M (~$320/SF). It should rent ~$15/SF — about $96K/yr gross.</t>
  </si>
  <si>
    <t>What's it worth? Comps support ~$2.00M (~$320/SF). You were asking $2.75M.  •  What does it rent for? ~$15/SF/yr — about $96K/yr gross on 6,250 SF.  •  Why now? 1031 buyers are active, the Live Local Act unlocks density on commercial land, and rising insurance is nudging owners to test the market.</t>
  </si>
  <si>
    <t>15 NW 9th Ave</t>
  </si>
  <si>
    <t>Hi, I saw 15 NW 9th Ave came off the market — I cover Davie Blvd · Las Olas Blvd. Industrial around here is trading near $277/SF and leasing around $19/SF. I think it can be positioned to actually sell — got two minutes?</t>
  </si>
  <si>
    <t>Comps put it around $1.94M (~$277/SF). It should rent ~$19/SF — about $136K/yr gross.</t>
  </si>
  <si>
    <t>What's it worth? Comps support ~$1.94M (~$277/SF). You were asking $2.75M.  •  What does it rent for? ~$19/SF/yr — about $136K/yr gross on 7,000 SF.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</si>
  <si>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114 NW 25th Street</t>
  </si>
  <si>
    <t>Area 3390</t>
  </si>
  <si>
    <t>Hi, I saw 114 NW 25th Street came off the market — I cover Oakland Park Blvd · SE 17th St. Multifamily around here is trading near $119/SF and leasing around $15/SF. I think it can be positioned to actually sell — got two minutes?</t>
  </si>
  <si>
    <t>Comps put it around $4.78M (~$119/SF) — about a 14.3% cap at market rents. It should rent ~$15/SF — about $619K/yr gross.</t>
  </si>
  <si>
    <t>What's it worth? Comps support ~$4.78M (~$119/SF). You were asking $2.75M.  •  What does it rent for? ~$15/SF/yr — about $619K/yr gross on 40,196 SF.  •  What cap? ~14.3%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</si>
  <si>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2010 Wilton Dr</t>
  </si>
  <si>
    <t>Hi, I saw 2010 Wilton Dr came off the market — I cover Wilton Dr · Federal Hwy. Restaurant/bar around here is trading near $272/SF and leasing around $23/SF. I think it can be positioned to actually sell — got two minutes?</t>
  </si>
  <si>
    <t>Comps put it around $2.17M (~$272/SF) — about a 6.9% cap at market rents. It should rent ~$23/SF — about $180K/yr gross.</t>
  </si>
  <si>
    <t>What's it worth? Comps support ~$2.17M (~$272/SF). You were asking $2.75M.  •  What does it rent for? ~$23/SF/yr — about $180K/yr gross on 7,960 SF.  •  What cap? ~6.9% implied from lease-vs-sale comps (market benchmark —).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</si>
  <si>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724-730 3rd Avenue</t>
  </si>
  <si>
    <t>Hi, I saw 724-730 3rd Avenue came off the market — I cover Sunrise Blvd. Multifamily around here is trading near $197/SF and leasing around $15/SF. I think it can be positioned to actually sell — got two minutes?</t>
  </si>
  <si>
    <t>Comps put it around $3.08M (~$197/SF) — about a 5.6% cap at market rents. It should rent ~$15/SF — about $241K/yr gross.</t>
  </si>
  <si>
    <t>What's it worth? Comps support ~$3.08M (~$197/SF). You were asking $2.73M.  •  What does it rent for? ~$15/SF/yr — about $241K/yr gross on 15,625 SF.  •  What cap? ~5.6%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</si>
  <si>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1122 W Broward Boulevard</t>
  </si>
  <si>
    <t>Hi, I saw 1122 W Broward Boulevard came off the market — I cover Davie Blvd · Las Olas Blvd. Retail around here is trading near $152/SF and leasing around $28/SF. I think it can be positioned to actually sell — got two minutes?</t>
  </si>
  <si>
    <t>Comps put it around $1.20M (~$152/SF) — about a 4.9% cap at market rents. It should rent ~$28/SF — about $220K/yr gross.</t>
  </si>
  <si>
    <t>What's it worth? Comps support ~$1.20M (~$152/SF). You were asking $2.65M.  •  What does it rent for? ~$28/SF/yr — about $220K/yr gross on 7,875 SF.  •  What cap? ~4.9% implied from lease-vs-sale comps (market benchmark ~6.0–6.1%).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</si>
  <si>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2502 NE 6th Avenue</t>
  </si>
  <si>
    <t>Hi, I saw 2502 NE 6th Avenue came off the market — I cover Dixie Hwy · Oakland Park Blvd. Commercial around here is trading near $322/SF and leasing around $26/SF. I think it can be positioned to actually sell — got two minutes?</t>
  </si>
  <si>
    <t>Comps put it around $2.01M (~$322/SF) — about a 3.2% cap at market rents. It should rent ~$26/SF — about $166K/yr gross.</t>
  </si>
  <si>
    <t>What's it worth? Comps support ~$2.01M (~$322/SF). You were asking $2.65M.  •  What does it rent for? ~$26/SF/yr — about $166K/yr gross on 6,256 SF.  •  What cap? ~3.2% implied from lease-vs-sale comps (market benchmark —).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</si>
  <si>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3047 N Federal Highway</t>
  </si>
  <si>
    <t>Hi, I saw 3047 N Federal Highway came off the market — I cover Wilton Dr · Federal Hwy. Commercial around here is trading near $601/SF and leasing around $26/SF. I think it can be positioned to actually sell — got two minutes?</t>
  </si>
  <si>
    <t>Comps put it around $1.88M (~$601/SF). It should rent ~$26/SF — about $83K/yr gross.</t>
  </si>
  <si>
    <t>What's it worth? Comps support ~$1.88M (~$601/SF). You were asking $2.50M.  •  What does it rent for? ~$26/SF/yr — about $83K/yr gross on 3,130 SF.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</si>
  <si>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2500 Wilton Dr</t>
  </si>
  <si>
    <t>Special Purpose</t>
  </si>
  <si>
    <t>Hi, I saw 2500 Wilton Dr came off the market — I cover Dixie Hwy · Oakland Park Blvd. Special-purpose around here is trading near $340/SF and leasing around $7/SF. I think it can be positioned to actually sell — got two minutes?</t>
  </si>
  <si>
    <t>Comps put it around $1.93M (~$340/SF). It should rent ~$7/SF — about $41K/yr gross.</t>
  </si>
  <si>
    <t>What's it worth? Comps support ~$1.93M (~$340/SF). You were asking $2.50M.  •  What does it rent for? ~$7/SF/yr — about $41K/yr gross on 5,664 SF.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</si>
  <si>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1650 NE 26th Street</t>
  </si>
  <si>
    <t>Hi, I saw 1650 NE 26th Street came off the market — I cover Sunrise Blvd · Las Olas Blvd. Commercial around here is trading near $208/SF and leasing around $26/SF. I think it can be positioned to actually sell — got two minutes?</t>
  </si>
  <si>
    <t>Comps put it around $3.12M (~$208/SF) — about a 8.1% cap at market rents. It should rent ~$26/SF — about $398K/yr gross.</t>
  </si>
  <si>
    <t>What's it worth? Comps support ~$3.12M (~$208/SF). You were asking $2.50M.  •  What does it rent for? ~$26/SF/yr — about $398K/yr gross on 15,003 SF.  •  What cap? ~8.1% implied from lease-vs-sale comps (market benchmark —).  •  Why now? 1031 buyers are active, the Live Local Act unlocks density on commercial land, and rising insurance is nudging owners to test the market.</t>
  </si>
  <si>
    <t>835 NE 3rd Ave</t>
  </si>
  <si>
    <t>Area 3700</t>
  </si>
  <si>
    <t>Hi, I saw 835 NE 3rd Ave came off the market — I cover Andrews Ave. Restaurant/bar around here is trading near $243/SF and leasing around $23/SF. I think it can be positioned to actually sell — got two minutes?</t>
  </si>
  <si>
    <t>Comps put it around $1.55M (~$243/SF) — about a 6.1% cap at market rents. It should rent ~$23/SF — about $144K/yr gross.</t>
  </si>
  <si>
    <t>What's it worth? Comps support ~$1.55M (~$243/SF). You were asking $2.50M.  •  What does it rent for? ~$23/SF/yr — about $144K/yr gross on 6,375 SF.  •  What cap? ~6.1% implied from lease-vs-sale comps (market benchmark —).  •  Why now? 1031 buyers are active, the Live Local Act unlocks density on commercial land, and rising insurance is nudging owners to test the market.</t>
  </si>
  <si>
    <t>415 SE 12th Street</t>
  </si>
  <si>
    <t>Area 3150</t>
  </si>
  <si>
    <t>Hi, I saw 415 SE 12th Street came off the market — I cover the area. Commercial around here is trading near $235/SF and leasing around $26/SF. I think it can be positioned to actually sell — got two minutes?</t>
  </si>
  <si>
    <t>Comps put it around $2.81M (~$235/SF) — about a 6.5% cap at market rents. It should rent ~$26/SF — about $317K/yr gross.</t>
  </si>
  <si>
    <t>What's it worth? Comps support ~$2.81M (~$235/SF). You were asking $2.50M.  •  What does it rent for? ~$26/SF/yr — about $317K/yr gross on 11,950 SF.  •  What cap? ~6.5% implied from lease-vs-sale comps (market benchmark —).  •  Why now? 1031 buyers are active, the Live Local Act unlocks density on commercial land, and rising insurance is nudging owners to test the market.</t>
  </si>
  <si>
    <t>2617 NE 13th Court</t>
  </si>
  <si>
    <t>Hi, I saw 2617 NE 13th Court came off the market — I cover Sunrise Blvd · Oakland Park Blvd. Commercial around here is trading near $252/SF and leasing around $26/SF. I think it can be positioned to actually sell — got two minutes?</t>
  </si>
  <si>
    <t>Comps put it around $2.62M (~$252/SF) — about a 5.7% cap at market rents. It should rent ~$26/SF — about $276K/yr gross.</t>
  </si>
  <si>
    <t>What's it worth? Comps support ~$2.62M (~$252/SF). You were asking $2.48M.  •  What does it rent for? ~$26/SF/yr — about $276K/yr gross on 10,400 SF.  •  What cap? ~5.7% implied from lease-vs-sale comps (market benchmark —).  •  Why now? 1031 buyers are active, the Live Local Act unlocks density on commercial land, and rising insurance is nudging owners to test the market.</t>
  </si>
  <si>
    <t>735 NW 7th Terrace</t>
  </si>
  <si>
    <t>Hi, I saw 735 NW 7th Terrace came off the market — I cover Sunrise Blvd. Industrial around here is trading near $186/SF and leasing around $19/SF. I think it can be positioned to actually sell — got two minutes?</t>
  </si>
  <si>
    <t>Comps put it around $1.88M (~$186/SF) — about a 4.1% cap at market rents. It should rent ~$19/SF — about $196K/yr gross.</t>
  </si>
  <si>
    <t>What's it worth? Comps support ~$1.88M (~$186/SF). You were asking $2.40M.  •  What does it rent for? ~$19/SF/yr — about $196K/yr gross on 10,125 SF.  •  What cap? ~4.1% implied from lease-vs-sale comps (market benchmark ~6.0–6.3% (South FL)).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</si>
  <si>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1700 NE 5 Street</t>
  </si>
  <si>
    <t>Hi, I saw 1700 NE 5 Street came off the market — I cover Sunrise Blvd. Commercial around here is trading near $223/SF and leasing around $26/SF. I think it can be positioned to actually sell — got two minutes?</t>
  </si>
  <si>
    <t>Comps put it around $2.92M (~$223/SF) — about a 7.7% cap at market rents. It should rent ~$26/SF — about $347K/yr gross.</t>
  </si>
  <si>
    <t>What's it worth? Comps support ~$2.92M (~$223/SF). You were asking $2.29M.  •  What does it rent for? ~$26/SF/yr — about $347K/yr gross on 13,107 SF.  •  What cap? ~7.7% implied from lease-vs-sale comps (market benchmark —).  •  Why now? 1031 buyers are active, the Live Local Act unlocks density on commercial land, and rising insurance is nudging owners to test the market.</t>
  </si>
  <si>
    <t>844 NW 10th Ter</t>
  </si>
  <si>
    <t>Hi, I saw 844 NW 10th Ter came off the market — I cover Sunrise Blvd. Mixed-use around here is trading near $91/SF and leasing around $20/SF. I think it can be positioned to actually sell — got two minutes?</t>
  </si>
  <si>
    <t>Comps put it around $1.54M (~$91/SF) — about a 7.1% cap at market rents. It should rent ~$20/SF — about $341K/yr gross.</t>
  </si>
  <si>
    <t>What's it worth? Comps support ~$1.54M (~$91/SF). You were asking $2.23M.  •  What does it rent for? ~$20/SF/yr — about $341K/yr gross on 16,875 SF.  •  What cap? ~7.1% implied from lease-vs-sale comps (market benchmark ~6.0–6.75% (blends retail/MF)).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</si>
  <si>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Comps put it around $1.54M (~$91/SF) — about a 7.2% cap at market rents. It should rent ~$20/SF — about $341K/yr gross.</t>
  </si>
  <si>
    <t>What's it worth? Comps support ~$1.54M (~$91/SF). You were asking $2.20M.  •  What does it rent for? ~$20/SF/yr — about $341K/yr gross on 16,875 SF.  •  What cap? ~7.2% implied from lease-vs-sale comps (market benchmark ~6.0–6.75% (blends retail/MF)).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</si>
  <si>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1210 NE 8th Ave</t>
  </si>
  <si>
    <t>Flex</t>
  </si>
  <si>
    <t>Hi, I saw 1210 NE 8th Ave came off the market — I cover Broward Blvd · Sunrise Blvd. Flex around here is trading near $328/SF. I think it can be positioned to actually sell — got two minutes?</t>
  </si>
  <si>
    <t>Comps put it around $2.09M (~$328/SF) — about a 4.3% cap at market rents.</t>
  </si>
  <si>
    <t>What's it worth? Comps support ~$2.09M (~$328/SF). You were asking $2.20M.  •  What cap? ~4.3% implied from lease-vs-sale comps (market benchmark —).  •  Why now? 1031 buyers are active, the Live Local Act unlocks density on commercial land, and rising insurance is nudging owners to test the market.</t>
  </si>
  <si>
    <t>1210 NE 8th Avenue</t>
  </si>
  <si>
    <t>Hi, I saw 1210 NE 8th Avenue came off the market — I cover Broward Blvd · Sunrise Blvd. Mixed-use around here is trading near $235/SF and leasing around $20/SF. I think it can be positioned to actually sell — got two minutes?</t>
  </si>
  <si>
    <t>Comps put it around $1.50M (~$235/SF). It should rent ~$20/SF — about $129K/yr gross.</t>
  </si>
  <si>
    <t>What's it worth? Comps support ~$1.50M (~$235/SF). You were asking $2.20M.  •  What does it rent for? ~$20/SF/yr — about $129K/yr gross on 6,378 SF.  •  Why now? 1031 buyers are active, the Live Local Act unlocks density on commercial land, and rising insurance is nudging owners to test the market.</t>
  </si>
  <si>
    <t>325 NW 25 Street</t>
  </si>
  <si>
    <t>Hi, I saw 325 NW 25 Street came off the market — I cover Oakland Park Blvd · SE 17th St. Multifamily around here is trading near $215/SF and leasing around $15/SF. I think it can be positioned to actually sell — got two minutes?</t>
  </si>
  <si>
    <t>Comps put it around $2.84M (~$215/SF) — about a 5.9% cap at market rents. It should rent ~$15/SF — about $204K/yr gross.</t>
  </si>
  <si>
    <t>What's it worth? Comps support ~$2.84M (~$215/SF). You were asking $2.18M.  •  What does it rent for? ~$15/SF/yr — about $204K/yr gross on 13,220 SF.  •  What cap? ~5.9%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</si>
  <si>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709 SW 4th Ct Unit#1-7</t>
  </si>
  <si>
    <t>Hi, I saw 709 SW 4th Ct Unit#1-7 came off the market — I cover Davie Blvd · Las Olas Blvd. Multifamily around here is trading near $166/SF and leasing around $15/SF. I think it can be positioned to actually sell — got two minutes?</t>
  </si>
  <si>
    <t>Comps put it around $2.32M (~$166/SF) — about a 6.5% cap at market rents. It should rent ~$15/SF — about $216K/yr gross.</t>
  </si>
  <si>
    <t>What's it worth? Comps support ~$2.32M (~$166/SF). You were asking $2.10M.  •  What does it rent for? ~$15/SF/yr — about $216K/yr gross on 14,000 SF.  •  What cap? ~6.5%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</si>
  <si>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842 NW 1st Avenue Unit#1-8</t>
  </si>
  <si>
    <t>Hi, I saw 842 NW 1st Avenue Unit#1-8 came off the market — I cover Broward Blvd. Multifamily around here is trading near $327/SF and leasing around $15/SF. I think it can be positioned to actually sell — got two minutes?</t>
  </si>
  <si>
    <t>Comps put it around $3.31M (~$327/SF) — about a 4.8% cap at market rents. It should rent ~$15/SF — about $156K/yr gross.</t>
  </si>
  <si>
    <t>What's it worth? Comps support ~$3.31M (~$327/SF). You were asking $2.08M.  •  What does it rent for? ~$15/SF/yr — about $156K/yr gross on 10,126 SF.  •  What cap? ~4.8% implied from lease-vs-sale comps (market benchmark 4.7–5.4% (A ~4.74% · B ~4.92% · C ~5.38%); ~5.6% blended, Yardi ~6.3%).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</si>
  <si>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1900 E Oakland Park Boulevard</t>
  </si>
  <si>
    <t>Hi, I saw 1900 E Oakland Park Boulevard came off the market — I cover Dixie Hwy · Oakland Park Blvd. Retail around here is trading near $123/SF and leasing around $28/SF. I think it can be positioned to actually sell — got two minutes?</t>
  </si>
  <si>
    <t>Comps put it around $2.06M (~$123/SF) — about a 13.5% cap at market rents. It should rent ~$28/SF — about $468K/yr gross.</t>
  </si>
  <si>
    <t>What's it worth? Comps support ~$2.06M (~$123/SF). You were asking $2.05M.  •  What does it rent for? ~$28/SF/yr — about $468K/yr gross on 16,728 SF.  •  What cap? ~13.5% implied from lease-vs-sale comps (market benchmark ~6.0–6.1%).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</si>
  <si>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842 NW 1st Ave</t>
  </si>
  <si>
    <t>Hi, I saw 842 NW 1st Ave came off the market — I cover Broward Blvd. Multifamily around here is trading near $327/SF and leasing around $15/SF. I think it can be positioned to actually sell — got two minutes?</t>
  </si>
  <si>
    <t>Comps put it around $3.31M (~$327/SF) — about a 4.9% cap at market rents. It should rent ~$15/SF — about $156K/yr gross.</t>
  </si>
  <si>
    <t>What's it worth? Comps support ~$3.31M (~$327/SF). You were asking $2.05M.  •  What does it rent for? ~$15/SF/yr — about $156K/yr gross on 10,126 SF.  •  What cap? ~4.9% implied from lease-vs-sale comps (market benchmark 4.7–5.4% (A ~4.74% · B ~4.92% · C ~5.38%); ~5.6% blended, Yardi ~6.3%).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</si>
  <si>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511 SE 5th Ave Unit#11</t>
  </si>
  <si>
    <t>Hi, I saw 511 SE 5th Ave Unit#11 came off the market — I cover Andrews Ave · SE 17th St. Office around here is trading near $162/SF and leasing around $17/SF. I think it can be positioned to actually sell — got two minutes?</t>
  </si>
  <si>
    <t>Comps put it around $735K (~$162/SF) — about a 3.5% cap at market rents. It should rent ~$17/SF — about $77K/yr gross.</t>
  </si>
  <si>
    <t>What's it worth? Comps support ~$735K (~$162/SF). You were asking $2.04M.  •  What does it rent for? ~$17/SF/yr — about $77K/yr gross on 4,540 SF.  •  What cap? ~3.5%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</si>
  <si>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821 NE 18th Ct Unit#1-5</t>
  </si>
  <si>
    <t>Hi, I saw 821 NE 18th Ct Unit#1-5 came off the market — I cover Dixie Hwy · Oakland Park Blvd. Multifamily around here is trading near $263/SF and leasing around $15/SF. I think it can be positioned to actually sell — got two minutes?</t>
  </si>
  <si>
    <t>Comps put it around $2.25M (~$263/SF) — about a 4.2% cap at market rents. It should rent ~$15/SF — about $132K/yr gross.</t>
  </si>
  <si>
    <t>What's it worth? Comps support ~$2.25M (~$263/SF). You were asking $2.00M.  •  What does it rent for? ~$15/SF/yr — about $132K/yr gross on 8,540 SF.  •  What cap? ~4.2% implied from lease-vs-sale comps (market benchmark 4.7–5.4% (A ~4.74% · B ~4.92% · C ~5.38%); ~5.6% blended, Yardi ~6.3%).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</si>
  <si>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2010 NW 6th St</t>
  </si>
  <si>
    <t>Area 3040</t>
  </si>
  <si>
    <t>Hi, I saw 2010 NW 6th St came off the market — I cover Federal Hwy. Restaurant/bar around here is trading near $270/SF and leasing around $23/SF. I think it can be positioned to actually sell — got two minutes?</t>
  </si>
  <si>
    <t>Comps put it around $1.40M (~$270/SF) — about a 6.2% cap at market rents. It should rent ~$23/SF — about $118K/yr gross.</t>
  </si>
  <si>
    <t>What's it worth? Comps support ~$1.40M (~$270/SF). You were asking $2.00M.  •  What does it rent for? ~$23/SF/yr — about $118K/yr gross on 5,200 SF.  •  What cap? ~6.2% implied from lease-vs-sale comps (market benchmark —).  •  Why now? 1031 buyers are active, the Live Local Act unlocks density on commercial land, and rising insurance is nudging owners to test the market.</t>
  </si>
  <si>
    <t>1091 NE 4th Avenue</t>
  </si>
  <si>
    <t>Hi, I saw 1091 NE 4th Avenue came off the market — I cover Oakland Park Blvd · SE 17th St. Commercial around here is trading near $188/SF and leasing around $26/SF. I think it can be positioned to actually sell — got two minutes?</t>
  </si>
  <si>
    <t>Comps put it around $3.40M (~$188/SF) — about a 12.3% cap at market rents. It should rent ~$26/SF — about $480K/yr gross.</t>
  </si>
  <si>
    <t>What's it worth? Comps support ~$3.40M (~$188/SF). You were asking $1.99M.  •  What does it rent for? ~$26/SF/yr — about $480K/yr gross on 18,100 SF.  •  What cap? ~12.3% implied from lease-vs-sale comps (market benchmark —).  •  Why now? 1031 buyers are active, the Live Local Act unlocks density on commercial land, and rising insurance is nudging owners to test the market.</t>
  </si>
  <si>
    <t>2700 E Oakland Park Boulevard</t>
  </si>
  <si>
    <t>Hi, I saw 2700 E Oakland Park Boulevard came off the market — I cover Sunrise Blvd · Oakland Park Blvd. Retail around here is trading near $135/SF and leasing around $28/SF. I think it can be positioned to actually sell — got two minutes?</t>
  </si>
  <si>
    <t>Comps put it around $2.02M (~$135/SF) — about a 12.4% cap at market rents. It should rent ~$28/SF — about $420K/yr gross.</t>
  </si>
  <si>
    <t>What's it worth? Comps support ~$2.02M (~$135/SF). You were asking $1.99M.  •  What does it rent for? ~$28/SF/yr — about $420K/yr gross on 15,000 SF.  •  What cap? ~12.4% implied from lease-vs-sale comps (market benchmark ~6.0–6.1%).  •  Why now? 1031 buyers are active, the Live Local Act unlocks density on commercial land, and rising insurance is nudging owners to test the market.</t>
  </si>
  <si>
    <t>200-204 NW 17th Court Unit#1-8</t>
  </si>
  <si>
    <t>Hi, I saw 200-204 NW 17th Court Unit#1-8 came off the market — I cover Oakland Park Blvd · SE 17th St. Multifamily around here is trading near $272/SF and leasing around $15/SF. I think it can be positioned to actually sell — got two minutes?</t>
  </si>
  <si>
    <t>Comps put it around $2.32M (~$272/SF) — about a 4.3% cap at market rents. It should rent ~$15/SF — about $131K/yr gross.</t>
  </si>
  <si>
    <t>What's it worth? Comps support ~$2.32M (~$272/SF). You were asking $1.95M.  •  What does it rent for? ~$15/SF/yr — about $131K/yr gross on 8,518 SF.  •  What cap? ~4.3%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</si>
  <si>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700 NW 7th Avenue</t>
  </si>
  <si>
    <t>Area 3400</t>
  </si>
  <si>
    <t>Hi, I saw 700 NW 7th Avenue came off the market — I cover the area. Industrial around here is trading near $217/SF and leasing around $19/SF. I think it can be positioned to actually sell — got two minutes?</t>
  </si>
  <si>
    <t>Comps put it around $3.66M (~$217/SF) — about a 8.4% cap at market rents. It should rent ~$19/SF — about $327K/yr gross.</t>
  </si>
  <si>
    <t>What's it worth? Comps support ~$3.66M (~$217/SF). You were asking $1.95M.  •  What does it rent for? ~$19/SF/yr — about $327K/yr gross on 16,875 SF.  •  What cap? ~8.4% implied from lease-vs-sale comps (market benchmark ~6.0–6.3% (South FL)).  •  Why now? 1031 buyers are active, the Live Local Act unlocks density on commercial land, and rising insurance is nudging owners to test the market.</t>
  </si>
  <si>
    <t>320 Davie Blvd</t>
  </si>
  <si>
    <t>Hi, I saw 320 Davie Blvd came off the market — I cover Wilton Dr · Federal Hwy. Office around here is trading near $154/SF and leasing around $17/SF. I think it can be positioned to actually sell — got two minutes?</t>
  </si>
  <si>
    <t>Comps put it around $1.49M (~$154/SF) — about a 7.9% cap at market rents. It should rent ~$17/SF — about $164K/yr gross.</t>
  </si>
  <si>
    <t>What's it worth? Comps support ~$1.49M (~$154/SF). You were asking $1.95M.  •  What does it rent for? ~$17/SF/yr — about $164K/yr gross on 9,652 SF.  •  What cap? ~7.9% implied from lease-vs-sale comps (market benchmark ~6.75–8.0%).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</si>
  <si>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901 NE 30th Ct</t>
  </si>
  <si>
    <t>Area 3331</t>
  </si>
  <si>
    <t>Hi, I saw 901 NE 30th Ct came off the market — I cover the area. Industrial around here is trading near $220/SF and leasing around $19/SF. I think it can be positioned to actually sell — got two minutes?</t>
  </si>
  <si>
    <t>Comps put it around $3.63M (~$220/SF) — about a 8.4% cap at market rents. It should rent ~$19/SF — about $320K/yr gross.</t>
  </si>
  <si>
    <t>What's it worth? Comps support ~$3.63M (~$220/SF). You were asking $1.90M.  •  What does it rent for? ~$19/SF/yr — about $320K/yr gross on 16,500 SF.  •  What cap? ~8.4% implied from lease-vs-sale comps (market benchmark ~6.0–6.3% (South FL)).  •  Why now? 1031 buyers are active, the Live Local Act unlocks density on commercial land, and rising insurance is nudging owners to test the market.</t>
  </si>
  <si>
    <t>What's it worth? Comps support ~$1.88M (~$601/SF). You were asking $1.90M.  •  What does it rent for? ~$26/SF/yr — about $83K/yr gross on 3,130 SF.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</si>
  <si>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1415 SW 1 ST Unit#1-8</t>
  </si>
  <si>
    <t>Hi, I saw 1415 SW 1 ST Unit#1-8 came off the market — I cover Davie Blvd · Las Olas Blvd. Multifamily around here is trading near $168/SF and leasing around $15/SF. I think it can be positioned to actually sell — got two minutes?</t>
  </si>
  <si>
    <t>Comps put it around $2.32M (~$168/SF) — about a 7.1% cap at market rents. It should rent ~$15/SF — about $213K/yr gross.</t>
  </si>
  <si>
    <t>What's it worth? Comps support ~$2.32M (~$168/SF). You were asking $1.90M.  •  What does it rent for? ~$15/SF/yr — about $213K/yr gross on 13,802 SF.  •  What cap? ~7.1%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</si>
  <si>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2500 Wilton Drive</t>
  </si>
  <si>
    <t>Hi, I saw 2500 Wilton Drive came off the market — I cover Dixie Hwy · Oakland Park Blvd. Commercial around here is trading near $340/SF and leasing around $26/SF. I think it can be positioned to actually sell — got two minutes?</t>
  </si>
  <si>
    <t>Comps put it around $1.93M (~$340/SF) — about a 4.1% cap at market rents. It should rent ~$26/SF — about $150K/yr gross.</t>
  </si>
  <si>
    <t>What's it worth? Comps support ~$1.93M (~$340/SF). You were asking $1.89M.  •  What does it rent for? ~$26/SF/yr — about $150K/yr gross on 5,664 SF.  •  What cap? ~4.1% implied from lease-vs-sale comps (market benchmark —).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</si>
  <si>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530-536 &amp; 548 &amp; 548 32nd Street</t>
  </si>
  <si>
    <t>Area 3450</t>
  </si>
  <si>
    <t>Hi, I saw 530-536 &amp; 548 &amp; 548 32nd Street came off the market — I cover Oakland Park Blvd. Commercial around here is trading near $194/SF and leasing around $26/SF. I think it can be positioned to actually sell — got two minutes?</t>
  </si>
  <si>
    <t>Comps put it around $3.32M (~$194/SF) — about a 12.3% cap at market rents. It should rent ~$26/SF — about $453K/yr gross.</t>
  </si>
  <si>
    <t>What's it worth? Comps support ~$3.32M (~$194/SF). You were asking $1.89M.  •  What does it rent for? ~$26/SF/yr — about $453K/yr gross on 17,111 SF.  •  What cap? ~12.3% implied from lease-vs-sale comps (market benchmark —).  •  Why now? 1031 buyers are active, the Live Local Act unlocks density on commercial land, and rising insurance is nudging owners to test the market.</t>
  </si>
  <si>
    <t>100 SE 21st Street Unit#1-8</t>
  </si>
  <si>
    <t>Hi, I saw 100 SE 21st Street Unit#1-8 came off the market — I cover Andrews Ave · SE 17th St. Commercial around here is trading near $189/SF and leasing around $26/SF. I think it can be positioned to actually sell — got two minutes?</t>
  </si>
  <si>
    <t>Comps put it around $2.70M (~$189/SF) — about a 10.5% cap at market rents. It should rent ~$26/SF — about $379K/yr gross.</t>
  </si>
  <si>
    <t>What's it worth? Comps support ~$2.70M (~$189/SF). You were asking $1.85M.  •  What does it rent for? ~$26/SF/yr — about $379K/yr gross on 14,299 SF.  •  What cap? ~10.5% implied from lease-vs-sale comps (market benchmark —).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</si>
  <si>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2300 NW 6th St</t>
  </si>
  <si>
    <t>Area 3120</t>
  </si>
  <si>
    <t>Hi, I saw 2300 NW 6th St came off the market — I cover the area. Multifamily around here is trading near $213/SF and leasing around $15/SF. I think it can be positioned to actually sell — got two minutes?</t>
  </si>
  <si>
    <t>Comps put it around $2.85M (~$213/SF) — about a 7.3% cap at market rents. It should rent ~$15/SF — about $206K/yr gross.</t>
  </si>
  <si>
    <t>What's it worth? Comps support ~$2.85M (~$213/SF). You were asking $1.80M.  •  What does it rent for? ~$15/SF/yr — about $206K/yr gross on 13,402 SF.  •  What cap? ~7.3%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</si>
  <si>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1100 NE 18th Court</t>
  </si>
  <si>
    <t>Hi, I saw 1100 NE 18th Court came off the market — I cover Dixie Hwy · Oakland Park Blvd. Multifamily around here is trading near $253/SF and leasing around $15/SF. I think it can be positioned to actually sell — got two minutes?</t>
  </si>
  <si>
    <t>Comps put it around $2.32M (~$253/SF) — about a 5.0% cap at market rents. It should rent ~$15/SF — about $141K/yr gross.</t>
  </si>
  <si>
    <t>What's it worth? Comps support ~$2.32M (~$253/SF). You were asking $1.80M.  •  What does it rent for? ~$15/SF/yr — about $141K/yr gross on 9,167 SF.  •  What cap? ~5.0% implied from lease-vs-sale comps (market benchmark 4.7–5.4% (A ~4.74% · B ~4.92% · C ~5.38%); ~5.6% blended, Yardi ~6.3%).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</si>
  <si>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1620 NE 12th Terrace</t>
  </si>
  <si>
    <t>Hi, I saw 1620 NE 12th Terrace came off the market — I cover Oakland Park Blvd. Industrial around here is trading near $263/SF and leasing around $19/SF. I think it can be positioned to actually sell — got two minutes?</t>
  </si>
  <si>
    <t>Comps put it around $3.09M (~$263/SF) — about a 6.3% cap at market rents. It should rent ~$19/SF — about $228K/yr gross.</t>
  </si>
  <si>
    <t>What's it worth? Comps support ~$3.09M (~$263/SF). You were asking $1.80M.  •  What does it rent for? ~$19/SF/yr — about $228K/yr gross on 11,736 SF.  •  What cap? ~6.3% implied from lease-vs-sale comps (market benchmark ~6.0–6.3% (South FL)).  •  Why now? 1031 buyers are active, the Live Local Act unlocks density on commercial land, and rising insurance is nudging owners to test the market.</t>
  </si>
  <si>
    <t>505 SE 20th St Unit#1-5</t>
  </si>
  <si>
    <t>Hi, I saw 505 SE 20th St Unit#1-5 came off the market — I cover SE 17th St · Federal Hwy. Multifamily around here is trading near $421/SF and leasing around $15/SF. I think it can be positioned to actually sell — got two minutes?</t>
  </si>
  <si>
    <t>Comps put it around $2.94M (~$421/SF) — about a 3.8% cap at market rents. It should rent ~$15/SF — about $107K/yr gross.</t>
  </si>
  <si>
    <t>What's it worth? Comps support ~$2.94M (~$421/SF). You were asking $1.80M.  •  What does it rent for? ~$15/SF/yr — about $107K/yr gross on 6,977 SF.  •  What cap? ~3.8% implied from lease-vs-sale comps (market benchmark 4.7–5.4% (A ~4.74% · B ~4.92% · C ~5.38%); ~5.6% blended, Yardi ~6.3%).  •  How's demand? The marine &amp; yachting-services heart of the market — and increasingly a waterfront redevelopment target.  •  Why now? 1031 buyers are active, the Live Local Act unlocks density on commercial land, and rising insurance is nudging owners to test the market.</t>
  </si>
  <si>
    <t>1124 NE 5th Avenue</t>
  </si>
  <si>
    <t>Hi, I saw 1124 NE 5th Avenue came off the market — I cover Dixie Hwy · Oakland Park Blvd. Multifamily around here is trading near $166/SF and leasing around $15/SF. I think it can be positioned to actually sell — got two minutes?</t>
  </si>
  <si>
    <t>Comps put it around $3.36M (~$166/SF) — about a 11.4% cap at market rents. It should rent ~$15/SF — about $312K/yr gross.</t>
  </si>
  <si>
    <t>What's it worth? Comps support ~$3.36M (~$166/SF). You were asking $1.75M.  •  What does it rent for? ~$15/SF/yr — about $312K/yr gross on 20,256 SF.  •  What cap? ~11.4% implied from lease-vs-sale comps (market benchmark 4.7–5.4% (A ~4.74% · B ~4.92% · C ~5.38%); ~5.6% blended, Yardi ~6.3%).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</si>
  <si>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Comps put it around $735K (~$162/SF) — about a 4.2% cap at market rents. It should rent ~$17/SF — about $77K/yr gross.</t>
  </si>
  <si>
    <t>What's it worth? Comps support ~$735K (~$162/SF). You were asking $1.74M.  •  What does it rent for? ~$17/SF/yr — about $77K/yr gross on 4,540 SF.  •  What cap? ~4.2%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</si>
  <si>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Hi, I saw 511 SE 5th Ave Unit#11 came off the market — I cover Andrews Ave · SE 17th St. Office around here is trading near $166/SF and leasing around $17/SF. I think it can be positioned to actually sell — got two minutes?</t>
  </si>
  <si>
    <t>Comps put it around $720K (~$166/SF) — about a 4.1% cap at market rents. It should rent ~$17/SF — about $74K/yr gross.</t>
  </si>
  <si>
    <t>What's it worth? Comps support ~$720K (~$166/SF). You were asking $1.70M.  •  What does it rent for? ~$17/SF/yr — about $74K/yr gross on 4,340 SF.  •  What cap? ~4.1%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</si>
  <si>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1130 NE 6th Avenue</t>
  </si>
  <si>
    <t>Hi, I saw 1130 NE 6th Avenue came off the market — I cover Dixie Hwy · Oakland Park Blvd. Commercial around here is trading near $220/SF and leasing around $26/SF. I think it can be positioned to actually sell — got two minutes?</t>
  </si>
  <si>
    <t>Comps put it around $2.81M (~$220/SF) — about a 10.2% cap at market rents. It should rent ~$26/SF — about $338K/yr gross.</t>
  </si>
  <si>
    <t>What's it worth? Comps support ~$2.81M (~$220/SF). You were asking $1.70M.  •  What does it rent for? ~$26/SF/yr — about $338K/yr gross on 12,769 SF.  •  What cap? ~10.2% implied from lease-vs-sale comps (market benchmark —).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</si>
  <si>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2133 N Dixie Highway</t>
  </si>
  <si>
    <t>Hi, I saw 2133 N Dixie Highway came off the market — I cover Dixie Hwy · Oakland Park Blvd. Commercial around here is trading near $291/SF and leasing around $26/SF. I think it can be positioned to actually sell — got two minutes?</t>
  </si>
  <si>
    <t>Comps put it around $2.18M (~$291/SF) — about a 6.0% cap at market rents. It should rent ~$26/SF — about $199K/yr gross.</t>
  </si>
  <si>
    <t>What's it worth? Comps support ~$2.18M (~$291/SF). You were asking $1.70M.  •  What does it rent for? ~$26/SF/yr — about $199K/yr gross on 7,497 SF.  •  What cap? ~6.0% implied from lease-vs-sale comps (market benchmark —).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</si>
  <si>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1415 SW 1st Street Unit#1-8</t>
  </si>
  <si>
    <t>Hi, I saw 1415 SW 1st Street Unit#1-8 came off the market — I cover Davie Blvd · Las Olas Blvd. Multifamily around here is trading near $168/SF and leasing around $15/SF. I think it can be positioned to actually sell — got two minutes?</t>
  </si>
  <si>
    <t>Comps put it around $2.32M (~$168/SF) — about a 8.0% cap at market rents. It should rent ~$15/SF — about $213K/yr gross.</t>
  </si>
  <si>
    <t>What's it worth? Comps support ~$2.32M (~$168/SF). You were asking $1.70M.  •  What does it rent for? ~$15/SF/yr — about $213K/yr gross on 13,802 SF.  •  What cap? ~8.0%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</si>
  <si>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834 NW 10th Ter</t>
  </si>
  <si>
    <t>Hi, I saw 834 NW 10th Ter came off the market — I cover Sunrise Blvd. Industrial around here is trading near $142/SF and leasing around $19/SF. I think it can be positioned to actually sell — got two minutes?</t>
  </si>
  <si>
    <t>Comps put it around $2.40M (~$142/SF) — about a 10.2% cap at market rents. It should rent ~$19/SF — about $327K/yr gross.</t>
  </si>
  <si>
    <t>What's it worth? Comps support ~$2.40M (~$142/SF). You were asking $1.60M.  •  What does it rent for? ~$19/SF/yr — about $327K/yr gross on 16,875 SF.  •  What cap? ~10.2% implied from lease-vs-sale comps (market benchmark ~6.0–6.3% (South FL)).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</si>
  <si>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2455 E Sunrise Boulevard Unit#Retail Portfolio Sale</t>
  </si>
  <si>
    <t>Hi, I saw 2455 E Sunrise Boulevard Unit#Retail Portfolio Sale came off the market — I cover Sunrise Blvd · Oakland Park Blvd. Commercial around here is trading near $230/SF and leasing around $26/SF. I think it can be positioned to actually sell — got two minutes?</t>
  </si>
  <si>
    <t>Comps put it around $2.85M (~$230/SF) — about a 10.5% cap at market rents. It should rent ~$26/SF — about $329K/yr gross.</t>
  </si>
  <si>
    <t>What's it worth? Comps support ~$2.85M (~$230/SF). You were asking $1.60M.  •  What does it rent for? ~$26/SF/yr — about $329K/yr gross on 12,398 SF.  •  What cap? ~10.5% implied from lease-vs-sale comps (market benchmark —).  •  Why now? 1031 buyers are active, the Live Local Act unlocks density on commercial land, and rising insurance is nudging owners to test the market.</t>
  </si>
  <si>
    <t>Comps put it around $2.32M (~$166/SF) — about a 8.6% cap at market rents. It should rent ~$15/SF — about $216K/yr gross.</t>
  </si>
  <si>
    <t>What's it worth? Comps support ~$2.32M (~$166/SF). You were asking $1.60M.  •  What does it rent for? ~$15/SF/yr — about $216K/yr gross on 14,000 SF.  •  What cap? ~8.6%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</si>
  <si>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824 NE 4th St Unit#1-6</t>
  </si>
  <si>
    <t>Hi, I saw 824 NE 4th St Unit#1-6 came off the market — I cover Andrews Ave. Multifamily around here is trading near $315/SF and leasing around $15/SF. I think it can be positioned to actually sell — got two minutes?</t>
  </si>
  <si>
    <t>Comps put it around $2.03M (~$315/SF) — about a 4.2% cap at market rents. It should rent ~$15/SF — about $99K/yr gross.</t>
  </si>
  <si>
    <t>What's it worth? Comps support ~$2.03M (~$315/SF). You were asking $1.50M.  •  What does it rent for? ~$15/SF/yr — about $99K/yr gross on 6,440 SF.  •  What cap? ~4.2%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</si>
  <si>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1100 NE 18th Court Unit#1-8</t>
  </si>
  <si>
    <t>Hi, I saw 1100 NE 18th Court Unit#1-8 came off the market — I cover Dixie Hwy · Oakland Park Blvd. Multifamily around here is trading near $253/SF and leasing around $15/SF. I think it can be positioned to actually sell — got two minutes?</t>
  </si>
  <si>
    <t>Comps put it around $2.32M (~$253/SF) — about a 6.0% cap at market rents. It should rent ~$15/SF — about $141K/yr gross.</t>
  </si>
  <si>
    <t>What's it worth? Comps support ~$2.32M (~$253/SF). You were asking $1.50M.  •  What does it rent for? ~$15/SF/yr — about $141K/yr gross on 9,167 SF.  •  What cap? ~6.0% implied from lease-vs-sale comps (market benchmark 4.7–5.4% (A ~4.74% · B ~4.92% · C ~5.38%); ~5.6% blended, Yardi ~6.3%).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</si>
  <si>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618 NE 14th Avenue</t>
  </si>
  <si>
    <t>Hi, I saw 618 NE 14th Avenue came off the market — I cover Sunrise Blvd. Multifamily around here is trading near $255/SF and leasing around $15/SF. I think it can be positioned to actually sell — got two minutes?</t>
  </si>
  <si>
    <t>Comps put it around $2.44M (~$255/SF) — about a 6.3% cap at market rents. It should rent ~$15/SF — about $147K/yr gross.</t>
  </si>
  <si>
    <t>What's it worth? Comps support ~$2.44M (~$255/SF). You were asking $1.50M.  •  What does it rent for? ~$15/SF/yr — about $147K/yr gross on 9,563 SF.  •  What cap? ~6.3%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</si>
  <si>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505 SE 20th St Unit#1-6</t>
  </si>
  <si>
    <t>Hi, I saw 505 SE 20th St Unit#1-6 came off the market — I cover SE 17th St · Federal Hwy. Multifamily around here is trading near $421/SF and leasing around $15/SF. I think it can be positioned to actually sell — got two minutes?</t>
  </si>
  <si>
    <t>Comps put it around $2.94M (~$421/SF) — about a 4.6% cap at market rents. It should rent ~$15/SF — about $107K/yr gross.</t>
  </si>
  <si>
    <t>What's it worth? Comps support ~$2.94M (~$421/SF). You were asking $1.49M.  •  What does it rent for? ~$15/SF/yr — about $107K/yr gross on 6,977 SF.  •  What cap? ~4.6% implied from lease-vs-sale comps (market benchmark 4.7–5.4% (A ~4.74% · B ~4.92% · C ~5.38%); ~5.6% blended, Yardi ~6.3%).  •  How's demand? The marine &amp; yachting-services heart of the market — and increasingly a waterfront redevelopment target.  •  Why now? 1031 buyers are active, the Live Local Act unlocks density on commercial land, and rising insurance is nudging owners to test the market.</t>
  </si>
  <si>
    <t>426 NW 14th Ave Unit#1-8</t>
  </si>
  <si>
    <t>Hi, I saw 426 NW 14th Ave Unit#1-8 came off the market — I cover Sunrise Blvd. Multifamily around here is trading near $149/SF and leasing around $15/SF. I think it can be positioned to actually sell — got two minutes?</t>
  </si>
  <si>
    <t>Comps put it around $1.77M (~$149/SF) — about a 8.2% cap at market rents. It should rent ~$15/SF — about $183K/yr gross.</t>
  </si>
  <si>
    <t>What's it worth? Comps support ~$1.77M (~$149/SF). You were asking $1.43M.  •  What does it rent for? ~$15/SF/yr — about $183K/yr gross on 11,865 SF.  •  What cap? ~8.2% implied from lease-vs-sale comps (market benchmark 4.7–5.4% (A ~4.74% · B ~4.92% · C ~5.38%); ~5.6% blended, Yardi ~6.3%).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</si>
  <si>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Comps put it around $2.40M (~$142/SF) — about a 11.7% cap at market rents. It should rent ~$19/SF — about $327K/yr gross.</t>
  </si>
  <si>
    <t>What's it worth? Comps support ~$2.40M (~$142/SF). You were asking $1.40M.  •  What does it rent for? ~$19/SF/yr — about $327K/yr gross on 16,875 SF.  •  What cap? ~11.7% implied from lease-vs-sale comps (market benchmark ~6.0–6.3% (South FL)).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</si>
  <si>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1100 NE 18th Ct Unit#1-8</t>
  </si>
  <si>
    <t>Area 3420</t>
  </si>
  <si>
    <t>Hi, I saw 1100 NE 18th Ct Unit#1-8 came off the market — I cover the area. Multifamily around here is trading near $262/SF and leasing around $15/SF. I think it can be positioned to actually sell — got two minutes?</t>
  </si>
  <si>
    <t>Comps put it around $2.40M (~$262/SF) — about a 6.4% cap at market rents. It should rent ~$15/SF — about $141K/yr gross.</t>
  </si>
  <si>
    <t>What's it worth? Comps support ~$2.40M (~$262/SF). You were asking $1.40M.  •  What does it rent for? ~$15/SF/yr — about $141K/yr gross on 9,167 SF.  •  What cap? ~6.4%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</si>
  <si>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921 NE 3rd Avenue</t>
  </si>
  <si>
    <t>Hi, I saw 921 NE 3rd Avenue came off the market — I cover Andrews Ave. Mixed-use around here is trading near $330/SF and leasing around $20/SF. I think it can be positioned to actually sell — got two minutes?</t>
  </si>
  <si>
    <t>Comps put it around $1.11M (~$330/SF). It should rent ~$20/SF — about $68K/yr gross.</t>
  </si>
  <si>
    <t>What's it worth? Comps support ~$1.11M (~$330/SF). You were asking $1.40M.  •  What does it rent for? ~$20/SF/yr — about $68K/yr gross on 3,375 SF.  •  Why now? 1031 buyers are active, the Live Local Act unlocks density on commercial land, and rising insurance is nudging owners to test the market.</t>
  </si>
  <si>
    <t>105 S Avenue Of The Arts</t>
  </si>
  <si>
    <t>Hi, I saw 105 S Avenue Of The Arts came off the market — I cover Sunrise Blvd. Commercial around here is trading near $217/SF and leasing around $26/SF. I think it can be positioned to actually sell — got two minutes?</t>
  </si>
  <si>
    <t>Comps put it around $1.35M (~$217/SF) — about a 6.0% cap at market rents. It should rent ~$26/SF — about $165K/yr gross.</t>
  </si>
  <si>
    <t>What's it worth? Comps support ~$1.35M (~$217/SF). You were asking $1.40M.  •  What does it rent for? ~$26/SF/yr — about $165K/yr gross on 6,225 SF.  •  What cap? ~6.0% implied from lease-vs-sale comps (market benchmark —).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</si>
  <si>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301 SW 7th Street</t>
  </si>
  <si>
    <t>Hi, I saw 301 SW 7th Street came off the market — I cover Andrews Ave. Commercial around here is trading near $276/SF and leasing around $26/SF. I think it can be positioned to actually sell — got two minutes?</t>
  </si>
  <si>
    <t>Comps put it around $2.00M (~$276/SF) — about a 7.0% cap at market rents. It should rent ~$26/SF — about $192K/yr gross.</t>
  </si>
  <si>
    <t>What's it worth? Comps support ~$2.00M (~$276/SF). You were asking $1.40M.  •  What does it rent for? ~$26/SF/yr — about $192K/yr gross on 7,250 SF.  •  What cap? ~7.0% implied from lease-vs-sale comps (market benchmark —).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</si>
  <si>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1317 SE 4th Ave</t>
  </si>
  <si>
    <t>Hi, I saw 1317 SE 4th Ave came off the market — I cover Andrews Ave · SE 17th St. Office around here is trading near $103/SF and leasing around $17/SF. I think it can be positioned to actually sell — got two minutes?</t>
  </si>
  <si>
    <t>Comps put it around $1.08M (~$103/SF) — about a 12.4% cap at market rents. It should rent ~$17/SF — about $178K/yr gross.</t>
  </si>
  <si>
    <t>What's it worth? Comps support ~$1.08M (~$103/SF). You were asking $1.35M.  •  What does it rent for? ~$17/SF/yr — about $178K/yr gross on 10,500 SF.  •  What cap? ~12.4%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</si>
  <si>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1124 NE 5th Avenue Unit#1-6</t>
  </si>
  <si>
    <t>Hi, I saw 1124 NE 5th Avenue Unit#1-6 came off the market — I cover Dixie Hwy · Oakland Park Blvd. Multifamily around here is trading near $206/SF and leasing around $15/SF. I think it can be positioned to actually sell — got two minutes?</t>
  </si>
  <si>
    <t>Comps put it around $2.78M (~$206/SF) — about a 9.8% cap at market rents. It should rent ~$15/SF — about $208K/yr gross.</t>
  </si>
  <si>
    <t>What's it worth? Comps support ~$2.78M (~$206/SF). You were asking $1.35M.  •  What does it rent for? ~$15/SF/yr — about $208K/yr gross on 13,504 SF.  •  What cap? ~9.8% implied from lease-vs-sale comps (market benchmark 4.7–5.4% (A ~4.74% · B ~4.92% · C ~5.38%); ~5.6% blended, Yardi ~6.3%).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</si>
  <si>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1106 NE 5th Ave Unit#1-5</t>
  </si>
  <si>
    <t>Hi, I saw 1106 NE 5th Ave Unit#1-5 came off the market — I cover Dixie Hwy · Oakland Park Blvd. Multifamily around here is trading near $240/SF and leasing around $15/SF. I think it can be positioned to actually sell — got two minutes?</t>
  </si>
  <si>
    <t>Comps put it around $2.43M (~$240/SF) — about a 7.4% cap at market rents. It should rent ~$15/SF — about $156K/yr gross.</t>
  </si>
  <si>
    <t>What's it worth? Comps support ~$2.43M (~$240/SF). You were asking $1.35M.  •  What does it rent for? ~$15/SF/yr — about $156K/yr gross on 10,127 SF.  •  What cap? ~7.4% implied from lease-vs-sale comps (market benchmark 4.7–5.4% (A ~4.74% · B ~4.92% · C ~5.38%); ~5.6% blended, Yardi ~6.3%).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</si>
  <si>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526 NW 15th Way</t>
  </si>
  <si>
    <t>Hi, I saw 526 NW 15th Way came off the market — I cover Sunrise Blvd. Multifamily around here is trading near $153/SF and leasing around $15/SF. I think it can be positioned to actually sell — got two minutes?</t>
  </si>
  <si>
    <t>Comps put it around $1.73M (~$153/SF) — about a 8.5% cap at market rents. It should rent ~$15/SF — about $174K/yr gross.</t>
  </si>
  <si>
    <t>What's it worth? Comps support ~$1.73M (~$153/SF). You were asking $1.30M.  •  What does it rent for? ~$15/SF/yr — about $174K/yr gross on 11,300 SF.  •  What cap? ~8.5% implied from lease-vs-sale comps (market benchmark 4.7–5.4% (A ~4.74% · B ~4.92% · C ~5.38%); ~5.6% blended, Yardi ~6.3%).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</si>
  <si>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2001 W State Road 84 Unit#232/234</t>
  </si>
  <si>
    <t>Area 3580</t>
  </si>
  <si>
    <t>Hi, I saw 2001 W State Road 84 Unit#232/234 came off the market — I cover SR-84. Industrial around here is trading near $265/SF and leasing around $19/SF. I think it can be positioned to actually sell — got two minutes?</t>
  </si>
  <si>
    <t>Comps put it around $3.13M (~$265/SF) — about a 8.8% cap at market rents. It should rent ~$19/SF — about $229K/yr gross.</t>
  </si>
  <si>
    <t>What's it worth? Comps support ~$3.13M (~$265/SF). You were asking $1.30M.  •  What does it rent for? ~$19/SF/yr — about $229K/yr gross on 11,800 SF.  •  What cap? ~8.8% implied from lease-vs-sale comps (market benchmark ~6.0–6.3% (South FL)).  •  Why now? 1031 buyers are active, the Live Local Act unlocks density on commercial land, and rising insurance is nudging owners to test the market.</t>
  </si>
  <si>
    <t>808 NW 19 Street</t>
  </si>
  <si>
    <t>Hi, I saw 808 NW 19 Street came off the market — I cover Dixie Hwy · Oakland Park Blvd. Multifamily around here is trading near $249/SF and leasing around $15/SF. I think it can be positioned to actually sell — got two minutes?</t>
  </si>
  <si>
    <t>Comps put it around $2.36M (~$249/SF) — about a 7.1% cap at market rents. It should rent ~$15/SF — about $146K/yr gross.</t>
  </si>
  <si>
    <t>What's it worth? Comps support ~$2.36M (~$249/SF). You were asking $1.30M.  •  What does it rent for? ~$15/SF/yr — about $146K/yr gross on 9,466 SF.  •  What cap? ~7.1% implied from lease-vs-sale comps (market benchmark 4.7–5.4% (A ~4.74% · B ~4.92% · C ~5.38%); ~5.6% blended, Yardi ~6.3%).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</si>
  <si>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301 SW 14th Way</t>
  </si>
  <si>
    <t>Hi, I saw 301 SW 14th Way came off the market — I cover Davie Blvd · Las Olas Blvd. Multifamily around here is trading near $215/SF and leasing around $15/SF. I think it can be positioned to actually sell — got two minutes?</t>
  </si>
  <si>
    <t>Comps put it around $1.86M (~$215/SF) — about a 6.6% cap at market rents. It should rent ~$15/SF — about $133K/yr gross.</t>
  </si>
  <si>
    <t>What's it worth? Comps support ~$1.86M (~$215/SF). You were asking $1.28M.  •  What does it rent for? ~$15/SF/yr — about $133K/yr gross on 8,652 SF.  •  What cap? ~6.6%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</si>
  <si>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200 S Andrews Ave Unit#602</t>
  </si>
  <si>
    <t>Hi, I saw 200 S Andrews Ave Unit#602 came off the market — I cover Andrews Ave · SE 17th St. Office around here is trading near $192/SF and leasing around $17/SF. I think it can be positioned to actually sell — got two minutes?</t>
  </si>
  <si>
    <t>Comps put it around $634K (~$192/SF) — about a 4.2% cap at market rents. It should rent ~$17/SF — about $56K/yr gross.</t>
  </si>
  <si>
    <t>What's it worth? Comps support ~$634K (~$192/SF). You were asking $1.25M.  •  What does it rent for? ~$17/SF/yr — about $56K/yr gross on 3,300 SF.  •  What cap? ~4.2%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</si>
  <si>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1230 SE 4th Avenue</t>
  </si>
  <si>
    <t>Hi, I saw 1230 SE 4th Avenue came off the market — I cover Andrews Ave · SE 17th St. Mixed-use around here is trading near $192/SF and leasing around $20/SF. I think it can be positioned to actually sell — got two minutes?</t>
  </si>
  <si>
    <t>Comps put it around $1.42M (~$192/SF) — about a 5.5% cap at market rents. It should rent ~$20/SF — about $149K/yr gross.</t>
  </si>
  <si>
    <t>What's it worth? Comps support ~$1.42M (~$192/SF). You were asking $1.25M.  •  What does it rent for? ~$20/SF/yr — about $149K/yr gross on 7,393 SF.  •  What cap? ~5.5% implied from lease-vs-sale comps (market benchmark ~6.0–6.75% (blends retail/MF)).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</si>
  <si>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2600 N Andrews Ave</t>
  </si>
  <si>
    <t>Hi, I saw 2600 N Andrews Ave came off the market — I cover Dixie Hwy · Oakland Park Blvd. Office around here is trading near $124/SF and leasing around $17/SF. I think it can be positioned to actually sell — got two minutes?</t>
  </si>
  <si>
    <t>Comps put it around $1.09M (~$124/SF) — about a 11.7% cap at market rents. It should rent ~$17/SF — about $150K/yr gross.</t>
  </si>
  <si>
    <t>What's it worth? Comps support ~$1.09M (~$124/SF). You were asking $1.20M.  •  What does it rent for? ~$17/SF/yr — about $150K/yr gross on 8,798 SF.  •  What cap? ~11.7% implied from lease-vs-sale comps (market benchmark ~6.75–8.0%).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</si>
  <si>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2001 W State Road 84 #418</t>
  </si>
  <si>
    <t>Hi, I saw 2001 W State Road 84 #418 came off the market — I cover SR-84. Industrial around here is trading near $265/SF and leasing around $19/SF. I think it can be positioned to actually sell — got two minutes?</t>
  </si>
  <si>
    <t>Comps put it around $3.13M (~$265/SF) — about a 9.5% cap at market rents. It should rent ~$19/SF — about $229K/yr gross.</t>
  </si>
  <si>
    <t>What's it worth? Comps support ~$3.13M (~$265/SF). You were asking $1.20M.  •  What does it rent for? ~$19/SF/yr — about $229K/yr gross on 11,800 SF.  •  What cap? ~9.5% implied from lease-vs-sale comps (market benchmark ~6.0–6.3% (South FL)).  •  Why now? 1031 buyers are active, the Live Local Act unlocks density on commercial land, and rising insurance is nudging owners to test the market.</t>
  </si>
  <si>
    <t>2001 NW 21st Avenue</t>
  </si>
  <si>
    <t>Hi, I saw 2001 NW 21st Avenue came off the market — I cover Broward Blvd · Sunrise Blvd. Commercial around here is trading near $285/SF and leasing around $26/SF. I think it can be positioned to actually sell — got two minutes?</t>
  </si>
  <si>
    <t>Comps put it around $2.38M (~$285/SF) — about a 9.4% cap at market rents. It should rent ~$26/SF — about $221K/yr gross.</t>
  </si>
  <si>
    <t>What's it worth? Comps support ~$2.38M (~$285/SF). You were asking $1.20M.  •  What does it rent for? ~$26/SF/yr — about $221K/yr gross on 8,333 SF.  •  What cap? ~9.4% implied from lease-vs-sale comps (market benchmark —).  •  Why now? 1031 buyers are active, the Live Local Act unlocks density on commercial land, and rising insurance is nudging owners to test the market.</t>
  </si>
  <si>
    <t>Hi, I saw 2600 N Andrews Ave came off the market — I cover Dixie Hwy · Oakland Park Blvd. Mixed-use around here is trading near $192/SF and leasing around $20/SF. I think it can be positioned to actually sell — got two minutes?</t>
  </si>
  <si>
    <t>Comps put it around $1.69M (~$192/SF) — about a 6.9% cap at market rents. It should rent ~$20/SF — about $178K/yr gross.</t>
  </si>
  <si>
    <t>What's it worth? Comps support ~$1.69M (~$192/SF). You were asking $1.20M.  •  What does it rent for? ~$20/SF/yr — about $178K/yr gross on 8,798 SF.  •  What cap? ~6.9% implied from lease-vs-sale comps (market benchmark ~6.0–6.75% (blends retail/MF)).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</si>
  <si>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600 W Oakland Park Blvd</t>
  </si>
  <si>
    <t>Hi, I saw 600 W Oakland Park Blvd came off the market — I cover Oakland Park Blvd · SE 17th St. Retail around here is trading near $166/SF and leasing around $28/SF. I think it can be positioned to actually sell — got two minutes?</t>
  </si>
  <si>
    <t>Comps put it around $1.70M (~$166/SF) — about a 14.1% cap at market rents. It should rent ~$28/SF — about $286K/yr gross.</t>
  </si>
  <si>
    <t>What's it worth? Comps support ~$1.70M (~$166/SF). You were asking $1.20M.  •  What does it rent for? ~$28/SF/yr — about $286K/yr gross on 10,213 SF.  •  What cap? ~14.1% implied from lease-vs-sale comps (market benchmark ~6.0–6.1%).  •  Why now? 1031 buyers are active, the Live Local Act unlocks density on commercial land, and rising insurance is nudging owners to test the market.</t>
  </si>
  <si>
    <t>412 SE 23rd St</t>
  </si>
  <si>
    <t>Hi, I saw 412 SE 23rd St came off the market — I cover SE 17th St · Federal Hwy. Office around here is trading near $206/SF and leasing around $17/SF. I think it can be positioned to actually sell — got two minutes?</t>
  </si>
  <si>
    <t>Comps put it around $1.39M (~$206/SF) — about a 9.0% cap at market rents. It should rent ~$17/SF — about $115K/yr gross.</t>
  </si>
  <si>
    <t>What's it worth? Comps support ~$1.39M (~$206/SF). You were asking $1.20M.  •  What does it rent for? ~$17/SF/yr — about $115K/yr gross on 6,749 SF.  •  What cap? ~9.0% implied from lease-vs-sale comps (market benchmark ~6.75–8.0%).  •  How's demand? The marine &amp; yachting-services heart of the market — and increasingly a waterfront redevelopment target.  •  Why now? 1031 buyers are active, the Live Local Act unlocks density on commercial land, and rising insurance is nudging owners to test the market.</t>
  </si>
  <si>
    <t>2801 SW 3rd Avenue</t>
  </si>
  <si>
    <t>Hi, I saw 2801 SW 3rd Avenue came off the market — I cover the area. Commercial around here is trading near $570/SF and leasing around $26/SF. I think it can be positioned to actually sell — got two minutes?</t>
  </si>
  <si>
    <t>Comps put it around $1.29M (~$570/SF). It should rent ~$26/SF — about $60K/yr gross.</t>
  </si>
  <si>
    <t>What's it worth? Comps support ~$1.29M (~$570/SF). You were asking $1.18M.  •  What does it rent for? ~$26/SF/yr — about $60K/yr gross on 2,268 SF.  •  Why now? 1031 buyers are active, the Live Local Act unlocks density on commercial land, and rising insurance is nudging owners to test the market.</t>
  </si>
  <si>
    <t>848 NW 2nd Ave</t>
  </si>
  <si>
    <t>Hi, I saw 848 NW 2nd Ave came off the market — I cover Sunrise Blvd. Multifamily around here is trading near $201/SF and leasing around $15/SF. I think it can be positioned to actually sell — got two minutes?</t>
  </si>
  <si>
    <t>Comps put it around $1.36M (~$201/SF) — about a 5.6% cap at market rents. It should rent ~$15/SF — about $104K/yr gross.</t>
  </si>
  <si>
    <t>What's it worth? Comps support ~$1.36M (~$201/SF). You were asking $1.18M.  •  What does it rent for? ~$15/SF/yr — about $104K/yr gross on 6,750 SF.  •  What cap? ~5.6% implied from lease-vs-sale comps (market benchmark 4.7–5.4% (A ~4.74% · B ~4.92% · C ~5.38%); ~5.6% blended, Yardi ~6.3%).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</si>
  <si>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2455 E Sunrise Boulevard Unit#CU-1A</t>
  </si>
  <si>
    <t>Hi, I saw 2455 E Sunrise Boulevard Unit#CU-1A came off the market — I cover Sunrise Blvd · Oakland Park Blvd. Commercial around here is trading near $283/SF and leasing around $26/SF. I think it can be positioned to actually sell — got two minutes?</t>
  </si>
  <si>
    <t>Comps put it around $2.37M (~$283/SF) — about a 10.3% cap at market rents. It should rent ~$26/SF — about $222K/yr gross.</t>
  </si>
  <si>
    <t>What's it worth? Comps support ~$2.37M (~$283/SF). You were asking $1.10M.  •  What does it rent for? ~$26/SF/yr — about $222K/yr gross on 8,381 SF.  •  What cap? ~10.3% implied from lease-vs-sale comps (market benchmark —).  •  Why now? 1031 buyers are active, the Live Local Act unlocks density on commercial land, and rising insurance is nudging owners to test the market.</t>
  </si>
  <si>
    <t>Comps put it around $1.36M (~$201/SF) — about a 6.0% cap at market rents. It should rent ~$15/SF — about $104K/yr gross.</t>
  </si>
  <si>
    <t>What's it worth? Comps support ~$1.36M (~$201/SF). You were asking $1.09M.  •  What does it rent for? ~$15/SF/yr — about $104K/yr gross on 6,750 SF.  •  What cap? ~6.0% implied from lease-vs-sale comps (market benchmark 4.7–5.4% (A ~4.74% · B ~4.92% · C ~5.38%); ~5.6% blended, Yardi ~6.3%).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</si>
  <si>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1227 South Andrews Ave</t>
  </si>
  <si>
    <t>Hi, I saw 1227 South Andrews Ave came off the market — I cover Andrews Ave. Mixed-use around here is trading near $214/SF and leasing around $20/SF. I think it can be positioned to actually sell — got two minutes?</t>
  </si>
  <si>
    <t>Comps put it around $1.34M (~$214/SF) — about a 5.4% cap at market rents. It should rent ~$20/SF — about $126K/yr gross.</t>
  </si>
  <si>
    <t>What's it worth? Comps support ~$1.34M (~$214/SF). You were asking $1.09M.  •  What does it rent for? ~$20/SF/yr — about $126K/yr gross on 6,250 SF.  •  What cap? ~5.4% implied from lease-vs-sale comps (market benchmark ~6.0–6.75% (blends retail/MF)).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</si>
  <si>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2455 E Sunrise Boulevard Unit#1108</t>
  </si>
  <si>
    <t>Hi, I saw 2455 E Sunrise Boulevard Unit#1108 came off the market — I cover Sunrise Blvd · Oakland Park Blvd. Commercial around here is trading near $464/SF and leasing around $26/SF. I think it can be positioned to actually sell — got two minutes?</t>
  </si>
  <si>
    <t>Comps put it around $1.54M (~$464/SF) — about a 4.2% cap at market rents. It should rent ~$26/SF — about $88K/yr gross.</t>
  </si>
  <si>
    <t>What's it worth? Comps support ~$1.54M (~$464/SF). You were asking $1.08M.  •  What does it rent for? ~$26/SF/yr — about $88K/yr gross on 3,321 SF.  •  What cap? ~4.2% implied from lease-vs-sale comps (market benchmark —).  •  Why now? 1031 buyers are active, the Live Local Act unlocks density on commercial land, and rising insurance is nudging owners to test the market.</t>
  </si>
  <si>
    <t>1026 NW 9th Ave</t>
  </si>
  <si>
    <t>Area 3424</t>
  </si>
  <si>
    <t>Hi, I saw 1026 NW 9th Ave came off the market — I cover the area. Retail around here is trading near $206/SF and leasing around $28/SF. I think it can be positioned to actually sell — got two minutes?</t>
  </si>
  <si>
    <t>Comps put it around $1.39M (~$206/SF) — about a 10.6% cap at market rents. It should rent ~$28/SF — about $189K/yr gross.</t>
  </si>
  <si>
    <t>What's it worth? Comps support ~$1.39M (~$206/SF). You were asking $1.05M.  •  What does it rent for? ~$28/SF/yr — about $189K/yr gross on 6,751 SF.  •  What cap? ~10.6% implied from lease-vs-sale comps (market benchmark ~6.0–6.1%).  •  Why now? 1031 buyers are active, the Live Local Act unlocks density on commercial land, and rising insurance is nudging owners to test the market.</t>
  </si>
  <si>
    <t>412 SE 13th Street</t>
  </si>
  <si>
    <t>Hi, I saw 412 SE 13th Street came off the market — I cover Andrews Ave · SE 17th St. Commercial around here is trading near $646/SF and leasing around $26/SF. I think it can be positioned to actually sell — got two minutes?</t>
  </si>
  <si>
    <t>Comps put it around $912K (~$646/SF). It should rent ~$26/SF — about $37K/yr gross.</t>
  </si>
  <si>
    <t>What's it worth? Comps support ~$912K (~$646/SF). You were asking $1.05M.  •  What does it rent for? ~$26/SF/yr — about $37K/yr gross on 1,412 SF.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</si>
  <si>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Comps put it around $1.36M (~$201/SF) — about a 6.4% cap at market rents. It should rent ~$15/SF — about $104K/yr gross.</t>
  </si>
  <si>
    <t>What's it worth? Comps support ~$1.36M (~$201/SF). You were asking $1.04M.  •  What does it rent for? ~$15/SF/yr — about $104K/yr gross on 6,750 SF.  •  What cap? ~6.4% implied from lease-vs-sale comps (market benchmark 4.7–5.4% (A ~4.74% · B ~4.92% · C ~5.38%); ~5.6% blended, Yardi ~6.3%).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</si>
  <si>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200 S Andrews Ave Unit#503</t>
  </si>
  <si>
    <t>Hi, I saw 200 S Andrews Ave Unit#503 came off the market — I cover Andrews Ave · SE 17th St. Office around here is trading near $227/SF and leasing around $17/SF. I think it can be positioned to actually sell — got two minutes?</t>
  </si>
  <si>
    <t>Comps put it around $545K (~$227/SF) — about a 3.7% cap at market rents. It should rent ~$17/SF — about $41K/yr gross.</t>
  </si>
  <si>
    <t>What's it worth? Comps support ~$545K (~$227/SF). You were asking $1.02M.  •  What does it rent for? ~$17/SF/yr — about $41K/yr gross on 2,400 SF.  •  What cap? ~3.7%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</si>
  <si>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Comps put it around $545K (~$227/SF) — about a 3.8% cap at market rents. It should rent ~$17/SF — about $41K/yr gross.</t>
  </si>
  <si>
    <t>What's it worth? Comps support ~$545K (~$227/SF). You were asking $1.00M.  •  What does it rent for? ~$17/SF/yr — about $41K/yr gross on 2,400 SF.  •  What cap? ~3.8%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</si>
  <si>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624 SW 24th Street</t>
  </si>
  <si>
    <t>Hi, I saw 624 SW 24th Street came off the market — I cover Federal Hwy · SE 17th St. Commercial around here is trading near $329/SF and leasing around $26/SF. I think it can be positioned to actually sell — got two minutes?</t>
  </si>
  <si>
    <t>Comps put it around $2.08M (~$329/SF) — about a 8.7% cap at market rents. It should rent ~$26/SF — about $168K/yr gross.</t>
  </si>
  <si>
    <t>What's it worth? Comps support ~$2.08M (~$329/SF). You were asking $990K.  •  What does it rent for? ~$26/SF/yr — about $168K/yr gross on 6,325 SF.  •  What cap? ~8.7% implied from lease-vs-sale comps (market benchmark —).  •  Why now? 1031 buyers are active, the Live Local Act unlocks density on commercial land, and rising insurance is nudging owners to test the market.</t>
  </si>
  <si>
    <t>719 NW 7th Ter</t>
  </si>
  <si>
    <t>Area 3112</t>
  </si>
  <si>
    <t>Hi, I saw 719 NW 7th Ter came off the market — I cover the area. Industrial around here is trading near $354/SF and leasing around $19/SF. I think it can be positioned to actually sell — got two minutes?</t>
  </si>
  <si>
    <t>Comps put it around $2.39M (~$354/SF) — about a 6.6% cap at market rents. It should rent ~$19/SF — about $131K/yr gross.</t>
  </si>
  <si>
    <t>What's it worth? Comps support ~$2.39M (~$354/SF). You were asking $985K.  •  What does it rent for? ~$19/SF/yr — about $131K/yr gross on 6,750 SF.  •  What cap? ~6.6% implied from lease-vs-sale comps (market benchmark ~6.0–6.3% (South FL)).  •  Why now? 1031 buyers are active, the Live Local Act unlocks density on commercial land, and rising insurance is nudging owners to test the market.</t>
  </si>
  <si>
    <t>419 NE 2nd Avenue</t>
  </si>
  <si>
    <t>Hi, I saw 419 NE 2nd Avenue came off the market — I cover Andrews Ave. Multifamily around here is trading near $285/SF and leasing around $15/SF. I think it can be positioned to actually sell — got two minutes?</t>
  </si>
  <si>
    <t>Comps put it around $1.82M (~$285/SF) — about a 6.6% cap at market rents. It should rent ~$15/SF — about $98K/yr gross.</t>
  </si>
  <si>
    <t>What's it worth? Comps support ~$1.82M (~$285/SF). You were asking $954K.  •  What does it rent for? ~$15/SF/yr — about $98K/yr gross on 6,375 SF.  •  What cap? ~6.6% implied from lease-vs-sale comps (market benchmark 4.7–5.4% (A ~4.74% · B ~4.92% · C ~5.38%); ~5.6% blended, Yardi ~6.3%).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</si>
  <si>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311 SW 14th Way</t>
  </si>
  <si>
    <t>Hi, I saw 311 SW 14th Way came off the market — I cover Davie Blvd · Las Olas Blvd. Multifamily around here is trading near $240/SF and leasing around $15/SF. I think it can be positioned to actually sell — got two minutes?</t>
  </si>
  <si>
    <t>Comps put it around $1.70M (~$240/SF) — about a 7.3% cap at market rents. It should rent ~$15/SF — about $109K/yr gross.</t>
  </si>
  <si>
    <t>What's it worth? Comps support ~$1.70M (~$240/SF). You were asking $950K.  •  What does it rent for? ~$15/SF/yr — about $109K/yr gross on 7,070 SF.  •  What cap? ~7.3%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</si>
  <si>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2001-2007 NW 21st Ave</t>
  </si>
  <si>
    <t>Hi, I saw 2001-2007 NW 21st Ave came off the market — I cover Broward Blvd · Sunrise Blvd. Mixed-use around here is trading near $175/SF and leasing around $20/SF. I think it can be positioned to actually sell — got two minutes?</t>
  </si>
  <si>
    <t>Comps put it around $1.95M (~$175/SF) — about a 11.0% cap at market rents. It should rent ~$20/SF — about $225K/yr gross.</t>
  </si>
  <si>
    <t>What's it worth? Comps support ~$1.95M (~$175/SF). You were asking $950K.  •  What does it rent for? ~$20/SF/yr — about $225K/yr gross on 11,136 SF.  •  What cap? ~11.0% implied from lease-vs-sale comps (market benchmark ~6.0–6.75% (blends retail/MF)).  •  Why now? 1031 buyers are active, the Live Local Act unlocks density on commercial land, and rising insurance is nudging owners to test the market.</t>
  </si>
  <si>
    <t>824 NE 16th Street</t>
  </si>
  <si>
    <t>Hi, I saw 824 NE 16th Street came off the market — I cover Dixie Hwy · Oakland Park Blvd. Multifamily around here is trading near $245/SF and leasing around $15/SF. I think it can be positioned to actually sell — got two minutes?</t>
  </si>
  <si>
    <t>Comps put it around $2.39M (~$245/SF) — about a 10.3% cap at market rents. It should rent ~$15/SF — about $150K/yr gross.</t>
  </si>
  <si>
    <t>What's it worth? Comps support ~$2.39M (~$245/SF). You were asking $930K.  •  What does it rent for? ~$15/SF/yr — about $150K/yr gross on 9,759 SF.  •  What cap? ~10.3% implied from lease-vs-sale comps (market benchmark 4.7–5.4% (A ~4.74% · B ~4.92% · C ~5.38%); ~5.6% blended, Yardi ~6.3%).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</si>
  <si>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1141 SE 4th Avenue</t>
  </si>
  <si>
    <t>Hi, I saw 1141 SE 4th Avenue came off the market — I cover Andrews Ave · SE 17th St. Commercial around here is trading near $276/SF and leasing around $26/SF. I think it can be positioned to actually sell — got two minutes?</t>
  </si>
  <si>
    <t>Comps put it around $1.93M (~$276/SF) — about a 10.2% cap at market rents. It should rent ~$26/SF — about $186K/yr gross.</t>
  </si>
  <si>
    <t>What's it worth? Comps support ~$1.93M (~$276/SF). You were asking $929K.  •  What does it rent for? ~$26/SF/yr — about $186K/yr gross on 7,000 SF.  •  What cap? ~10.2% implied from lease-vs-sale comps (market benchmark —).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</si>
  <si>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423 SE 19th St</t>
  </si>
  <si>
    <t>Hi, I saw 423 SE 19th St came off the market — I cover Andrews Ave · SE 17th St. Office around here is trading near $130/SF and leasing around $17/SF. I think it can be positioned to actually sell — got two minutes?</t>
  </si>
  <si>
    <t>Comps put it around $889K (~$130/SF) — about a 12.1% cap at market rents. It should rent ~$17/SF — about $116K/yr gross.</t>
  </si>
  <si>
    <t>What's it worth? Comps support ~$889K (~$130/SF). You were asking $900K.  •  What does it rent for? ~$17/SF/yr — about $116K/yr gross on 6,840 SF.  •  What cap? ~12.1%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</si>
  <si>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1112 NE 5th Ave Unit#1-2</t>
  </si>
  <si>
    <t>Hi, I saw 1112 NE 5th Ave Unit#1-2 came off the market — I cover Dixie Hwy · Oakland Park Blvd. Multifamily around here is trading near $298/SF and leasing around $15/SF. I think it can be positioned to actually sell — got two minutes?</t>
  </si>
  <si>
    <t>Comps put it around $2.01M (~$298/SF) — about a 7.4% cap at market rents. It should rent ~$15/SF — about $104K/yr gross.</t>
  </si>
  <si>
    <t>What's it worth? Comps support ~$2.01M (~$298/SF). You were asking $890K.  •  What does it rent for? ~$15/SF/yr — about $104K/yr gross on 6,751 SF.  •  What cap? ~7.4% implied from lease-vs-sale comps (market benchmark 4.7–5.4% (A ~4.74% · B ~4.92% · C ~5.38%); ~5.6% blended, Yardi ~6.3%).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</si>
  <si>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739 NW 7th Ter</t>
  </si>
  <si>
    <t>Area 3010</t>
  </si>
  <si>
    <t>Hi, I saw 739 NW 7th Ter came off the market — I cover the area. Industrial around here is trading near $354/SF and leasing around $19/SF. I think it can be positioned to actually sell — got two minutes?</t>
  </si>
  <si>
    <t>Comps put it around $2.39M (~$354/SF) — about a 7.5% cap at market rents. It should rent ~$19/SF — about $131K/yr gross.</t>
  </si>
  <si>
    <t>What's it worth? Comps support ~$2.39M (~$354/SF). You were asking $875K.  •  What does it rent for? ~$19/SF/yr — about $131K/yr gross on 6,750 SF.  •  What cap? ~7.5% implied from lease-vs-sale comps (market benchmark ~6.0–6.3% (South FL)).  •  Why now? 1031 buyers are active, the Live Local Act unlocks density on commercial land, and rising insurance is nudging owners to test the market.</t>
  </si>
  <si>
    <t>2011 W State Road 84 Unit#232-2</t>
  </si>
  <si>
    <t>Hi, I saw 2011 W State Road 84 Unit#232-2 came off the market — I cover Federal Hwy · SE 17th St. Industrial around here is trading near $680/SF and leasing around $19/SF. I think it can be positioned to actually sell — got two minutes?</t>
  </si>
  <si>
    <t>Comps put it around $1.36M (~$680/SF). It should rent ~$19/SF — about $39K/yr gross.</t>
  </si>
  <si>
    <t>What's it worth? Comps support ~$1.36M (~$680/SF). You were asking $850K.  •  What does it rent for? ~$19/SF/yr — about $39K/yr gross on 2,000 SF.  •  Why now? 1031 buyers are active, the Live Local Act unlocks density on commercial land, and rising insurance is nudging owners to test the market.</t>
  </si>
  <si>
    <t>916 NW 9th Avenue</t>
  </si>
  <si>
    <t>Hi, I saw 916 NW 9th Avenue came off the market — I cover Sunrise Blvd. Industrial around here is trading near $231/SF and leasing around $19/SF. I think it can be positioned to actually sell — got two minutes?</t>
  </si>
  <si>
    <t>Comps put it around $1.56M (~$231/SF) — about a 7.7% cap at market rents. It should rent ~$19/SF — about $131K/yr gross.</t>
  </si>
  <si>
    <t>What's it worth? Comps support ~$1.56M (~$231/SF). You were asking $850K.  •  What does it rent for? ~$19/SF/yr — about $131K/yr gross on 6,750 SF.  •  What cap? ~7.7% implied from lease-vs-sale comps (market benchmark ~6.0–6.3% (South FL)).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</si>
  <si>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11 SE 13th Street</t>
  </si>
  <si>
    <t>TempOff</t>
  </si>
  <si>
    <t>Hi, I saw 11 SE 13th Street came off the market — I cover Andrews Ave · SE 17th St. Mixed-use around here is trading near $210/SF and leasing around $20/SF. I think it can be positioned to actually sell — got two minutes?</t>
  </si>
  <si>
    <t>Comps put it around $1.31M (~$210/SF) — about a 6.9% cap at market rents. It should rent ~$20/SF — about $126K/yr gross.</t>
  </si>
  <si>
    <t>What's it worth? Comps support ~$1.31M (~$210/SF). You were asking $850K.  •  What does it rent for? ~$20/SF/yr — about $126K/yr gross on 6,250 SF.  •  What cap? ~6.9% implied from lease-vs-sale comps (market benchmark ~6.0–6.75% (blends retail/MF)).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</si>
  <si>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223 SW 17th St</t>
  </si>
  <si>
    <t>Hi, I saw 223 SW 17th St came off the market — I cover Federal Hwy · SE 17th St. Mixed-use around here is trading near $217/SF and leasing around $20/SF. I think it can be positioned to actually sell — got two minutes?</t>
  </si>
  <si>
    <t>Comps put it around $1.60M (~$217/SF) — about a 8.1% cap at market rents. It should rent ~$20/SF — about $149K/yr gross.</t>
  </si>
  <si>
    <t>What's it worth? Comps support ~$1.60M (~$217/SF). You were asking $849K.  •  What does it rent for? ~$20/SF/yr — about $149K/yr gross on 7,380 SF.  •  What cap? ~8.1% implied from lease-vs-sale comps (market benchmark ~6.0–6.75% (blends retail/MF)).  •  Why now? 1031 buyers are active, the Live Local Act unlocks density on commercial land, and rising insurance is nudging owners to test the market.</t>
  </si>
  <si>
    <t>2455 E Sunrise Boulevard Unit#CU-1B</t>
  </si>
  <si>
    <t>Hi, I saw 2455 E Sunrise Boulevard Unit#CU-1B came off the market — I cover Sunrise Blvd · Oakland Park Blvd. Commercial around here is trading near $283/SF and leasing around $26/SF. I think it can be positioned to actually sell — got two minutes?</t>
  </si>
  <si>
    <t>Comps put it around $2.37M (~$283/SF) — about a 13.7% cap at market rents. It should rent ~$26/SF — about $222K/yr gross.</t>
  </si>
  <si>
    <t>What's it worth? Comps support ~$2.37M (~$283/SF). You were asking $831K.  •  What does it rent for? ~$26/SF/yr — about $222K/yr gross on 8,381 SF.  •  What cap? ~13.7% implied from lease-vs-sale comps (market benchmark —).  •  Why now? 1031 buyers are active, the Live Local Act unlocks density on commercial land, and rising insurance is nudging owners to test the market.</t>
  </si>
  <si>
    <t>1210 NE 15th Street Unit#22</t>
  </si>
  <si>
    <t>Hi, I saw 1210 NE 15th Street Unit#22 came off the market — I cover Sunrise Blvd. Commercial around here is trading near $695/SF and leasing around $26/SF. I think it can be positioned to actually sell — got two minutes?</t>
  </si>
  <si>
    <t>Comps put it around $1.09M (~$695/SF). It should rent ~$26/SF — about $42K/yr gross.</t>
  </si>
  <si>
    <t>What's it worth? Comps support ~$1.09M (~$695/SF). You were asking $824K.  •  What does it rent for? ~$26/SF/yr — about $42K/yr gross on 1,568 SF.  •  Why now? 1031 buyers are active, the Live Local Act unlocks density on commercial land, and rising insurance is nudging owners to test the market.</t>
  </si>
  <si>
    <t>1601 NW 6th St</t>
  </si>
  <si>
    <t>Hi, I saw 1601 NW 6th St came off the market — I cover Sunrise Blvd. Mixed-use around here is trading near $186/SF and leasing around $20/SF. I think it can be positioned to actually sell — got two minutes?</t>
  </si>
  <si>
    <t>Comps put it around $830K (~$186/SF) — about a 5.4% cap at market rents. It should rent ~$20/SF — about $90K/yr gross.</t>
  </si>
  <si>
    <t>What's it worth? Comps support ~$830K (~$186/SF). You were asking $775K.  •  What does it rent for? ~$20/SF/yr — about $90K/yr gross on 4,463 SF.  •  What cap? ~5.4% implied from lease-vs-sale comps (market benchmark ~6.0–6.75% (blends retail/MF)).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</si>
  <si>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2455 E Sunrise Blvd Unit#CU9K-CU9M-CU9L</t>
  </si>
  <si>
    <t>Area 3350</t>
  </si>
  <si>
    <t>Hi, I saw 2455 E Sunrise Blvd Unit#CU9K-CU9M-CU9L came off the market — I cover Sunrise Blvd. Office around here is trading near $149/SF and leasing around $17/SF. I think it can be positioned to actually sell — got two minutes?</t>
  </si>
  <si>
    <t>Comps put it around $987K (~$149/SF) — about a 14.0% cap at market rents. It should rent ~$17/SF — about $113K/yr gross.</t>
  </si>
  <si>
    <t>What's it worth? Comps support ~$987K (~$149/SF). You were asking $750K.  •  What does it rent for? ~$17/SF/yr — about $113K/yr gross on 6,624 SF.  •  What cap? ~14.0% implied from lease-vs-sale comps (market benchmark ~6.75–8.0%).  •  Why now? 1031 buyers are active, the Live Local Act unlocks density on commercial land, and rising insurance is nudging owners to test the market.</t>
  </si>
  <si>
    <t>Area 3300</t>
  </si>
  <si>
    <t>648 W Oakland Park Blvd</t>
  </si>
  <si>
    <t>Hi, I saw 648 W Oakland Park Blvd came off the market — I cover Oakland Park Blvd · SE 17th St. Mixed-use around here is trading near $192/SF and leasing around $20/SF. I think it can be positioned to actually sell — got two minutes?</t>
  </si>
  <si>
    <t>Comps put it around $1.79M (~$192/SF) — about a 11.7% cap at market rents. It should rent ~$20/SF — about $189K/yr gross.</t>
  </si>
  <si>
    <t>What's it worth? Comps support ~$1.79M (~$192/SF). You were asking $750K.  •  What does it rent for? ~$20/SF/yr — about $189K/yr gross on 9,351 SF.  •  What cap? ~11.7% implied from lease-vs-sale comps (market benchmark ~6.0–6.75% (blends retail/MF)).  •  Why now? 1031 buyers are active, the Live Local Act unlocks density on commercial land, and rising insurance is nudging owners to test the market.</t>
  </si>
  <si>
    <t>200 SE 19th Street</t>
  </si>
  <si>
    <t>Hi, I saw 200 SE 19th Street came off the market — I cover Andrews Ave · SE 17th St. Mixed-use around here is trading near $199/SF and leasing around $20/SF. I think it can be positioned to actually sell — got two minutes?</t>
  </si>
  <si>
    <t>Comps put it around $1.38M (~$199/SF) — about a 9.3% cap at market rents. It should rent ~$20/SF — about $140K/yr gross.</t>
  </si>
  <si>
    <t>What's it worth? Comps support ~$1.38M (~$199/SF). You were asking $699K.  •  What does it rent for? ~$20/SF/yr — about $140K/yr gross on 6,950 SF.  •  What cap? ~9.3% implied from lease-vs-sale comps (market benchmark ~6.0–6.75% (blends retail/MF)).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</si>
  <si>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314 SE 14th Street</t>
  </si>
  <si>
    <t>Hi, I saw 314 SE 14th Street came off the market — I cover Andrews Ave · SE 17th St. Commercial around here is trading near $300/SF and leasing around $26/SF. I think it can be positioned to actually sell — got two minutes?</t>
  </si>
  <si>
    <t>Comps put it around $1.80M (~$300/SF) — about a 12.2% cap at market rents. It should rent ~$26/SF — about $159K/yr gross.</t>
  </si>
  <si>
    <t>What's it worth? Comps support ~$1.80M (~$300/SF). You were asking $665K.  •  What does it rent for? ~$26/SF/yr — about $159K/yr gross on 6,000 SF.  •  What cap? ~12.2% implied from lease-vs-sale comps (market benchmark —).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</si>
  <si>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405-407 E Oakland Park Blvd</t>
  </si>
  <si>
    <t>Hi, I saw 405-407 E Oakland Park Blvd came off the market — I cover Oakland Park Blvd. Multifamily around here is trading near $390/SF and leasing around $15/SF. I think it can be positioned to actually sell — got two minutes?</t>
  </si>
  <si>
    <t>Comps put it around $1.69M (~$390/SF) — about a 7.1% cap at market rents. It should rent ~$15/SF — about $67K/yr gross.</t>
  </si>
  <si>
    <t>What's it worth? Comps support ~$1.69M (~$390/SF). You were asking $600K.  •  What does it rent for? ~$15/SF/yr — about $67K/yr gross on 4,335 SF.  •  What cap? ~7.1%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</si>
  <si>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1403 NW 8th Ave</t>
  </si>
  <si>
    <t>Hi, I saw 1403 NW 8th Ave came off the market — I cover Oakland Park Blvd · SE 17th St. Multifamily around here is trading near $308/SF and leasing around $15/SF. I think it can be positioned to actually sell — got two minutes?</t>
  </si>
  <si>
    <t>Comps put it around $2.08M (~$308/SF) — about a 11.5% cap at market rents. It should rent ~$15/SF — about $104K/yr gross.</t>
  </si>
  <si>
    <t>What's it worth? Comps support ~$2.08M (~$308/SF). You were asking $575K.  •  What does it rent for? ~$15/SF/yr — about $104K/yr gross on 6,749 SF.  •  What cap? ~11.5%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</si>
  <si>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401 E Oakland Park Blvd</t>
  </si>
  <si>
    <t>Hi, I saw 401 E Oakland Park Blvd came off the market — I cover Oakland Park Blvd. Mixed-use around here is trading near $260/SF and leasing around $20/SF. I think it can be positioned to actually sell — got two minutes?</t>
  </si>
  <si>
    <t>Comps put it around $1.37M (~$260/SF) — about a 9.1% cap at market rents. It should rent ~$20/SF — about $106K/yr gross.</t>
  </si>
  <si>
    <t>What's it worth? Comps support ~$1.37M (~$260/SF). You were asking $540K.  •  What does it rent for? ~$20/SF/yr — about $106K/yr gross on 5,268 SF.  •  What cap? ~9.1% implied from lease-vs-sale comps (market benchmark ~6.0–6.75% (blends retail/MF)).  •  Why now? 1031 buyers are active, the Live Local Act unlocks density on commercial land, and rising insurance is nudging owners to test the market.</t>
  </si>
  <si>
    <t>3015 N Ocean Boulevard Unit#C-115</t>
  </si>
  <si>
    <t>Hi, I saw 3015 N Ocean Boulevard Unit#C-115 came off the market — I cover Ocean Blvd · SE 17th St. Commercial around here is trading near $319/SF and leasing around $26/SF. I think it can be positioned to actually sell — got two minutes?</t>
  </si>
  <si>
    <t>Comps put it around $618K (~$319/SF) — about a 6.2% cap at market rents. It should rent ~$26/SF — about $51K/yr gross.</t>
  </si>
  <si>
    <t>What's it worth? Comps support ~$618K (~$319/SF). You were asking $425K.  •  What does it rent for? ~$26/SF/yr — about $51K/yr gross on 1,938 SF.  •  What cap? ~6.2% implied from lease-vs-sale comps (market benchmark —).  •  How's demand? The barrier-island beach market — hospitality, beachfront retail and boutique commercial/condo, where waterfront and ocean views drive a clear premium.  •  Why now? 1031 buyers are active, the Live Local Act unlocks density on commercial land, and rising insurance is nudging owners to test the market.</t>
  </si>
  <si>
    <t>2455 E Sunrise Boulevard Unit#209</t>
  </si>
  <si>
    <t>Hi, I saw 2455 E Sunrise Boulevard Unit#209 came off the market — I cover Sunrise Blvd · Oakland Park Blvd. Commercial around here is trading near $757/SF and leasing around $26/SF. I think it can be positioned to actually sell — got two minutes?</t>
  </si>
  <si>
    <t>Comps put it around $1.00M (~$757/SF) — about a 4.2% cap at market rents. It should rent ~$26/SF — about $35K/yr gross.</t>
  </si>
  <si>
    <t>What's it worth? Comps support ~$1.00M (~$757/SF). You were asking $423K.  •  What does it rent for? ~$26/SF/yr — about $35K/yr gross on 1,322 SF.  •  What cap? ~4.2% implied from lease-vs-sale comps (market benchmark —).  •  Why now? 1031 buyers are active, the Live Local Act unlocks density on commercial land, and rising insurance is nudging owners to test the market.</t>
  </si>
  <si>
    <t>2455 E Sunrise Boulevard Unit#512</t>
  </si>
  <si>
    <t>Hi, I saw 2455 E Sunrise Boulevard Unit#512 came off the market — I cover Sunrise Blvd · Oakland Park Blvd. Commercial around here is trading near $769/SF and leasing around $26/SF. I think it can be positioned to actually sell — got two minutes?</t>
  </si>
  <si>
    <t>Comps put it around $987K (~$769/SF) — about a 4.2% cap at market rents. It should rent ~$26/SF — about $34K/yr gross.</t>
  </si>
  <si>
    <t>What's it worth? Comps support ~$987K (~$769/SF). You were asking $417K.  •  What does it rent for? ~$26/SF/yr — about $34K/yr gross on 1,283 SF.  •  What cap? ~4.2% implied from lease-vs-sale comps (market benchmark —).  •  Why now? 1031 buyers are active, the Live Local Act unlocks density on commercial land, and rising insurance is nudging owners to test the market.</t>
  </si>
  <si>
    <t>2455 E Sunrise Boulevard Unit#815</t>
  </si>
  <si>
    <t>Hi, I saw 2455 E Sunrise Boulevard Unit#815 came off the market — I cover Sunrise Blvd · Oakland Park Blvd. Commercial around here is trading near $847/SF and leasing around $26/SF. I think it can be positioned to actually sell — got two minutes?</t>
  </si>
  <si>
    <t>Comps put it around $907K (~$847/SF) — about a 3.9% cap at market rents. It should rent ~$26/SF — about $28K/yr gross.</t>
  </si>
  <si>
    <t>What's it worth? Comps support ~$907K (~$847/SF). You were asking $369K.  •  What does it rent for? ~$26/SF/yr — about $28K/yr gross on 1,071 SF.  •  What cap? ~3.9% implied from lease-vs-sale comps (market benchmark —).  •  Why now? 1031 buyers are active, the Live Local Act unlocks density on commercial land, and rising insurance is nudging owners to test the market.</t>
  </si>
  <si>
    <t>2455 E Sunrise Boulevard Unit#502</t>
  </si>
  <si>
    <t>Hi, I saw 2455 E Sunrise Boulevard Unit#502 came off the market — I cover Sunrise Blvd · Oakland Park Blvd. Commercial around here is trading near $832/SF and leasing around $26/SF. I think it can be positioned to actually sell — got two minutes?</t>
  </si>
  <si>
    <t>Comps put it around $921K (~$832/SF) — about a 4.2% cap at market rents. It should rent ~$26/SF — about $29K/yr gross.</t>
  </si>
  <si>
    <t>What's it worth? Comps support ~$921K (~$832/SF). You were asking $360K.  •  What does it rent for? ~$26/SF/yr — about $29K/yr gross on 1,107 SF.  •  What cap? ~4.2% implied from lease-vs-sale comps (market benchmark —).  •  Why now? 1031 buyers are active, the Live Local Act unlocks density on commercial land, and rising insurance is nudging owners to test the market.</t>
  </si>
  <si>
    <t>Comps put it around $618K (~$319/SF) — about a 7.5% cap at market rents. It should rent ~$26/SF — about $51K/yr gross.</t>
  </si>
  <si>
    <t>What's it worth? Comps support ~$618K (~$319/SF). You were asking $350K.  •  What does it rent for? ~$26/SF/yr — about $51K/yr gross on 1,938 SF.  •  What cap? ~7.5% implied from lease-vs-sale comps (market benchmark —).  •  How's demand? The barrier-island beach market — hospitality, beachfront retail and boutique commercial/condo, where waterfront and ocean views drive a clear premium.  •  Why now? 1031 buyers are active, the Live Local Act unlocks density on commercial land, and rising insurance is nudging owners to test the market.</t>
  </si>
  <si>
    <t>3015 N Ocean Boulevard Unit#C-126</t>
  </si>
  <si>
    <t>Hi, I saw 3015 N Ocean Boulevard Unit#C-126 came off the market — I cover Ocean Blvd · SE 17th St. Commercial around here is trading near $319/SF and leasing around $26/SF. I think it can be positioned to actually sell — got two minutes?</t>
  </si>
  <si>
    <t>Comps put it around $618K (~$319/SF) — about a 8.3% cap at market rents. It should rent ~$26/SF — about $51K/yr gross.</t>
  </si>
  <si>
    <t>What's it worth? Comps support ~$618K (~$319/SF). You were asking $315K.  •  What does it rent for? ~$26/SF/yr — about $51K/yr gross on 1,938 SF.  •  What cap? ~8.3% implied from lease-vs-sale comps (market benchmark —).  •  How's demand? The barrier-island beach market — hospitality, beachfront retail and boutique commercial/condo, where waterfront and ocean views drive a clear premium.  •  Why now? 1031 buyers are active, the Live Local Act unlocks density on commercial land, and rising insurance is nudging owners to test the market.</t>
  </si>
  <si>
    <t>655 NW 22nd Road</t>
  </si>
  <si>
    <t>Hi, I saw 655 NW 22nd Road came off the market — I cover Broward Blvd · Sunrise Blvd. Commercial around here is trading near $635/SF and leasing around $26/SF. I think it can be positioned to actually sell — got two minutes?</t>
  </si>
  <si>
    <t>Comps put it around $1.17M (~$635/SF) — about a 13.0% cap at market rents. It should rent ~$26/SF — about $49K/yr gross.</t>
  </si>
  <si>
    <t>What's it worth? Comps support ~$1.17M (~$635/SF). You were asking $192K.  •  What does it rent for? ~$26/SF/yr — about $49K/yr gross on 1,837 SF.  •  What cap? ~13.0% implied from lease-vs-sale comps (market benchmark —).  •  Why now? 1031 buyers are active, the Live Local Act unlocks density on commercial land, and rising insurance is nudging owners to test the market.</t>
  </si>
  <si>
    <t>3045 N Federal Hwy Unit#6</t>
  </si>
  <si>
    <t>Area 3070</t>
  </si>
  <si>
    <t>Hi, I saw 3045 N Federal Hwy Unit#6 came off the market — I cover Federal Hwy. Office around here is trading near $662/SF and leasing around $17/SF. I think it can be positioned to actually sell — got two minutes?</t>
  </si>
  <si>
    <t>Comps put it around $265K (~$662/SF) — about a 3.8% cap at market rents. It should rent ~$17/SF — about $7K/yr gross.</t>
  </si>
  <si>
    <t>What's it worth? Comps support ~$265K (~$662/SF). You were asking $170K.  •  What does it rent for? ~$17/SF/yr — about $7K/yr gross on 401 SF.  •  What cap? ~3.8% implied from lease-vs-sale comps (market benchmark ~6.75–8.0%).  •  Why now? 1031 buyers are active, the Live Local Act unlocks density on commercial land, and rising insurance is nudging owners to test the market.</t>
  </si>
  <si>
    <t>1400 S Federal Highway</t>
  </si>
  <si>
    <t>UnderContract</t>
  </si>
  <si>
    <t>Hi — you're on the market at 1400 S Federal Highway for $10.50M ($219/SF). Comparable commercial on SE 17th St · Federal Hwy has been closer to $157/SF; I have a read on where it clears and a few active buyers. Worth a quick call?</t>
  </si>
  <si>
    <t>Comps put it around $7.53M (~$157/SF) — about a 6.2% cap at market rents. It should rent ~$26/SF — about $1.27M/yr gross.</t>
  </si>
  <si>
    <t>What's it worth? Comps support ~$7.53M (~$157/SF). You're listed at $10.50M.  •  What does it rent for? ~$26/SF/yr — about $1.27M/yr gross on 47,950 SF.  •  What cap? ~6.2% implied from lease-vs-sale comps (market benchmark —).  •  How's demand? The marine &amp; yachting-services heart of the market — and increasingly a waterfront redevelopment target.  •  Why now? 1031 buyers are active, the Live Local Act unlocks density on commercial land, and rising insurance is nudging owners to test the market.</t>
  </si>
  <si>
    <t>815 NE 13th Street</t>
  </si>
  <si>
    <t>Active</t>
  </si>
  <si>
    <t>Hi — you're on the market at 815 NE 13th Street for $4.90M ($362/SF). Comparable commercial on Wilton Dr · Federal Hwy has been closer to $276/SF; I have a read on where it clears and a few active buyers. Worth a quick call?</t>
  </si>
  <si>
    <t>Comps put it around $3.73M (~$276/SF) — about a 3.7% cap at market rents. It should rent ~$26/SF — about $358K/yr gross.</t>
  </si>
  <si>
    <t>What's it worth? Comps support ~$3.73M (~$276/SF). You're listed at $4.90M.  •  What does it rent for? ~$26/SF/yr — about $358K/yr gross on 13,525 SF.  •  What cap? ~3.7% implied from lease-vs-sale comps (market benchmark —).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</si>
  <si>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804-810 NE 4th Avenue Unit#804, 805 &amp; 810</t>
  </si>
  <si>
    <t>Hi — you're on the market at 804-810 NE 4th Avenue Unit#804, 805 &amp; 810 for $4.90M ($302/SF). Comparable commercial on Wilton Dr · Federal Hwy has been closer to $250/SF; I have a read on where it clears and a few active buyers. Worth a quick call?</t>
  </si>
  <si>
    <t>Comps put it around $4.06M (~$250/SF) — about a 4.5% cap at market rents. It should rent ~$26/SF — about $431K/yr gross.</t>
  </si>
  <si>
    <t>What's it worth? Comps support ~$4.06M (~$250/SF). You're listed at $4.90M.  •  What does it rent for? ~$26/SF/yr — about $431K/yr gross on 16,250 SF.  •  What cap? ~4.5% implied from lease-vs-sale comps (market benchmark —).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</si>
  <si>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101-105 SE 26 Street</t>
  </si>
  <si>
    <t>Area 3570</t>
  </si>
  <si>
    <t>Hi — you're on the market at 101-105 SE 26 Street for $4.00M ($212/SF). Comparable multifamily on the area has been closer to $178/SF; I have a read on where it clears and a few active buyers. Worth a quick call?</t>
  </si>
  <si>
    <t>Comps put it around $3.36M (~$178/SF) — about a 4.6% cap at market rents. It should rent ~$15/SF — about $291K/yr gross.</t>
  </si>
  <si>
    <t>What's it worth? Comps support ~$3.36M (~$178/SF). You're listed at $4.00M.  •  What does it rent for? ~$15/SF/yr — about $291K/yr gross on 18,898 SF.  •  What cap? ~4.6%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</si>
  <si>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101-105 SE 26th Street</t>
  </si>
  <si>
    <t>Hi — you're on the market at 101-105 SE 26th Street for $4.00M ($212/SF). Comparable multifamily on the area has been closer to $178/SF; I have a read on where it clears and a few active buyers. Worth a quick call?</t>
  </si>
  <si>
    <t>929 NE 17th Way</t>
  </si>
  <si>
    <t>Hi — you're on the market at 929 NE 17th Way for $4.00M ($197/SF). Comparable special-purpose on Dixie Hwy · Oakland Park Blvd has been closer to $172/SF; I have a read on where it clears and a few active buyers. Worth a quick call?</t>
  </si>
  <si>
    <t>Comps put it around $3.48M (~$172/SF) — about a 6.6% cap at market rents. It should rent ~$7/SF — about $148K/yr gross.</t>
  </si>
  <si>
    <t>What's it worth? Comps support ~$3.48M (~$172/SF). You're listed at $4.00M.  •  What does it rent for? ~$7/SF/yr — about $148K/yr gross on 20,250 SF.  •  What cap? ~6.6% implied from lease-vs-sale comps (market benchmark —).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</si>
  <si>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637 NE 4th Ave</t>
  </si>
  <si>
    <t>Hi — you're on the market at 637 NE 4th Ave for $3.75M ($555/SF). Comparable multifamily on Broward Blvd has been closer to $408/SF; I have a read on where it clears and a few active buyers. Worth a quick call?</t>
  </si>
  <si>
    <t>Comps put it around $2.75M (~$408/SF). It should rent ~$15/SF — about $104K/yr gross.</t>
  </si>
  <si>
    <t>What's it worth? Comps support ~$2.75M (~$408/SF). You're listed at $3.75M.  •  What does it rent for? ~$15/SF/yr — about $104K/yr gross on 6,750 SF.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</si>
  <si>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3001 NE 6 Avenue</t>
  </si>
  <si>
    <t>Hi — you're on the market at 3001 NE 6 Avenue for $2.80M ($238/SF). Comparable mixed-use on Dixie Hwy · Oakland Park Blvd has been closer to $164/SF; I have a read on where it clears and a few active buyers. Worth a quick call?</t>
  </si>
  <si>
    <t>Comps put it around $1.93M (~$164/SF) — about a 3.9% cap at market rents. It should rent ~$20/SF — about $238K/yr gross.</t>
  </si>
  <si>
    <t>What's it worth? Comps support ~$1.93M (~$164/SF). You're listed at $2.80M.  •  What does it rent for? ~$20/SF/yr — about $238K/yr gross on 11,761 SF.  •  What cap? ~3.9% implied from lease-vs-sale comps (market benchmark ~6.0–6.75% (blends retail/MF)).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</si>
  <si>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749 NE 16th Avenue</t>
  </si>
  <si>
    <t>Hi — you're on the market at 749 NE 16th Avenue for $2.50M ($261/SF). Comparable multifamily on Andrews Ave · SE 17th St has been closer to $226/SF; I have a read on where it clears and a few active buyers. Worth a quick call?</t>
  </si>
  <si>
    <t>Comps put it around $2.16M (~$226/SF) — about a 3.8% cap at market rents. It should rent ~$15/SF — about $147K/yr gross.</t>
  </si>
  <si>
    <t>What's it worth? Comps support ~$2.16M (~$226/SF). You're listed at $2.50M.  •  What does it rent for? ~$15/SF/yr — about $147K/yr gross on 9,566 SF.  •  What cap? ~3.8% implied from lease-vs-sale comps (market benchmark 4.7–5.4% (A ~4.74% · B ~4.92% · C ~5.38%); ~5.6% blended, Yardi ~6.3%).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</si>
  <si>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Hi — you're on the market at 2617 NE 13th Court for $2.48M ($238/SF). Comparable multifamily on Sunrise Blvd · Oakland Park Blvd has been closer to $244/SF; I have a read on where it clears and a few active buyers. Worth a quick call?</t>
  </si>
  <si>
    <t>Comps put it around $2.54M (~$244/SF) — about a 4.1% cap at market rents. It should rent ~$15/SF — about $160K/yr gross.</t>
  </si>
  <si>
    <t>What's it worth? Comps support ~$2.54M (~$244/SF). You're listed at $2.48M.  •  What does it rent for? ~$15/SF/yr — about $160K/yr gross on 10,400 SF.  •  What cap? ~4.1%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</si>
  <si>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1730 NE 7th St Unit#1-5</t>
  </si>
  <si>
    <t>Hi — you're on the market at 1730 NE 7th St Unit#1-5 for $2.15M ($324/SF). Comparable multifamily on Sunrise Blvd has been closer to $310/SF; I have a read on where it clears and a few active buyers. Worth a quick call?</t>
  </si>
  <si>
    <t>Comps put it around $2.06M (~$310/SF) — about a 3.0% cap at market rents. It should rent ~$15/SF — about $102K/yr gross.</t>
  </si>
  <si>
    <t>What's it worth? Comps support ~$2.06M (~$310/SF). You're listed at $2.15M.  •  What does it rent for? ~$15/SF/yr — about $102K/yr gross on 6,633 SF.  •  What cap? ~3.0%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</si>
  <si>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1327 SE 2nd Ave</t>
  </si>
  <si>
    <t>Hi — you're on the market at 1327 SE 2nd Ave for $2.10M ($226/SF). Comparable office on Andrews Ave · SE 17th St has been closer to $110/SF; I have a read on where it clears and a few active buyers. Worth a quick call?</t>
  </si>
  <si>
    <t>Comps put it around $1.02M (~$110/SF) — about a 7.0% cap at market rents. It should rent ~$17/SF — about $158K/yr gross.</t>
  </si>
  <si>
    <t>What's it worth? Comps support ~$1.02M (~$110/SF). You're listed at $2.10M.  •  What does it rent for? ~$17/SF/yr — about $158K/yr gross on 9,289 SF.  •  What cap? ~7.0%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</si>
  <si>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2745 E Oakland Park Boulevard</t>
  </si>
  <si>
    <t>Hi — you're on the market at 2745 E Oakland Park Boulevard for $2.10M ($280/SF). Comparable commercial on Oakland Park Blvd has been closer to $300/SF; I have a read on where it clears and a few active buyers. Worth a quick call?</t>
  </si>
  <si>
    <t>Comps put it around $2.25M (~$300/SF) — about a 4.8% cap at market rents. It should rent ~$26/SF — about $199K/yr gross.</t>
  </si>
  <si>
    <t>What's it worth? Comps support ~$2.25M (~$300/SF). You're listed at $2.10M.  •  What does it rent for? ~$26/SF/yr — about $199K/yr gross on 7,503 SF.  •  What cap? ~4.8% implied from lease-vs-sale comps (market benchmark —).  •  Why now? 1031 buyers are active, the Live Local Act unlocks density on commercial land, and rising insurance is nudging owners to test the market.</t>
  </si>
  <si>
    <t>Hi — you're on the market at 1210 NE 8th Ave for $2.00M ($313/SF). Comparable flex on Wilton Dr · Federal Hwy has been closer to $412/SF; I have a read on where it clears and a few active buyers. Worth a quick call?</t>
  </si>
  <si>
    <t>Comps put it around $2.63M (~$412/SF) — about a 4.7% cap at market rents.</t>
  </si>
  <si>
    <t>What's it worth? Comps support ~$2.63M (~$412/SF). You're listed at $2.00M.  •  What cap? ~4.7% implied from lease-vs-sale comps (market benchmark —).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</si>
  <si>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1143 NE 7th Ave</t>
  </si>
  <si>
    <t>Hi — you're on the market at 1143 NE 7th Ave for $1.90M ($298/SF). Comparable mixed-use on Wilton Dr · Federal Hwy has been closer to $295/SF; I have a read on where it clears and a few active buyers. Worth a quick call?</t>
  </si>
  <si>
    <t>Comps put it around $1.88M (~$295/SF) — about a 3.1% cap at market rents. It should rent ~$20/SF — about $129K/yr gross.</t>
  </si>
  <si>
    <t>What's it worth? Comps support ~$1.88M (~$295/SF). You're listed at $1.90M.  •  What does it rent for? ~$20/SF/yr — about $129K/yr gross on 6,385 SF.  •  What cap? ~3.1% implied from lease-vs-sale comps (market benchmark ~6.0–6.75% (blends retail/MF)).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</si>
  <si>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Hi — you're on the market at 15 NW 9th Ave for $1.80M ($257/SF). Comparable industrial on Davie Blvd · Las Olas Blvd has been closer to $277/SF; I have a read on where it clears and a few active buyers. Worth a quick call?</t>
  </si>
  <si>
    <t>Comps put it around $1.94M (~$277/SF) — about a 3.8% cap at market rents. It should rent ~$19/SF — about $136K/yr gross.</t>
  </si>
  <si>
    <t>What's it worth? Comps support ~$1.94M (~$277/SF). You're listed at $1.80M.  •  What does it rent for? ~$19/SF/yr — about $136K/yr gross on 7,000 SF.  •  What cap? ~3.8% implied from lease-vs-sale comps (market benchmark ~6.0–6.3% (South FL)).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</si>
  <si>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620 SW 7th St Unit#1-6</t>
  </si>
  <si>
    <t>Hi — you're on the market at 620 SW 7th St Unit#1-6 for $1.75M ($217/SF). Comparable multifamily on Davie Blvd · Las Olas Blvd has been closer to $223/SF; I have a read on where it clears and a few active buyers. Worth a quick call?</t>
  </si>
  <si>
    <t>Comps put it around $1.80M (~$223/SF) — about a 4.5% cap at market rents. It should rent ~$15/SF — about $124K/yr gross.</t>
  </si>
  <si>
    <t>What's it worth? Comps support ~$1.80M (~$223/SF). You're listed at $1.75M.  •  What does it rent for? ~$15/SF/yr — about $124K/yr gross on 8,075 SF.  •  What cap? ~4.5%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</si>
  <si>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3015 N Ocean Boulevard Unit#C1-C8</t>
  </si>
  <si>
    <t>Hi — you're on the market at 3015 N Ocean Boulevard Unit#C1-C8 for $1.04M ($200/SF). Comparable mixed-use on Ocean Blvd · SE 17th St has been closer to $135/SF; I have a read on where it clears and a few active buyers. Worth a quick call?</t>
  </si>
  <si>
    <t>Comps put it around $702K (~$135/SF) — about a 4.7% cap at market rents. It should rent ~$20/SF — about $105K/yr gross.</t>
  </si>
  <si>
    <t>What's it worth? Comps support ~$702K (~$135/SF). You're listed at $1.04M.  •  What does it rent for? ~$20/SF/yr — about $105K/yr gross on 5,200 SF.  •  What cap? ~4.7% implied from lease-vs-sale comps (market benchmark ~6.0–6.75% (blends retail/MF)).  •  How's demand? The barrier-island beach market — hospitality, beachfront retail and boutique commercial/condo, where waterfront and ocean views drive a clear premium.  •  Why now? 1031 buyers are active, the Live Local Act unlocks density on commercial land, and rising insurance is nudging owners to test the market.</t>
  </si>
  <si>
    <t>1083 SE 17th St</t>
  </si>
  <si>
    <t>Hi — you're on the market at 1083 SE 17th St for $995K ($829/SF). Comparable restaurant/bar on SE 17th St · Federal Hwy has been closer to $822/SF; I have a read on where it clears and a few active buyers. Worth a quick call?</t>
  </si>
  <si>
    <t>Comps put it around $986K (~$822/SF). It should rent ~$23/SF — about $27K/yr gross.</t>
  </si>
  <si>
    <t>What's it worth? Comps support ~$986K (~$822/SF). You're listed at $995K.  •  What does it rent for? ~$23/SF/yr — about $27K/yr gross on 1,200 SF.  •  How's demand? The marine &amp; yachting-services heart of the market — and increasingly a waterfront redevelopment target.  •  Why now? 1031 buyers are active, the Live Local Act unlocks density on commercial land, and rising insurance is nudging owners to test the market.</t>
  </si>
  <si>
    <t>Hi — you're on the market at 200 S Andrews Ave Unit#503 for $990K ($412/SF). Comparable office on Andrews Ave · SE 17th St has been closer to $227/SF; I have a read on where it clears and a few active buyers. Worth a quick call?</t>
  </si>
  <si>
    <t>Comps put it around $545K (~$227/SF) — about a 3.9% cap at market rents. It should rent ~$17/SF — about $41K/yr gross.</t>
  </si>
  <si>
    <t>What's it worth? Comps support ~$545K (~$227/SF). You're listed at $990K.  •  What does it rent for? ~$17/SF/yr — about $41K/yr gross on 2,400 SF.  •  What cap? ~3.9%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</si>
  <si>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1200 S Federal Hwy</t>
  </si>
  <si>
    <t>Hi — you're on the market at 1200 S Federal Hwy for $710K ($387/SF). Comparable retail on Federal Hwy · SE 17th St has been closer to $413/SF; I have a read on where it clears and a few active buyers. Worth a quick call?</t>
  </si>
  <si>
    <t>Comps put it around $757K (~$413/SF) — about a 4.3% cap at market rents. It should rent ~$28/SF — about $51K/yr gross.</t>
  </si>
  <si>
    <t>What's it worth? Comps support ~$757K (~$413/SF). You're listed at $710K.  •  What does it rent for? ~$28/SF/yr — about $51K/yr gross on 1,833 SF.  •  What cap? ~4.3% implied from lease-vs-sale comps (market benchmark ~6.0–6.1%).  •  Why now? 1031 buyers are active, the Live Local Act unlocks density on commercial land, and rising insurance is nudging owners to test the market.</t>
  </si>
  <si>
    <t>Neighborhoods — each submarket as a system</t>
  </si>
  <si>
    <t>Normalized $/SqFt, rents, yield, supply and stance side by side. Per-area repricing detail is in the Repricing tab and the Neighborhood Report PDF.</t>
  </si>
  <si>
    <t>Submarket</t>
  </si>
  <si>
    <t>Corridors</t>
  </si>
  <si>
    <t>Profile</t>
  </si>
  <si>
    <t>Norm $/SF</t>
  </si>
  <si>
    <t>Median sold $/SF</t>
  </si>
  <si>
    <t>vs city %</t>
  </si>
  <si>
    <t>Gross yld</t>
  </si>
  <si>
    <t>Mo supply</t>
  </si>
  <si>
    <t>Fail %</t>
  </si>
  <si>
    <t>Under</t>
  </si>
  <si>
    <t>Over</t>
  </si>
  <si>
    <t>Stance</t>
  </si>
  <si>
    <t>SE 17th St · Federal Hwy</t>
  </si>
  <si>
    <t>17th Street Causeway / Harbor Beach / SE</t>
  </si>
  <si>
    <t>Neutral</t>
  </si>
  <si>
    <t>Broward Blvd</t>
  </si>
  <si>
    <t>Sistrunk / Progresso / Northwest</t>
  </si>
  <si>
    <t>Wilton Dr · Federal Hwy</t>
  </si>
  <si>
    <t>Wilton Manors</t>
  </si>
  <si>
    <t>Dixie Hwy · Oakland Park Blvd</t>
  </si>
  <si>
    <t>Oakland Park</t>
  </si>
  <si>
    <t>Andrews Ave</t>
  </si>
  <si>
    <t>Downtown / Flagler Village</t>
  </si>
  <si>
    <t>Andrews Ave · SE 17th St</t>
  </si>
  <si>
    <t>Davie Blvd · Las Olas Blvd</t>
  </si>
  <si>
    <t>Las Olas</t>
  </si>
  <si>
    <t>Sunrise Blvd</t>
  </si>
  <si>
    <t>Ocean Blvd · SE 17th St</t>
  </si>
  <si>
    <t>Fort Lauderdale Beach</t>
  </si>
  <si>
    <t>Repricing — going for vs. should be going for</t>
  </si>
  <si>
    <t>Model $/SF = normalized value for that exact building (size/age/type removed). Adjust ▲ up = priced below the market (room to raise / a buy); ▼ down = priced above. Live + failed listings.</t>
  </si>
  <si>
    <t>Asking</t>
  </si>
  <si>
    <t>Adjust %</t>
  </si>
  <si>
    <t>Basis Δ $</t>
  </si>
  <si>
    <t>Income gap %</t>
  </si>
  <si>
    <t>1103 E Las Olas Boulevard</t>
  </si>
  <si>
    <t>2001 W St. Road</t>
  </si>
  <si>
    <t>2612 SW 14th Avenue</t>
  </si>
  <si>
    <t>2455 E Sunrise Boulevard Unit#CU-1D</t>
  </si>
  <si>
    <t>2455 E Sunrise Boulevard Unit#CU-1C</t>
  </si>
  <si>
    <t>649 NW 22nd Rd</t>
  </si>
  <si>
    <t>2455 E Sunrise Blvd Unit#CU9J</t>
  </si>
  <si>
    <t>2217 NW 19th St</t>
  </si>
  <si>
    <t>Area 3090</t>
  </si>
  <si>
    <t>1432 NE 10th Avenue</t>
  </si>
  <si>
    <t>355 NW 32nd St Unit#1-6</t>
  </si>
  <si>
    <t>201 SE 19th Street</t>
  </si>
  <si>
    <t>1021 NW 1st Street</t>
  </si>
  <si>
    <t>1518-1522 NE 4th Ave</t>
  </si>
  <si>
    <t>1313 S Andrews Avenue</t>
  </si>
  <si>
    <t>1126 SE 2nd Ave</t>
  </si>
  <si>
    <t>701 W Las Olas Boulevard</t>
  </si>
  <si>
    <t>Pending</t>
  </si>
  <si>
    <t>1225 NE 15th Ave Unit#1-9</t>
  </si>
  <si>
    <t>834 NW 10th Terr</t>
  </si>
  <si>
    <t>505 SE 16th St</t>
  </si>
  <si>
    <t>1901 SE 4th Avenue</t>
  </si>
  <si>
    <t>1100 NW 4th Street</t>
  </si>
  <si>
    <t>1536 NW 6th Street</t>
  </si>
  <si>
    <t>2401 NW 9th Ave Unit#1-8</t>
  </si>
  <si>
    <t>751 NW 5th Street</t>
  </si>
  <si>
    <t>1110 NW 7th Avenue</t>
  </si>
  <si>
    <t>325 SW 26th Street</t>
  </si>
  <si>
    <t>212 SE 8th Street</t>
  </si>
  <si>
    <t>700 NE 13th Street</t>
  </si>
  <si>
    <t>2209 NE 26th St</t>
  </si>
  <si>
    <t>1111 SW 4th St</t>
  </si>
  <si>
    <t>1225 SE 2nd Avenue</t>
  </si>
  <si>
    <t>2001 W State Road 84 Unit#412-3</t>
  </si>
  <si>
    <t>645 NE 4th Avenue</t>
  </si>
  <si>
    <t>2724 NE 14th St</t>
  </si>
  <si>
    <t>520 Orton Ave Unit#201, 204, 403</t>
  </si>
  <si>
    <t>2724 NE 14th Street</t>
  </si>
  <si>
    <t>114 NW 5th Street</t>
  </si>
  <si>
    <t>900 Sunrise Lane</t>
  </si>
  <si>
    <t>Area 3170</t>
  </si>
  <si>
    <t>425 NE 8th St</t>
  </si>
  <si>
    <t>901 Sunrise Lane</t>
  </si>
  <si>
    <t>3005 Alhambra St</t>
  </si>
  <si>
    <t>2100 Miami Road</t>
  </si>
  <si>
    <t>3086 Harbor Dr</t>
  </si>
  <si>
    <t>1147 Seabreeze Boulevard</t>
  </si>
  <si>
    <t>1827 Middle River Drive</t>
  </si>
  <si>
    <t>3020 + 3024 Seville St</t>
  </si>
  <si>
    <t>850 NE 13th Street Unit#A-D</t>
  </si>
  <si>
    <t>347 N Birch Road</t>
  </si>
  <si>
    <t>125 N Birch Road</t>
  </si>
  <si>
    <t>202 NW 14th Ave Unit#202</t>
  </si>
  <si>
    <t>2200 N Ocean Blvd Unit#CU3</t>
  </si>
  <si>
    <t>955 S Federal Hwy</t>
  </si>
  <si>
    <t>2881 E Oakland Park Blvd</t>
  </si>
  <si>
    <t>Segmentation &amp; market share — by asset type, price bracket, size class</t>
  </si>
  <si>
    <t>Shares are within the stated parent. 'Size class' is a SqFt bracket (no floor-plan/unit-mix data in the export); unit brackets cover only multifamily with a parsed unit count. Size class = SqFt bracket (no floor-plan data in the export).</t>
  </si>
  <si>
    <t>Market composition — by asset type</t>
  </si>
  <si>
    <t>Asset type</t>
  </si>
  <si>
    <t>Count</t>
  </si>
  <si>
    <t>% of market</t>
  </si>
  <si>
    <t>Median $/SqFt</t>
  </si>
  <si>
    <t>Market composition — by price bracket</t>
  </si>
  <si>
    <t>Price bracket</t>
  </si>
  <si>
    <t>$1–2.5M</t>
  </si>
  <si>
    <t>&lt; $1M</t>
  </si>
  <si>
    <t>$2.5–5M</t>
  </si>
  <si>
    <t>$5–10M</t>
  </si>
  <si>
    <t>$10M+</t>
  </si>
  <si>
    <t>Market composition — by size class</t>
  </si>
  <si>
    <t>Size class (SqFt)</t>
  </si>
  <si>
    <t>10–25K</t>
  </si>
  <si>
    <t>5–10K</t>
  </si>
  <si>
    <t>&lt; 2.5K</t>
  </si>
  <si>
    <t>25–50K</t>
  </si>
  <si>
    <t>2.5–5K</t>
  </si>
  <si>
    <t>50K+</t>
  </si>
  <si>
    <t>Asset type × price bracket</t>
  </si>
  <si>
    <t>Total</t>
  </si>
  <si>
    <t>% share (within row)</t>
  </si>
  <si>
    <t>Asset type × size class (SqFt)</t>
  </si>
  <si>
    <t>Price bracket × size class (which sizes trade in which price bands)</t>
  </si>
  <si>
    <t>Multifamily unit-count mix (30 parsed — limited coverage)</t>
  </si>
  <si>
    <t>Units</t>
  </si>
  <si>
    <t>&lt; 10</t>
  </si>
  <si>
    <t>25–50</t>
  </si>
  <si>
    <t>Neighborhood mix — what each area is made of</t>
  </si>
  <si>
    <t>Share is within the neighborhood: e.g. what % of Area X is each asset type / price bracket / size class.</t>
  </si>
  <si>
    <t>Neighborhood × asset type</t>
  </si>
  <si>
    <t>Neighborhood × price bracket</t>
  </si>
  <si>
    <t>Neighborhood × size class (SqFt)</t>
  </si>
  <si>
    <t>Underpriced opportunities</t>
  </si>
  <si>
    <t>The comp-backed buy list. 'Why' explains each.</t>
  </si>
  <si>
    <t>Value</t>
  </si>
  <si>
    <t>Gap</t>
  </si>
  <si>
    <t>Why</t>
  </si>
  <si>
    <t>implied cap 16.08% vs 7.00% market (given assumed rents); 36% under comp $/sqft; asking ~56% below assumption value ($5.40M)</t>
  </si>
  <si>
    <t>implied cap 17.36% vs 8.00% market (given assumed rents); asking ~54% below assumption value ($4.33M)</t>
  </si>
  <si>
    <t>implied cap 14.70% vs 7.00% market (given assumed rents); 34% under comp $/sqft; asking ~52% below assumption value ($3.99M)</t>
  </si>
  <si>
    <t>implied cap 13.75% vs 6.75% market (given assumed rents); 42% under comp $/sqft; asking ~51% below assumption value ($1.53M)</t>
  </si>
  <si>
    <t>implied cap 13.03% vs 6.75% market (given assumed rents); 59% under comp $/sqft; asking ~48% below assumption value ($1.54M)</t>
  </si>
  <si>
    <t>implied cap 10.42% vs 5.50% market (given assumed rents); 55% under comp $/sqft; asking ~47% below assumption value ($2.46M)</t>
  </si>
  <si>
    <t>implied cap 13.61% vs 8.00% market (given assumed rents); 10% under comp $/sqft; asking ~41% below assumption value ($1.36M)</t>
  </si>
  <si>
    <t>implied cap 10.61% vs 6.75% market (given assumed rents); 25% under comp $/sqft; asking ~36% below assumption value ($1.65M)</t>
  </si>
  <si>
    <t>implied cap 10.59% vs 7.00% market (given assumed rents); 54% under comp $/sqft; asking ~34% below assumption value ($1.32M)</t>
  </si>
  <si>
    <t>implied cap 9.34% vs 6.25% market (given assumed rents); 27% under comp $/sqft; asking ~33% below assumption value ($2.62M)</t>
  </si>
  <si>
    <t>implied cap 8.02% vs 5.50% market (given assumed rents); 33% under comp $/sqft; asking ~31% below assumption value ($2.55M)</t>
  </si>
  <si>
    <t>implied cap 10.02% vs 7.00% market (given assumed rents); 21% under comp $/sqft; asking ~30% below assumption value ($4.15M)</t>
  </si>
  <si>
    <t>implied cap 12.11% vs 8.50% market (given assumed rents); asking ~30% below assumption value ($11.39M)</t>
  </si>
  <si>
    <t>implied cap 9.73% vs 7.00% market (given assumed rents); 44% under comp $/sqft; asking ~28% below assumption value ($1.36M)</t>
  </si>
  <si>
    <t>implied cap 9.32% vs 6.75% market (given assumed rents); 36% under comp $/sqft; asking ~28% below assumption value ($1.52M)</t>
  </si>
  <si>
    <t>implied cap 7.10% vs 5.50% market (given assumed rents); 15% under comp $/sqft; asking ~22% below assumption value ($1.81M)</t>
  </si>
  <si>
    <t>implied cap 6.79% vs 5.50% market (given assumed rents); 64% under comp $/sqft; asking ~19% below assumption value ($1.20M)</t>
  </si>
  <si>
    <t>implied cap 9.51% vs 8.50% market (given assumed rents); 25% under comp $/sqft; asking ~11% below assumption value ($6.71M)</t>
  </si>
  <si>
    <t>Prospects — failed listings &amp; overpriced actives</t>
  </si>
  <si>
    <t>Motivated owners to call.</t>
  </si>
  <si>
    <t>$/SqFt</t>
  </si>
  <si>
    <t>Comp $/SqFt</t>
  </si>
  <si>
    <t>Overpricing</t>
  </si>
  <si>
    <t>Leasing — asking rents &amp; data-derived caps</t>
  </si>
  <si>
    <t>244 lease listings (50 active, 41 leased). Implied cap = (lease÷sale gross yield) × (1−vac) × (1−opex).</t>
  </si>
  <si>
    <t>P25</t>
  </si>
  <si>
    <t>P75</t>
  </si>
  <si>
    <t>n</t>
  </si>
  <si>
    <t>Sale $/SF</t>
  </si>
  <si>
    <t>Implied cap</t>
  </si>
  <si>
    <t>Assumed cap</t>
  </si>
  <si>
    <t>Lease $/SqFt by submarket</t>
  </si>
  <si>
    <t>Leased</t>
  </si>
  <si>
    <t>Federal Hwy · Andrews Ave</t>
  </si>
  <si>
    <t>Ocean Blvd · Sunrise Blvd</t>
  </si>
  <si>
    <t>Federal Hwy · Sunrise Blvd</t>
  </si>
  <si>
    <t>Cordova Rd · Oakland Park Blvd</t>
  </si>
  <si>
    <t>Oakland Park Blvd · Dixie Hwy</t>
  </si>
  <si>
    <t>Davie Blvd · Oakland Park Blvd</t>
  </si>
  <si>
    <t>Federal Hwy · Oakland Park Blvd</t>
  </si>
  <si>
    <t>Federal Hwy</t>
  </si>
  <si>
    <t>Oakland Park Blvd · Wilton Dr</t>
  </si>
  <si>
    <t>Andrews Ave · Oakland Park Blvd</t>
  </si>
  <si>
    <t>Oakland Park Blvd</t>
  </si>
  <si>
    <t>SE 17th St</t>
  </si>
  <si>
    <t>Las Olas Blvd · SR-84</t>
  </si>
  <si>
    <t>SE 17th St · Andrews Ave</t>
  </si>
  <si>
    <t>Closed comps</t>
  </si>
  <si>
    <t>The closed sales behind every $/SqFt number.</t>
  </si>
  <si>
    <t>Built</t>
  </si>
  <si>
    <t>Price</t>
  </si>
  <si>
    <t>vs model</t>
  </si>
  <si>
    <t>708 Spangler Blvd Unit#BAY7</t>
  </si>
  <si>
    <t>Area 3050</t>
  </si>
  <si>
    <t>525 Antioch Avenue</t>
  </si>
  <si>
    <t>3015 N Ocean Boulevard Unit#C-105</t>
  </si>
  <si>
    <t>3015 N Ocean Blvd Unit#C120</t>
  </si>
  <si>
    <t>3015 N Ocean Boulevard Unit#C-101</t>
  </si>
  <si>
    <t>2615 SW 2nd Ave</t>
  </si>
  <si>
    <t>Area 3213</t>
  </si>
  <si>
    <t>1800 NW 9th Ave</t>
  </si>
  <si>
    <t>2780 E Oakland Park Boulevard</t>
  </si>
  <si>
    <t>2901 Middle River Drive</t>
  </si>
  <si>
    <t>16-20 NE 8th Avenue</t>
  </si>
  <si>
    <t>921 NE 16th Terrace</t>
  </si>
  <si>
    <t>1007 SE 2nd Court</t>
  </si>
  <si>
    <t>1521 SE 2nd Ct Unit#1-8</t>
  </si>
  <si>
    <t>560 NE 15th Avenue</t>
  </si>
  <si>
    <t>1310 NE 30th St Unit#1-5</t>
  </si>
  <si>
    <t>Area 3330</t>
  </si>
  <si>
    <t>1620 NE 12th Terrace Unit#1620-1630</t>
  </si>
  <si>
    <t>1823 - 1825 SW 1st Ave</t>
  </si>
  <si>
    <t>2300 NE 6th Avenue</t>
  </si>
  <si>
    <t>1515 NE 26th Street</t>
  </si>
  <si>
    <t>901 NE 30th Court</t>
  </si>
  <si>
    <t>2435 N Dixie Hwy</t>
  </si>
  <si>
    <t>2435 N Dixie Highway</t>
  </si>
  <si>
    <t>3031 NE 21st Ter Unit#1-7</t>
  </si>
  <si>
    <t>2132-2200 E Oakland Park Boulevard</t>
  </si>
  <si>
    <t>2420-2426 N Dixie Hwy</t>
  </si>
  <si>
    <t>2520 N Dixie Highway</t>
  </si>
  <si>
    <t>2032 NE 26th Street Unit#1-6</t>
  </si>
  <si>
    <t>1200 NE 7th Avenue Unit#6</t>
  </si>
  <si>
    <t>1350 NE 5th Ter Unit#1-28</t>
  </si>
  <si>
    <t>1215-1221 NE 17th Avenue</t>
  </si>
  <si>
    <t>1241 NE 16th Terrace</t>
  </si>
  <si>
    <t>1129 NE 16th Avenue Unit#1-5</t>
  </si>
  <si>
    <t>1200 NE 7th Avenue Unit#1</t>
  </si>
  <si>
    <t>1211 NE 4th Avenue</t>
  </si>
  <si>
    <t>1100 NE 4th Ave Unit#1-2</t>
  </si>
  <si>
    <t>723 NW 6th Avenue</t>
  </si>
  <si>
    <t>701 NW 7th Terrace</t>
  </si>
  <si>
    <t>1448 NW 6th Street</t>
  </si>
  <si>
    <t>111 W Davie Boulevard</t>
  </si>
  <si>
    <t>1851 SW 2nd Ave Unit#8</t>
  </si>
  <si>
    <t>1320 SW 26th St</t>
  </si>
  <si>
    <t>1620 SW 3 Avenue</t>
  </si>
  <si>
    <t>516 SW Flagler Avenue</t>
  </si>
  <si>
    <t>515 SW 1st Avenue</t>
  </si>
  <si>
    <t>632 SW 4th Avenue</t>
  </si>
  <si>
    <t>708 SE 17th Street</t>
  </si>
  <si>
    <t>2301 S Andrews Avenue</t>
  </si>
  <si>
    <t>1085 SE 17th St</t>
  </si>
  <si>
    <t>1085 SE 17th Street</t>
  </si>
  <si>
    <t>601 NW 22 RD</t>
  </si>
  <si>
    <t>Area 3650</t>
  </si>
  <si>
    <t>735 &amp; 745 NE &amp; 745 5th Avenue Unit#1-5</t>
  </si>
  <si>
    <t>201 SE 2nd Street</t>
  </si>
  <si>
    <t>412 N Andrews Ave</t>
  </si>
  <si>
    <t>1514 NE 4th Avenue</t>
  </si>
  <si>
    <t>1133 SE 4th Avenue</t>
  </si>
  <si>
    <t>130 SE 29th Street</t>
  </si>
  <si>
    <t>1314 SE 1st Ave</t>
  </si>
  <si>
    <t>100 SE 20th Street</t>
  </si>
  <si>
    <t>217 SE 10th St</t>
  </si>
  <si>
    <t>215 SW 17th St</t>
  </si>
  <si>
    <t>808 W Broward Boulevard</t>
  </si>
  <si>
    <t>721 NW 3rd Ave</t>
  </si>
  <si>
    <t>2901 SW 3rd Ave Unit#4</t>
  </si>
  <si>
    <t>Unknown</t>
  </si>
  <si>
    <t>Market context — researched benchmarks</t>
  </si>
  <si>
    <t>External Broward / Fort Lauderdale benchmarks, 2024–2025 (some Q1 2026); curated 2026-07-29. The market backdrop to compare your data against — verify before quoting a specific deal.</t>
  </si>
  <si>
    <t>Benchmarks by asset class</t>
  </si>
  <si>
    <t>Cap</t>
  </si>
  <si>
    <t>Rent</t>
  </si>
  <si>
    <t>Vacancy</t>
  </si>
  <si>
    <t>Trend</t>
  </si>
  <si>
    <t>4.7–5.4% (A ~4.74% · B ~4.92% · C ~5.38%); ~5.6% blended, Yardi ~6.3%</t>
  </si>
  <si>
    <t>priced per unit; ~$359,437/unit avg (2025 YTD)</t>
  </si>
  <si>
    <t>~$300–450/SF on value-add product; per-unit is the metric</t>
  </si>
  <si>
    <t>~7.9% (buildings 50+ units, Q3 2025)</t>
  </si>
  <si>
    <t>Ranked #1 of 30 US markets for MF investment profitability; ~$1.8B annual volume; A/B cap compression, C softer. Live Local Act driving density.</t>
  </si>
  <si>
    <t>~6.75–8.0%</t>
  </si>
  <si>
    <t>$41.60/SF full-service overall (record high); Class A $46.74/SF; medical ~$34–36/SF</t>
  </si>
  <si>
    <t>closed $196–442/SF (Plantation Place ~$196; Las Olas Centre trophy $442)</t>
  </si>
  <si>
    <t>~12.3% (Broward, Q4 2025)</t>
  </si>
  <si>
    <t>Flight-to-quality — post-2010 buildings hold occupancy while the market runs negative absorption; record asking rents; medical/healthcare growing.</t>
  </si>
  <si>
    <t>~6.0–6.1%</t>
  </si>
  <si>
    <t>$27.59/SF NNN Broward; Fort Lauderdale ~$36/SF; prime Las Olas/Downtown $50–75/SF</t>
  </si>
  <si>
    <t>closed ~$391/SF (RK Centers, Riverbend, Dec 2025); listings avg ~$630/SF</t>
  </si>
  <si>
    <t>~3.8–3.9% (very tight)</t>
  </si>
  <si>
    <t>Sub-4% vacancy, little new supply, grocery-anchored &amp; infill centers in demand; absorption limited by scarce space, not weak demand.</t>
  </si>
  <si>
    <t>~6.0–6.3% (South FL)</t>
  </si>
  <si>
    <t>~$16/SF NNN (Fort Lauderdale ~$16.22); small-bay/flex $18–30/SF NNN</t>
  </si>
  <si>
    <t>~$150–300/SF (well-located Broward warehouse)</t>
  </si>
  <si>
    <t>~4.0–5.5% (rising on new supply)</t>
  </si>
  <si>
    <t>Record pipeline concentrated in Pompano; small-bay/flex tight while big-box distribution absorbs slowly.</t>
  </si>
  <si>
    <t>~7.8%</t>
  </si>
  <si>
    <t>ADR $129 (summer trough) to ~$240 peak; per key ~$273,831</t>
  </si>
  <si>
    <t>priced per key (~$274K/key), not per SF</t>
  </si>
  <si>
    <t>occupancy ~55% (summer) to 72–85% (peak/annual, destination-wide)</t>
  </si>
  <si>
    <t>801-room Omni + Whitfield/Auberge underway; beachfront commands a clear ADR premium; tourism/TDT revenue near record.</t>
  </si>
  <si>
    <t>~6.0–6.75% (blends retail/MF)</t>
  </si>
  <si>
    <t>ground-floor retail $27–75/SF NNN + residential above</t>
  </si>
  <si>
    <t>varies with the residential/retail split</t>
  </si>
  <si>
    <t>tracks its retail (sub-4%) and MF (~8%) components</t>
  </si>
  <si>
    <t>The dominant new-development format downtown (Live Local density bonuses).</t>
  </si>
  <si>
    <t>Construction (hard $/SqFt)</t>
  </si>
  <si>
    <t>Multifamily — garden / wood (1–3 story)</t>
  </si>
  <si>
    <t>$170–200/SF</t>
  </si>
  <si>
    <t>Multifamily — mid-rise podium (5-over-1)</t>
  </si>
  <si>
    <t>$200–275/SF</t>
  </si>
  <si>
    <t>Multifamily — high-rise (concrete tower)</t>
  </si>
  <si>
    <t>$400–675/SF</t>
  </si>
  <si>
    <t>$200–575/SF (Class A $350–575)</t>
  </si>
  <si>
    <t>Retail / strip center</t>
  </si>
  <si>
    <t>$245–415/SF (standalone store ~$180/SF)</t>
  </si>
  <si>
    <t>Industrial / warehouse (tilt-up)</t>
  </si>
  <si>
    <t>$156–234/SF</t>
  </si>
  <si>
    <t>$150–250 economy · $250–400 midscale · $400–600+/SF luxury</t>
  </si>
  <si>
    <t>Renovation / rehab</t>
  </si>
  <si>
    <t>Multifamily — light reno (paint/floors/fixtures)</t>
  </si>
  <si>
    <t>$15,000–25,000/unit</t>
  </si>
  <si>
    <t>Multifamily — moderate (kitchen/bath/appliances)</t>
  </si>
  <si>
    <t>$25,000–45,000/unit</t>
  </si>
  <si>
    <t>Multifamily — heavy / gut (systems)</t>
  </si>
  <si>
    <t>$45,000–65,000+/unit</t>
  </si>
  <si>
    <t>Office tenant improvement (Miami)</t>
  </si>
  <si>
    <t>~$122/SF (Class A $135–150 · Class B $90–120)</t>
  </si>
  <si>
    <t>Retail tenant improvement</t>
  </si>
  <si>
    <t>$40–300/SF (restaurant $200–500/SF)</t>
  </si>
  <si>
    <t>Florida cost adders</t>
  </si>
  <si>
    <t>Soft costs</t>
  </si>
  <si>
    <t>15–30% of hard costs</t>
  </si>
  <si>
    <t>HVHZ hurricane-code premium (Broward/Miami-Dade)</t>
  </si>
  <si>
    <t>+10–15% of construction cost</t>
  </si>
  <si>
    <t>Builders-risk insurance (during build)</t>
  </si>
  <si>
    <t>1–5% of value; coastal within ~1 mi 2–3×</t>
  </si>
  <si>
    <t>Impact fees (Miami-Dade example)</t>
  </si>
  <si>
    <t>~$7,500/MF unit · ~$13/SF commercial</t>
  </si>
  <si>
    <t>Cost escalation (2025)</t>
  </si>
  <si>
    <t>~+4–5.5%/yr (Turner index; RLB Miami +4.7–5.5% YoY)</t>
  </si>
  <si>
    <t>Land basis</t>
  </si>
  <si>
    <t>Commercial land (small infill)</t>
  </si>
  <si>
    <t>~$944/SF (avg parcel ~6,700 SF); ~$4.04M/acre</t>
  </si>
  <si>
    <t>Downtown per-buildable-unit land</t>
  </si>
  <si>
    <t>~$82,000/unit (200 W Broward, 381 units, 2024)</t>
  </si>
  <si>
    <t>Near-downtown per-unit land</t>
  </si>
  <si>
    <t>~$38,000/unit (2125 S Andrews 'The Era', 400 units, 2024)</t>
  </si>
  <si>
    <t>Flagler Village per-unit land</t>
  </si>
  <si>
    <t>~$43,650/unit (Advantis assemblage, 252 units)</t>
  </si>
  <si>
    <t>Waterfront luxury per-unit land</t>
  </si>
  <si>
    <t>~$420,000/unit (900 Intracoastal 'Sage', 44 units, 2024)</t>
  </si>
  <si>
    <t>Flagler Village land $/SF</t>
  </si>
  <si>
    <t>$126–267/land SF (2024 comps)</t>
  </si>
  <si>
    <t>Stabilized MF (residual-land context)</t>
  </si>
  <si>
    <t>2025 YTD $359,437/unit @ $268/SF, ~$2,760/unit rent, 91.7% occ</t>
  </si>
  <si>
    <t>Waterfront &amp; dockage</t>
  </si>
  <si>
    <t>Waterfront premium</t>
  </si>
  <si>
    <t>direct/unobstructed water access sells ~30–50% above comparable dry-lot</t>
  </si>
  <si>
    <t>Waterfront land</t>
  </si>
  <si>
    <t>~$4.84M/acre vs ~$4.04M/acre general commercial</t>
  </si>
  <si>
    <t>Deep-water value driver</t>
  </si>
  <si>
    <t>6 ft+ at mean low tide (8–12 ft for large vessels), NO fixed bridges, point lots = top value</t>
  </si>
  <si>
    <t>Pricing convention</t>
  </si>
  <si>
    <t>per linear foot of frontage, adjusted for depth, bridge clearance, seawall/dock</t>
  </si>
  <si>
    <t>Seawall cost</t>
  </si>
  <si>
    <t>~$500–1,000/linear foot</t>
  </si>
  <si>
    <t>Marina slip rental</t>
  </si>
  <si>
    <t>~$25/ft/month</t>
  </si>
  <si>
    <t>Marina land comp</t>
  </si>
  <si>
    <t>Lauderdale Marine Center (~60 ac) $340M in 2021 ≈ $5.67M/acre</t>
  </si>
  <si>
    <t>Insurance</t>
  </si>
  <si>
    <t>MF insurance (Fort Lauderdale)</t>
  </si>
  <si>
    <t>~$1,430/unit/yr (+53% YoY, 2024)</t>
  </si>
  <si>
    <t>FL MF trend</t>
  </si>
  <si>
    <t>~$800 → ~$2,000/unit over two years (+150%)</t>
  </si>
  <si>
    <t>Per SqFt</t>
  </si>
  <si>
    <t>$0.50–3.00/SF/yr (condo towers ~$0.23–0.26/SF/month)</t>
  </si>
  <si>
    <t>Effect on value</t>
  </si>
  <si>
    <t>insurance ~7% of opex but ~17% of expense growth since 2019 → compresses NOI, expands caps; FL values −6.8%</t>
  </si>
  <si>
    <t>Flood (NFIP)</t>
  </si>
  <si>
    <t>avg ~$938/yr; Zone AE $300–500K property ~$1,500–3,500/yr; VE = coastal high-hazard; Broward maps updated Jul 2024</t>
  </si>
  <si>
    <t>Incentives</t>
  </si>
  <si>
    <t>Opportunity Zones</t>
  </si>
  <si>
    <t>Broward 30 tracts / Fort Lauderdale 10 — prime: Flagler Village, 13th St/Progresso, Sistrunk</t>
  </si>
  <si>
    <t>NPF-CRA</t>
  </si>
  <si>
    <t>Northwest–Progresso–Flagler Heights CRA grant/incentive programs; plan amended 2025</t>
  </si>
  <si>
    <t>Live Local Act (SB 102)</t>
  </si>
  <si>
    <t>by-right MF on commercial/industrial if ≥40% units ≤120% AMI; density = highest in jurisdiction, height = highest within 1 mi; 75–100% property-tax exemption on affordable units</t>
  </si>
  <si>
    <t>Neighborhood playbook</t>
  </si>
  <si>
    <t>Area 3600 → 17th Street Causeway / Harbor Beach / SE</t>
  </si>
  <si>
    <t>The marine &amp; yachting-services heart of the market — and increasingly a waterfront redevelopment target.  RECENT: The Quay (1515 SE 17th) — Related/BH/PEBB bought the ~7-acre waterfront marina/retail site for $48.5M (2024) and won approval for a 521-unit tower (40% workforce, Live Local). F3 Marina automated drystack completed.  PLAY: Waterfront/marina redevelopment; dockage value; Live Local density on the water.</t>
  </si>
  <si>
    <t>Area 3810 → Sistrunk / Progresso / Northwest</t>
  </si>
  <si>
    <t>A CRA-driven, largely opportunity-zone corridor where public subsidy is catalyzing affordable/workforce and mixed-use redevelopment.  RECENT: The Aldridge &amp; The Laramore — ~$42M, 72-unit mixed-use with retail at 1204 Sistrunk. NPF-CRA plan runs to 2035 with construction/façade incentives.  PLAY: Low basis vs downtown; land assembly on the OZ + CRA-incentive angle; Flagler Village spillover.</t>
  </si>
  <si>
    <t>Area 3380 → Wilton Manors</t>
  </si>
  <si>
    <t>A walkable, affluent arts-and-entertainment node (Wilton Drive) drawing its first mid-rise projects.  RECENT: Stiles bought the Shoppes of Wilton Manors (78,600 SF) for $27.6M (Dec 2024), pursuing an 82-unit rezoning; Kaplan's Generation proposes ~190 units.  PLAY: Retail redevelopment; constrained supply; strong restaurant/retail demand.</t>
  </si>
  <si>
    <t>Area 3370 → Oakland Park</t>
  </si>
  <si>
    <t>One of Broward's fastest-emerging urban-infill submarkets, led by public placemaking.  RECENT: Culinary Arts District (NE 12th Ave) restaurant/distillery corridor; new City Hall mixed-use (2025); 6-acre Horizon redevelopment of the old City Hall site.  PLAY: Infill mixed-use, older-industrial repositioning; CRA incentives; attractive basis.</t>
  </si>
  <si>
    <t>Area 3500 → Downtown / Flagler Village</t>
  </si>
  <si>
    <t>The region's most active development submarket — a former warehouse district now dense with high-rise multifamily, creative office and ground-floor retail.  RECENT: FAT Village — Hines/Urban Street ~$500M, ~600 units + the region's first mass-timber office, topping off 2025, delivery mid-2026. Gallery at Flagler Village (263 units) queued. Class A office asking low-$40s/SF.  PLAY: Development &amp; land assembly; Live Local density bonuses; office repositioning.</t>
  </si>
  <si>
    <t>Area 3800 → Downtown / Flagler Village</t>
  </si>
  <si>
    <t>Area 3470 → Las Olas</t>
  </si>
  <si>
    <t>Broward's premier office / CBD address — law, finance and wealth-management tenancy.  RECENT: 2025 delivered the two largest office trades in a decade: Las Olas Centre I &amp; II $208M (~$442/SF, Bradford Allen) and Bank of America Plaza at 401 E Las Olas ~$220M (Lone Star/Highline/Square2).  PLAY: Trophy office, repositioning, ground-floor retail at $50–75/SF.</t>
  </si>
  <si>
    <t>Area 3460 → Sistrunk / Progresso / Northwest</t>
  </si>
  <si>
    <t>Area 3160 → Fort Lauderdale Beach</t>
  </si>
  <si>
    <t>The barrier-island beach market — hospitality, beachfront retail and boutique commercial/condo, where waterfront and ocean views drive a clear premium.  RECENT: Hotel product trades ~$274K/key with a beachfront ADR premium; retail/mixed commercial along the A1A / Ocean Blvd corridor.  PLAY: Hospitality &amp; beachfront retail; premium land; tourism demand.</t>
  </si>
  <si>
    <t>Sources</t>
  </si>
  <si>
    <t>Multifamily — CBRE (Calum Weaver) Fort Lauderdale submarket report 2024–25</t>
  </si>
  <si>
    <t>Fort Lauderdale #1 MF profitability (Yardi Matrix / MIAMI REALTORS, Oct 2025)</t>
  </si>
  <si>
    <t>Office &amp; Retail — Colliers Broward Q4 2025</t>
  </si>
  <si>
    <t>Retail — Colliers Broward Q4 2025</t>
  </si>
  <si>
    <t>Office/Retail — Matthews Fort Lauderdale reports 2025</t>
  </si>
  <si>
    <t>Las Olas Centre $442/SF sale (CRE-Sources, Feb 2025)</t>
  </si>
  <si>
    <t>401 E Las Olas / BofA tower ~$220M (The Real Deal, Feb 2025)</t>
  </si>
  <si>
    <t>The Quay waterfront $48.5M (Commercial Observer, 2024)</t>
  </si>
  <si>
    <t>Industrial — CBRE Broward Q1 2025</t>
  </si>
  <si>
    <t>Industrial — JLL Broward Q1 2025</t>
  </si>
  <si>
    <t>Hotel — Matthews Fort Lauderdale Hospitality Q3 2025</t>
  </si>
  <si>
    <t>Construction cost — RSMeans</t>
  </si>
  <si>
    <t>Construction escalation — Turner Building Cost Index 2025</t>
  </si>
  <si>
    <t>Construction escalation — RLB North America Q3 2025</t>
  </si>
  <si>
    <t>Office/retail TI &amp; rehab — Terrapin CG / CommercialCafe 2024–26</t>
  </si>
  <si>
    <t>HVHZ &amp; builders-risk — Bridgeway Insurance 2026</t>
  </si>
  <si>
    <t>Land values — LandSearch Fort Lauderdale</t>
  </si>
  <si>
    <t>Per-unit land — The Real Deal / bldup 2024</t>
  </si>
  <si>
    <t>Waterfront pricing — Gilles Rais Fine Homes 2026</t>
  </si>
  <si>
    <t>MF insurance — Matthews Florida Multifamily 2024–25</t>
  </si>
  <si>
    <t>Flood insurance — Harbour Insurance / NerdWallet 2026</t>
  </si>
  <si>
    <t>Opportunity Zones — Greater Fort Lauderdale Alliance</t>
  </si>
  <si>
    <t>Live Local Act — Holland &amp; Knight 2023</t>
  </si>
  <si>
    <t>Submarkets — Florida YIMBY / The Real Deal / SFBJ 2024–25</t>
  </si>
  <si>
    <t>Income assumptions (edit the yellow cells)</t>
  </si>
  <si>
    <t>The export has no income. These per-asset-class norms turn size into NOI. Implied cap = NOI ÷ price on the type's median $/SqFt; it recomputes when you edit an input.</t>
  </si>
  <si>
    <t>Rent $/SqFt</t>
  </si>
  <si>
    <t>Vacancy %</t>
  </si>
  <si>
    <t>Opex % EGI</t>
  </si>
  <si>
    <t>Market cap %</t>
  </si>
  <si>
    <t>Mkt rent (comps)</t>
  </si>
  <si>
    <t>Conf</t>
  </si>
  <si>
    <t>High</t>
  </si>
  <si>
    <t>Indicative</t>
  </si>
  <si>
    <t>Med</t>
  </si>
  <si>
    <t>'Mkt rent (comps)' is the median asking lease rate from the lease listings — where present, consider replacing the assumed Rent $/SqFt with it.</t>
  </si>
  <si>
    <t>Underwrite — Multifamily deal (edit the yellow cells)</t>
  </si>
  <si>
    <t>NOI is BUILT from the income assumptions (no income in the source). Change any yellow input — rents, cap, LTV, rate, exit — and every output plus the 10-yr cash flow and exit-cap sensitivity recompute.</t>
  </si>
  <si>
    <t>DEAL</t>
  </si>
  <si>
    <t>Purchase price ($)</t>
  </si>
  <si>
    <t>Size (SqFt)</t>
  </si>
  <si>
    <t>INCOME ASSUMPTIONS</t>
  </si>
  <si>
    <t>Rent $/SqFt/yr</t>
  </si>
  <si>
    <t>Vacancy (%)</t>
  </si>
  <si>
    <t>Opex (% of EGI)</t>
  </si>
  <si>
    <t>Market cap (%)</t>
  </si>
  <si>
    <t>FINANCING</t>
  </si>
  <si>
    <t>Loan-to-value (%)</t>
  </si>
  <si>
    <t>Interest rate (%)</t>
  </si>
  <si>
    <t>Amortization (yrs)</t>
  </si>
  <si>
    <t>Rate shift (bps)</t>
  </si>
  <si>
    <t>EXIT &amp; GROWTH</t>
  </si>
  <si>
    <t>Exit cap (%)</t>
  </si>
  <si>
    <t>Rent growth (%/yr)</t>
  </si>
  <si>
    <t>Expense growth (%/yr)</t>
  </si>
  <si>
    <t>Hold (yrs, ≤10)</t>
  </si>
  <si>
    <t>Selling costs (%)</t>
  </si>
  <si>
    <t>Acquisition costs (%)</t>
  </si>
  <si>
    <t>LIVE OUTPUTS</t>
  </si>
  <si>
    <t>In-place EGI</t>
  </si>
  <si>
    <t>In-place NOI</t>
  </si>
  <si>
    <t>Going-in cap</t>
  </si>
  <si>
    <t>Value @ market cap</t>
  </si>
  <si>
    <t>Effective rate</t>
  </si>
  <si>
    <t>Loan</t>
  </si>
  <si>
    <t>Equity (incl. costs)</t>
  </si>
  <si>
    <t>Annual debt service</t>
  </si>
  <si>
    <t>DSCR</t>
  </si>
  <si>
    <t>Debt yield</t>
  </si>
  <si>
    <t>Year-1 cash-on-cash</t>
  </si>
  <si>
    <t>Exit NOI (@ hold)</t>
  </si>
  <si>
    <t>Exit value</t>
  </si>
  <si>
    <t>Loan balance @ exit</t>
  </si>
  <si>
    <t>Net sale proceeds</t>
  </si>
  <si>
    <t>Levered IRR</t>
  </si>
  <si>
    <t>Equity multiple</t>
  </si>
  <si>
    <t>10-year levered cash flow</t>
  </si>
  <si>
    <t>Year</t>
  </si>
  <si>
    <t>EGI</t>
  </si>
  <si>
    <t>Expenses</t>
  </si>
  <si>
    <t>NOI</t>
  </si>
  <si>
    <t>Debt service</t>
  </si>
  <si>
    <t>Op cash flow</t>
  </si>
  <si>
    <t>Levered CF</t>
  </si>
  <si>
    <t>Sensitivity to exit cap</t>
  </si>
  <si>
    <t>Exit cap</t>
  </si>
  <si>
    <t>Net proceeds</t>
  </si>
  <si>
    <t>Asset types — $/SqFt &amp; assumed income</t>
  </si>
  <si>
    <t>Median $/SqFt (factual) + default assumptions.</t>
  </si>
  <si>
    <t>Sold</t>
  </si>
  <si>
    <t>Mkt rent</t>
  </si>
  <si>
    <t>Vac</t>
  </si>
  <si>
    <t>Opex</t>
  </si>
  <si>
    <t>Mkt cap</t>
  </si>
  <si>
    <t>Absorption &amp; segments</t>
  </si>
  <si>
    <t>Months of supply = live / (closed per month); closed assumed to span 18 months (no dates in export — set CRE_SOLD_MONTHS).</t>
  </si>
  <si>
    <t>Live</t>
  </si>
</sst>
</file>

<file path=xl/styles.xml><?xml version="1.0" encoding="utf-8"?>
<styleSheet xmlns="http://schemas.openxmlformats.org/spreadsheetml/2006/main">
  <numFmts count="9">
    <numFmt numFmtId="164" formatCode="#,##0"/>
    <numFmt numFmtId="165" formatCode="$#,##0"/>
    <numFmt numFmtId="166" formatCode="0.00%"/>
    <numFmt numFmtId="167" formatCode="+0.0;-0.0"/>
    <numFmt numFmtId="168" formatCode="0.0"/>
    <numFmt numFmtId="169" formatCode="0.0&quot;%&quot;"/>
    <numFmt numFmtId="170" formatCode="0%"/>
    <numFmt numFmtId="171" formatCode="0.00&quot;×&quot;"/>
    <numFmt numFmtId="172" formatCode="0.0%"/>
  </numFmts>
  <fonts count="8">
    <font>
      <sz val="11"/>
      <color theme="1"/>
      <name val="Calibri"/>
      <family val="2"/>
      <scheme val="minor"/>
    </font>
    <font>
      <b/>
      <sz val="16"/>
      <color rgb="FF1F2A37"/>
      <name val="Calibri"/>
      <family val="2"/>
      <scheme val="minor"/>
    </font>
    <font>
      <i/>
      <sz val="10"/>
      <color rgb="FF7A786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2F6F9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2F6F9F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2A37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2F6F9F"/>
        <bgColor indexed="64"/>
      </patternFill>
    </fill>
    <fill>
      <patternFill patternType="solid">
        <fgColor rgb="FFEEF5FC"/>
        <bgColor indexed="64"/>
      </patternFill>
    </fill>
  </fills>
  <borders count="5">
    <border>
      <left/>
      <right/>
      <top/>
      <bottom/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rgb="FFECEBE4"/>
      </left>
      <right style="thin">
        <color rgb="FFECEBE4"/>
      </right>
      <top style="thin">
        <color rgb="FFECEBE4"/>
      </top>
      <bottom style="thin">
        <color rgb="FFECEBE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9CF9A"/>
      </left>
      <right style="thin">
        <color rgb="FFD9CF9A"/>
      </right>
      <top style="thin">
        <color rgb="FFD9CF9A"/>
      </top>
      <bottom style="thin">
        <color rgb="FFD9CF9A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1" xfId="0" applyFont="1" applyBorder="1"/>
    <xf numFmtId="0" fontId="0" fillId="0" borderId="2" xfId="0" applyBorder="1" applyAlignment="1">
      <alignment vertical="top" wrapText="1"/>
    </xf>
    <xf numFmtId="0" fontId="4" fillId="0" borderId="1" xfId="0" applyFont="1" applyBorder="1"/>
    <xf numFmtId="0" fontId="5" fillId="2" borderId="3" xfId="0" applyFont="1" applyFill="1" applyBorder="1" applyAlignment="1">
      <alignment horizontal="center" vertical="center" wrapText="1"/>
    </xf>
    <xf numFmtId="164" fontId="0" fillId="0" borderId="2" xfId="0" applyNumberFormat="1" applyBorder="1" applyAlignment="1">
      <alignment horizontal="right"/>
    </xf>
    <xf numFmtId="165" fontId="0" fillId="0" borderId="2" xfId="0" applyNumberFormat="1" applyBorder="1" applyAlignment="1">
      <alignment horizontal="right"/>
    </xf>
    <xf numFmtId="166" fontId="0" fillId="0" borderId="2" xfId="0" applyNumberFormat="1" applyBorder="1" applyAlignment="1">
      <alignment horizontal="right"/>
    </xf>
    <xf numFmtId="0" fontId="0" fillId="0" borderId="2" xfId="0" applyBorder="1"/>
    <xf numFmtId="167" fontId="0" fillId="0" borderId="2" xfId="0" applyNumberFormat="1" applyBorder="1" applyAlignment="1">
      <alignment horizontal="right"/>
    </xf>
    <xf numFmtId="168" fontId="0" fillId="0" borderId="2" xfId="0" applyNumberFormat="1" applyBorder="1" applyAlignment="1">
      <alignment horizontal="right"/>
    </xf>
    <xf numFmtId="0" fontId="0" fillId="0" borderId="1" xfId="0" applyBorder="1" applyAlignment="1">
      <alignment vertical="center"/>
    </xf>
    <xf numFmtId="169" fontId="0" fillId="0" borderId="2" xfId="0" applyNumberFormat="1" applyBorder="1" applyAlignment="1">
      <alignment horizontal="right"/>
    </xf>
    <xf numFmtId="0" fontId="6" fillId="0" borderId="0" xfId="0" applyFont="1"/>
    <xf numFmtId="165" fontId="0" fillId="3" borderId="4" xfId="0" applyNumberFormat="1" applyFill="1" applyBorder="1" applyAlignment="1">
      <alignment horizontal="right"/>
    </xf>
    <xf numFmtId="170" fontId="0" fillId="3" borderId="4" xfId="0" applyNumberFormat="1" applyFill="1" applyBorder="1" applyAlignment="1">
      <alignment horizontal="right"/>
    </xf>
    <xf numFmtId="166" fontId="0" fillId="3" borderId="4" xfId="0" applyNumberFormat="1" applyFill="1" applyBorder="1" applyAlignment="1">
      <alignment horizontal="right"/>
    </xf>
    <xf numFmtId="166" fontId="3" fillId="0" borderId="1" xfId="0" applyNumberFormat="1" applyFont="1" applyBorder="1" applyAlignment="1">
      <alignment horizontal="right"/>
    </xf>
    <xf numFmtId="0" fontId="5" fillId="4" borderId="3" xfId="0" applyFont="1" applyFill="1" applyBorder="1"/>
    <xf numFmtId="165" fontId="3" fillId="3" borderId="4" xfId="0" applyNumberFormat="1" applyFont="1" applyFill="1" applyBorder="1" applyAlignment="1">
      <alignment horizontal="right"/>
    </xf>
    <xf numFmtId="165" fontId="0" fillId="0" borderId="1" xfId="0" applyNumberFormat="1" applyBorder="1" applyAlignment="1">
      <alignment horizontal="right"/>
    </xf>
    <xf numFmtId="164" fontId="3" fillId="3" borderId="4" xfId="0" applyNumberFormat="1" applyFont="1" applyFill="1" applyBorder="1" applyAlignment="1">
      <alignment horizontal="right"/>
    </xf>
    <xf numFmtId="165" fontId="3" fillId="5" borderId="1" xfId="0" applyNumberFormat="1" applyFont="1" applyFill="1" applyBorder="1" applyAlignment="1">
      <alignment horizontal="right"/>
    </xf>
    <xf numFmtId="170" fontId="3" fillId="3" borderId="4" xfId="0" applyNumberFormat="1" applyFont="1" applyFill="1" applyBorder="1" applyAlignment="1">
      <alignment horizontal="right"/>
    </xf>
    <xf numFmtId="166" fontId="3" fillId="3" borderId="4" xfId="0" applyNumberFormat="1" applyFont="1" applyFill="1" applyBorder="1" applyAlignment="1">
      <alignment horizontal="right"/>
    </xf>
    <xf numFmtId="171" fontId="3" fillId="0" borderId="1" xfId="0" applyNumberFormat="1" applyFont="1" applyBorder="1" applyAlignment="1">
      <alignment horizontal="right"/>
    </xf>
    <xf numFmtId="172" fontId="3" fillId="0" borderId="1" xfId="0" applyNumberFormat="1" applyFont="1" applyBorder="1" applyAlignment="1">
      <alignment horizontal="right"/>
    </xf>
    <xf numFmtId="1" fontId="3" fillId="3" borderId="4" xfId="0" applyNumberFormat="1" applyFont="1" applyFill="1" applyBorder="1" applyAlignment="1">
      <alignment horizontal="right"/>
    </xf>
    <xf numFmtId="164" fontId="0" fillId="0" borderId="1" xfId="0" applyNumberFormat="1" applyBorder="1" applyAlignment="1">
      <alignment horizontal="right"/>
    </xf>
    <xf numFmtId="166" fontId="7" fillId="0" borderId="2" xfId="0" applyNumberFormat="1" applyFont="1" applyBorder="1" applyAlignment="1">
      <alignment horizontal="right"/>
    </xf>
    <xf numFmtId="166" fontId="3" fillId="0" borderId="2" xfId="0" applyNumberFormat="1" applyFont="1" applyBorder="1" applyAlignment="1">
      <alignment horizontal="right"/>
    </xf>
    <xf numFmtId="170" fontId="0" fillId="0" borderId="2" xfId="0" applyNumberFormat="1" applyBorder="1" applyAlignment="1">
      <alignment horizontal="right"/>
    </xf>
  </cellXfs>
  <cellStyles count="1">
    <cellStyle name="Normal" xfId="0" builtinId="0"/>
  </cellStyles>
  <dxfs count="2">
    <dxf>
      <font>
        <b/>
        <color rgb="FF3F7D5A"/>
      </font>
    </dxf>
    <dxf>
      <font>
        <b/>
        <color rgb="FFB0473A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hyperlink" Target="https://mediaassets.cbre.com/-/media/project/cbre/shared-site/teams/united-states/ft-lauderdale/calum-weaver/fort-lauderdale-submarket-report--.pdf" TargetMode="External"/><Relationship Id="rId2" Type="http://schemas.openxmlformats.org/officeDocument/2006/relationships/hyperlink" Target="https://www.miamirealtors.com/2025/10/20/fort-lauderdale-ranked-no-1-in-multifamily-investment-profitability/" TargetMode="External"/><Relationship Id="rId3" Type="http://schemas.openxmlformats.org/officeDocument/2006/relationships/hyperlink" Target="https://www.colliers.com/en/research/ft-lauderdale/4q25-broward-county-office" TargetMode="External"/><Relationship Id="rId4" Type="http://schemas.openxmlformats.org/officeDocument/2006/relationships/hyperlink" Target="https://www.colliers.com/en/research/ft-lauderdale/4q25-broward-county-retail" TargetMode="External"/><Relationship Id="rId5" Type="http://schemas.openxmlformats.org/officeDocument/2006/relationships/hyperlink" Target="https://www.matthews.com/insights/fort-lauderdale-retail" TargetMode="External"/><Relationship Id="rId6" Type="http://schemas.openxmlformats.org/officeDocument/2006/relationships/hyperlink" Target="https://cre-sources.com/las-olas-centre-trades-for-442-psf/" TargetMode="External"/><Relationship Id="rId7" Type="http://schemas.openxmlformats.org/officeDocument/2006/relationships/hyperlink" Target="https://therealdeal.com/miami/2025/02/14/lone-star-funds-highline-square2-buy-fort-lauderdale-tower/" TargetMode="External"/><Relationship Id="rId8" Type="http://schemas.openxmlformats.org/officeDocument/2006/relationships/hyperlink" Target="https://commercialobserver.com/2024/05/related-bh-pebb-the-quay/" TargetMode="External"/><Relationship Id="rId9" Type="http://schemas.openxmlformats.org/officeDocument/2006/relationships/hyperlink" Target="https://www.cbre.com/insights/figures/broward-industrial-figures-q1-2025" TargetMode="External"/><Relationship Id="rId10" Type="http://schemas.openxmlformats.org/officeDocument/2006/relationships/hyperlink" Target="https://www.jll.com/en-us/insights/market-dynamics/broward-industrial" TargetMode="External"/><Relationship Id="rId11" Type="http://schemas.openxmlformats.org/officeDocument/2006/relationships/hyperlink" Target="https://www.matthews.com/insights/fort-lauderdale-fl-hospitality-report-q3-2025" TargetMode="External"/><Relationship Id="rId12" Type="http://schemas.openxmlformats.org/officeDocument/2006/relationships/hyperlink" Target="https://www.rsmeans.com/resources/how-much-does-it-cost-to-build-an-apartment-complex" TargetMode="External"/><Relationship Id="rId13" Type="http://schemas.openxmlformats.org/officeDocument/2006/relationships/hyperlink" Target="https://www.turnerconstruction.com/insights/turner-building-cost-index-shows-growth-in-q4-2025-amid-strong-data-center-and-manufacturing-demand" TargetMode="External"/><Relationship Id="rId14" Type="http://schemas.openxmlformats.org/officeDocument/2006/relationships/hyperlink" Target="https://www.rlb.com/americas/insight/rlb-construction-cost-report-north-america-q3-2025/" TargetMode="External"/><Relationship Id="rId15" Type="http://schemas.openxmlformats.org/officeDocument/2006/relationships/hyperlink" Target="https://www.commercialcafe.com/office-market-trends/us/fl/miami/" TargetMode="External"/><Relationship Id="rId16" Type="http://schemas.openxmlformats.org/officeDocument/2006/relationships/hyperlink" Target="https://bridgewayins.com/2026/05/05/builders-risk-insurance-florida/" TargetMode="External"/><Relationship Id="rId17" Type="http://schemas.openxmlformats.org/officeDocument/2006/relationships/hyperlink" Target="https://www.landsearch.com/commercial/fort-lauderdale-fl" TargetMode="External"/><Relationship Id="rId18" Type="http://schemas.openxmlformats.org/officeDocument/2006/relationships/hyperlink" Target="https://www.bldup.com/posts/development-site-in-downtown-fort-lauderdale-acquired-for-31-24-million" TargetMode="External"/><Relationship Id="rId19" Type="http://schemas.openxmlformats.org/officeDocument/2006/relationships/hyperlink" Target="https://gillesraisfinehomes.com/blog/how-fort-lauderdales-waterfront-micro-markets-shape-pricing" TargetMode="External"/><Relationship Id="rId20" Type="http://schemas.openxmlformats.org/officeDocument/2006/relationships/hyperlink" Target="https://www.matthews.com/insights/rising-multifamily-insurance-costs-in-2025" TargetMode="External"/><Relationship Id="rId21" Type="http://schemas.openxmlformats.org/officeDocument/2006/relationships/hyperlink" Target="https://harbourinsuranceagency.com/blog/florida-flood-zones-ae-vs-x-vs-ve-insurance-requirements-2026/" TargetMode="External"/><Relationship Id="rId22" Type="http://schemas.openxmlformats.org/officeDocument/2006/relationships/hyperlink" Target="https://www.gflalliance.org/news/2018/04/20/press-releases/gov.-scott-announces-30-low-tax-opportunity-zone-designations-for-fort-lauderdale-area/" TargetMode="External"/><Relationship Id="rId23" Type="http://schemas.openxmlformats.org/officeDocument/2006/relationships/hyperlink" Target="https://www.hklaw.com/en/insights/publications/2023/08/floridas-new-live-local-act-offers-land-use-and-tax-benefits" TargetMode="External"/><Relationship Id="rId24" Type="http://schemas.openxmlformats.org/officeDocument/2006/relationships/hyperlink" Target="https://floridayimby.com/2025/10/construction-progresses-on-500-million-fat-village-in-fort-lauderdales-flagler-village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29"/>
  <sheetViews>
    <sheetView showGridLines="0" tabSelected="1" workbookViewId="0"/>
  </sheetViews>
  <sheetFormatPr defaultRowHeight="15"/>
  <cols>
    <col min="1" max="1" width="24.7109375" customWidth="1"/>
    <col min="2" max="2" width="96.7109375" customWidth="1"/>
  </cols>
  <sheetData>
    <row r="1" spans="1:2">
      <c r="A1" s="1" t="s">
        <v>0</v>
      </c>
    </row>
    <row r="2" spans="1:2" ht="42" customHeight="1">
      <c r="A2" s="2" t="s">
        <v>1</v>
      </c>
      <c r="B2" s="2"/>
    </row>
    <row r="4" spans="1:2">
      <c r="A4" s="1" t="s">
        <v>2</v>
      </c>
    </row>
    <row r="5" spans="1:2" ht="28" customHeight="1">
      <c r="A5" s="3" t="s">
        <v>3</v>
      </c>
      <c r="B5" s="4" t="s">
        <v>4</v>
      </c>
    </row>
    <row r="6" spans="1:2" ht="28" customHeight="1">
      <c r="A6" s="3" t="s">
        <v>3</v>
      </c>
      <c r="B6" s="4" t="s">
        <v>5</v>
      </c>
    </row>
    <row r="7" spans="1:2" ht="28" customHeight="1">
      <c r="A7" s="3" t="s">
        <v>3</v>
      </c>
      <c r="B7" s="4" t="s">
        <v>6</v>
      </c>
    </row>
    <row r="8" spans="1:2" ht="28" customHeight="1">
      <c r="A8" s="3" t="s">
        <v>3</v>
      </c>
      <c r="B8" s="4" t="s">
        <v>7</v>
      </c>
    </row>
    <row r="9" spans="1:2" ht="28" customHeight="1">
      <c r="A9" s="3" t="s">
        <v>3</v>
      </c>
      <c r="B9" s="4" t="s">
        <v>8</v>
      </c>
    </row>
    <row r="10" spans="1:2" ht="28" customHeight="1">
      <c r="A10" s="3" t="s">
        <v>3</v>
      </c>
      <c r="B10" s="4" t="s">
        <v>9</v>
      </c>
    </row>
    <row r="11" spans="1:2" ht="28" customHeight="1">
      <c r="A11" s="3" t="s">
        <v>3</v>
      </c>
      <c r="B11" s="4" t="s">
        <v>10</v>
      </c>
    </row>
    <row r="13" spans="1:2">
      <c r="A13" s="1" t="s">
        <v>11</v>
      </c>
    </row>
    <row r="14" spans="1:2" ht="20" customHeight="1">
      <c r="A14" s="5" t="s">
        <v>12</v>
      </c>
      <c r="B14" s="4" t="s">
        <v>13</v>
      </c>
    </row>
    <row r="15" spans="1:2" ht="20" customHeight="1">
      <c r="A15" s="5" t="s">
        <v>14</v>
      </c>
      <c r="B15" s="4" t="s">
        <v>15</v>
      </c>
    </row>
    <row r="16" spans="1:2" ht="20" customHeight="1">
      <c r="A16" s="5" t="s">
        <v>16</v>
      </c>
      <c r="B16" s="4" t="s">
        <v>17</v>
      </c>
    </row>
    <row r="17" spans="1:2" ht="20" customHeight="1">
      <c r="A17" s="5" t="s">
        <v>18</v>
      </c>
      <c r="B17" s="4" t="s">
        <v>19</v>
      </c>
    </row>
    <row r="18" spans="1:2" ht="20" customHeight="1">
      <c r="A18" s="5" t="s">
        <v>20</v>
      </c>
      <c r="B18" s="4" t="s">
        <v>21</v>
      </c>
    </row>
    <row r="19" spans="1:2" ht="20" customHeight="1">
      <c r="A19" s="5" t="s">
        <v>22</v>
      </c>
      <c r="B19" s="4" t="s">
        <v>23</v>
      </c>
    </row>
    <row r="20" spans="1:2" ht="20" customHeight="1">
      <c r="A20" s="5" t="s">
        <v>24</v>
      </c>
      <c r="B20" s="4" t="s">
        <v>25</v>
      </c>
    </row>
    <row r="21" spans="1:2" ht="20" customHeight="1">
      <c r="A21" s="5" t="s">
        <v>26</v>
      </c>
      <c r="B21" s="4" t="s">
        <v>27</v>
      </c>
    </row>
    <row r="22" spans="1:2" ht="20" customHeight="1">
      <c r="A22" s="5" t="s">
        <v>28</v>
      </c>
      <c r="B22" s="4" t="s">
        <v>29</v>
      </c>
    </row>
    <row r="23" spans="1:2" ht="20" customHeight="1">
      <c r="A23" s="5" t="s">
        <v>30</v>
      </c>
      <c r="B23" s="4" t="s">
        <v>31</v>
      </c>
    </row>
    <row r="24" spans="1:2" ht="20" customHeight="1">
      <c r="A24" s="5" t="s">
        <v>32</v>
      </c>
      <c r="B24" s="4" t="s">
        <v>33</v>
      </c>
    </row>
    <row r="25" spans="1:2" ht="20" customHeight="1">
      <c r="A25" s="5" t="s">
        <v>34</v>
      </c>
      <c r="B25" s="4" t="s">
        <v>35</v>
      </c>
    </row>
    <row r="26" spans="1:2" ht="20" customHeight="1">
      <c r="A26" s="5" t="s">
        <v>36</v>
      </c>
      <c r="B26" s="4" t="s">
        <v>37</v>
      </c>
    </row>
    <row r="27" spans="1:2" ht="20" customHeight="1">
      <c r="A27" s="5" t="s">
        <v>38</v>
      </c>
      <c r="B27" s="4" t="s">
        <v>39</v>
      </c>
    </row>
    <row r="28" spans="1:2" ht="20" customHeight="1">
      <c r="A28" s="5" t="s">
        <v>40</v>
      </c>
      <c r="B28" s="4" t="s">
        <v>41</v>
      </c>
    </row>
    <row r="29" spans="1:2" ht="20" customHeight="1">
      <c r="A29" s="5" t="s">
        <v>42</v>
      </c>
      <c r="B29" s="4" t="s">
        <v>43</v>
      </c>
    </row>
  </sheetData>
  <mergeCells count="1">
    <mergeCell ref="A2:B2"/>
  </mergeCells>
  <hyperlinks>
    <hyperlink ref="A14" location="'Guide'!A1" display="Guide"/>
    <hyperlink ref="A15" location="'Key Takeaways'!A1" display="Key Takeaways"/>
    <hyperlink ref="A16" location="'Call List'!A1" display="Call List"/>
    <hyperlink ref="A17" location="'Neighborhoods'!A1" display="Neighborhoods"/>
    <hyperlink ref="A18" location="'Repricing'!A1" display="Repricing"/>
    <hyperlink ref="A19" location="'Segmentation'!A1" display="Segmentation"/>
    <hyperlink ref="A20" location="'Neighborhood Mix'!A1" display="Neighborhood Mix"/>
    <hyperlink ref="A21" location="'Opportunities'!A1" display="Opportunities"/>
    <hyperlink ref="A22" location="'Prospects'!A1" display="Prospects"/>
    <hyperlink ref="A23" location="'Leasing'!A1" display="Leasing"/>
    <hyperlink ref="A24" location="'Comps'!A1" display="Comps"/>
    <hyperlink ref="A25" location="'Market'!A1" display="Market"/>
    <hyperlink ref="A26" location="'Assumptions'!A1" display="Assumptions"/>
    <hyperlink ref="A27" location="'Scenario'!A1" display="Scenario"/>
    <hyperlink ref="A28" location="'Types'!A1" display="Types"/>
    <hyperlink ref="A29" location="'Absorption'!A1" display="Absorption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39"/>
  <sheetViews>
    <sheetView showGridLines="0" workbookViewId="0"/>
  </sheetViews>
  <sheetFormatPr defaultRowHeight="15"/>
  <cols>
    <col min="1" max="1" width="30.7109375" customWidth="1"/>
    <col min="2" max="2" width="112.7109375" customWidth="1"/>
  </cols>
  <sheetData>
    <row r="1" spans="1:2">
      <c r="A1" s="1" t="s">
        <v>44</v>
      </c>
    </row>
    <row r="2" spans="1:2" ht="24" customHeight="1">
      <c r="A2" s="2" t="s">
        <v>45</v>
      </c>
      <c r="B2" s="2"/>
    </row>
    <row r="4" spans="1:2">
      <c r="A4" s="1" t="s">
        <v>46</v>
      </c>
    </row>
    <row r="5" spans="1:2" ht="51" customHeight="1">
      <c r="A5" s="3" t="s">
        <v>47</v>
      </c>
      <c r="B5" s="4" t="s">
        <v>48</v>
      </c>
    </row>
    <row r="6" spans="1:2">
      <c r="A6" s="1" t="s">
        <v>49</v>
      </c>
    </row>
    <row r="7" spans="1:2" ht="36" customHeight="1">
      <c r="A7" s="3" t="s">
        <v>50</v>
      </c>
      <c r="B7" s="4" t="s">
        <v>51</v>
      </c>
    </row>
    <row r="8" spans="1:2" ht="36" customHeight="1">
      <c r="A8" s="3" t="s">
        <v>52</v>
      </c>
      <c r="B8" s="4" t="s">
        <v>53</v>
      </c>
    </row>
    <row r="9" spans="1:2">
      <c r="A9" s="1" t="s">
        <v>54</v>
      </c>
    </row>
    <row r="10" spans="1:2" ht="36" customHeight="1">
      <c r="A10" s="3" t="s">
        <v>55</v>
      </c>
      <c r="B10" s="4" t="s">
        <v>56</v>
      </c>
    </row>
    <row r="11" spans="1:2" ht="21" customHeight="1">
      <c r="A11" s="3" t="s">
        <v>57</v>
      </c>
      <c r="B11" s="4" t="s">
        <v>58</v>
      </c>
    </row>
    <row r="12" spans="1:2" ht="21" customHeight="1">
      <c r="A12" s="3" t="s">
        <v>59</v>
      </c>
      <c r="B12" s="4" t="s">
        <v>60</v>
      </c>
    </row>
    <row r="13" spans="1:2" ht="36" customHeight="1">
      <c r="A13" s="3" t="s">
        <v>61</v>
      </c>
      <c r="B13" s="4" t="s">
        <v>62</v>
      </c>
    </row>
    <row r="14" spans="1:2" ht="21" customHeight="1">
      <c r="A14" s="3" t="s">
        <v>63</v>
      </c>
      <c r="B14" s="4" t="s">
        <v>64</v>
      </c>
    </row>
    <row r="15" spans="1:2" ht="21" customHeight="1">
      <c r="A15" s="3" t="s">
        <v>65</v>
      </c>
      <c r="B15" s="4" t="s">
        <v>66</v>
      </c>
    </row>
    <row r="16" spans="1:2" ht="36" customHeight="1">
      <c r="A16" s="3" t="s">
        <v>67</v>
      </c>
      <c r="B16" s="4" t="s">
        <v>68</v>
      </c>
    </row>
    <row r="17" spans="1:2" ht="21" customHeight="1">
      <c r="A17" s="3" t="s">
        <v>69</v>
      </c>
      <c r="B17" s="4" t="s">
        <v>70</v>
      </c>
    </row>
    <row r="18" spans="1:2" ht="21" customHeight="1">
      <c r="A18" s="3" t="s">
        <v>71</v>
      </c>
      <c r="B18" s="4" t="s">
        <v>72</v>
      </c>
    </row>
    <row r="19" spans="1:2" ht="21" customHeight="1">
      <c r="A19" s="3" t="s">
        <v>73</v>
      </c>
      <c r="B19" s="4" t="s">
        <v>74</v>
      </c>
    </row>
    <row r="20" spans="1:2" ht="36" customHeight="1">
      <c r="A20" s="3" t="s">
        <v>75</v>
      </c>
      <c r="B20" s="4" t="s">
        <v>76</v>
      </c>
    </row>
    <row r="21" spans="1:2">
      <c r="A21" s="1" t="s">
        <v>77</v>
      </c>
    </row>
    <row r="22" spans="1:2" ht="21" customHeight="1">
      <c r="A22" s="3" t="s">
        <v>78</v>
      </c>
      <c r="B22" s="4" t="s">
        <v>79</v>
      </c>
    </row>
    <row r="23" spans="1:2" ht="36" customHeight="1">
      <c r="A23" s="3" t="s">
        <v>80</v>
      </c>
      <c r="B23" s="4" t="s">
        <v>81</v>
      </c>
    </row>
    <row r="24" spans="1:2" ht="36" customHeight="1">
      <c r="A24" s="3" t="s">
        <v>82</v>
      </c>
      <c r="B24" s="4" t="s">
        <v>83</v>
      </c>
    </row>
    <row r="25" spans="1:2">
      <c r="A25" s="1" t="s">
        <v>84</v>
      </c>
    </row>
    <row r="26" spans="1:2" ht="36" customHeight="1">
      <c r="A26" s="3" t="s">
        <v>85</v>
      </c>
      <c r="B26" s="4" t="s">
        <v>86</v>
      </c>
    </row>
    <row r="27" spans="1:2" ht="21" customHeight="1">
      <c r="A27" s="3" t="s">
        <v>87</v>
      </c>
      <c r="B27" s="4" t="s">
        <v>88</v>
      </c>
    </row>
    <row r="28" spans="1:2" ht="21" customHeight="1">
      <c r="A28" s="3" t="s">
        <v>89</v>
      </c>
      <c r="B28" s="4" t="s">
        <v>90</v>
      </c>
    </row>
    <row r="29" spans="1:2">
      <c r="A29" s="1" t="s">
        <v>91</v>
      </c>
    </row>
    <row r="30" spans="1:2" ht="26" customHeight="1">
      <c r="A30" s="2" t="s">
        <v>92</v>
      </c>
      <c r="B30" s="2"/>
    </row>
    <row r="31" spans="1:2" ht="36" customHeight="1">
      <c r="A31" s="3" t="s">
        <v>93</v>
      </c>
      <c r="B31" s="4" t="s">
        <v>94</v>
      </c>
    </row>
    <row r="32" spans="1:2" ht="36" customHeight="1">
      <c r="A32" s="3" t="s">
        <v>95</v>
      </c>
      <c r="B32" s="4" t="s">
        <v>96</v>
      </c>
    </row>
    <row r="33" spans="1:2" ht="36" customHeight="1">
      <c r="A33" s="3" t="s">
        <v>97</v>
      </c>
      <c r="B33" s="4" t="s">
        <v>98</v>
      </c>
    </row>
    <row r="34" spans="1:2" ht="21" customHeight="1">
      <c r="A34" s="3" t="s">
        <v>99</v>
      </c>
      <c r="B34" s="4" t="s">
        <v>100</v>
      </c>
    </row>
    <row r="35" spans="1:2" ht="51" customHeight="1">
      <c r="A35" s="3" t="s">
        <v>101</v>
      </c>
      <c r="B35" s="4" t="s">
        <v>102</v>
      </c>
    </row>
    <row r="36" spans="1:2" ht="36" customHeight="1">
      <c r="A36" s="3" t="s">
        <v>103</v>
      </c>
      <c r="B36" s="4" t="s">
        <v>104</v>
      </c>
    </row>
    <row r="37" spans="1:2">
      <c r="A37" s="1" t="s">
        <v>105</v>
      </c>
    </row>
    <row r="38" spans="1:2" ht="51" customHeight="1">
      <c r="A38" s="3" t="s">
        <v>106</v>
      </c>
      <c r="B38" s="4" t="s">
        <v>107</v>
      </c>
    </row>
    <row r="39" spans="1:2" ht="36" customHeight="1">
      <c r="A39" s="3" t="s">
        <v>108</v>
      </c>
      <c r="B39" s="4" t="s">
        <v>109</v>
      </c>
    </row>
  </sheetData>
  <mergeCells count="2">
    <mergeCell ref="A2:B2"/>
    <mergeCell ref="A30:B3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8"/>
  <sheetViews>
    <sheetView showGridLines="0" workbookViewId="0"/>
  </sheetViews>
  <sheetFormatPr defaultRowHeight="15"/>
  <cols>
    <col min="1" max="1" width="3.7109375" customWidth="1"/>
    <col min="2" max="2" width="112.7109375" customWidth="1"/>
  </cols>
  <sheetData>
    <row r="1" spans="1:2">
      <c r="B1" s="1" t="s">
        <v>110</v>
      </c>
    </row>
    <row r="3" spans="1:2" ht="30" customHeight="1">
      <c r="A3" s="3" t="s">
        <v>3</v>
      </c>
      <c r="B3" s="4" t="s">
        <v>111</v>
      </c>
    </row>
    <row r="4" spans="1:2" ht="30" customHeight="1">
      <c r="A4" s="3" t="s">
        <v>3</v>
      </c>
      <c r="B4" s="4" t="s">
        <v>112</v>
      </c>
    </row>
    <row r="5" spans="1:2" ht="30" customHeight="1">
      <c r="A5" s="3" t="s">
        <v>3</v>
      </c>
      <c r="B5" s="4" t="s">
        <v>113</v>
      </c>
    </row>
    <row r="6" spans="1:2" ht="30" customHeight="1">
      <c r="A6" s="3" t="s">
        <v>3</v>
      </c>
      <c r="B6" s="4" t="s">
        <v>114</v>
      </c>
    </row>
    <row r="7" spans="1:2" ht="30" customHeight="1">
      <c r="A7" s="3" t="s">
        <v>3</v>
      </c>
      <c r="B7" s="4" t="s">
        <v>115</v>
      </c>
    </row>
    <row r="8" spans="1:2" ht="30" customHeight="1">
      <c r="A8" s="3" t="s">
        <v>3</v>
      </c>
      <c r="B8" s="4" t="s">
        <v>116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O197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26.7109375" customWidth="1"/>
    <col min="3" max="4" width="15.7109375" customWidth="1"/>
    <col min="5" max="12" width="11.7109375" customWidth="1"/>
    <col min="13" max="13" width="62.7109375" customWidth="1"/>
    <col min="14" max="14" width="48.7109375" customWidth="1"/>
    <col min="15" max="15" width="80.7109375" customWidth="1"/>
  </cols>
  <sheetData>
    <row r="1" spans="1:15">
      <c r="A1" s="1" t="s">
        <v>117</v>
      </c>
    </row>
    <row r="2" spans="1:15" ht="30" customHeight="1">
      <c r="A2" s="2" t="s">
        <v>118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spans="1:15">
      <c r="A4" s="6" t="s">
        <v>119</v>
      </c>
      <c r="B4" s="6" t="s">
        <v>120</v>
      </c>
      <c r="C4" s="6" t="s">
        <v>121</v>
      </c>
      <c r="D4" s="6" t="s">
        <v>122</v>
      </c>
      <c r="E4" s="6" t="s">
        <v>123</v>
      </c>
      <c r="F4" s="6" t="s">
        <v>124</v>
      </c>
      <c r="G4" s="6" t="s">
        <v>125</v>
      </c>
      <c r="H4" s="6" t="s">
        <v>126</v>
      </c>
      <c r="I4" s="6" t="s">
        <v>127</v>
      </c>
      <c r="J4" s="6" t="s">
        <v>128</v>
      </c>
      <c r="K4" s="6" t="s">
        <v>129</v>
      </c>
      <c r="L4" s="6" t="s">
        <v>71</v>
      </c>
      <c r="M4" s="6" t="s">
        <v>130</v>
      </c>
      <c r="N4" s="6" t="s">
        <v>131</v>
      </c>
      <c r="O4" s="6" t="s">
        <v>132</v>
      </c>
    </row>
    <row r="5" spans="1:15">
      <c r="A5" s="7">
        <v>1</v>
      </c>
      <c r="B5" s="4" t="s">
        <v>133</v>
      </c>
      <c r="C5" s="4" t="s">
        <v>134</v>
      </c>
      <c r="D5" s="4" t="s">
        <v>135</v>
      </c>
      <c r="E5" s="4" t="s">
        <v>136</v>
      </c>
      <c r="F5" s="4" t="s">
        <v>137</v>
      </c>
      <c r="G5" s="7">
        <v>90193</v>
      </c>
      <c r="H5" s="8">
        <v>11900000</v>
      </c>
      <c r="I5" s="8">
        <v>6404000</v>
      </c>
      <c r="J5" s="8">
        <v>71</v>
      </c>
      <c r="K5" s="9">
        <v>0.1027</v>
      </c>
      <c r="L5" s="8">
        <v>26.5</v>
      </c>
      <c r="M5" s="4" t="s">
        <v>138</v>
      </c>
      <c r="N5" s="4" t="s">
        <v>139</v>
      </c>
      <c r="O5" s="4" t="s">
        <v>140</v>
      </c>
    </row>
    <row r="6" spans="1:15">
      <c r="A6" s="7">
        <v>2</v>
      </c>
      <c r="B6" s="4" t="s">
        <v>141</v>
      </c>
      <c r="C6" s="4" t="s">
        <v>142</v>
      </c>
      <c r="D6" s="4" t="s">
        <v>143</v>
      </c>
      <c r="E6" s="4" t="s">
        <v>136</v>
      </c>
      <c r="F6" s="4" t="s">
        <v>137</v>
      </c>
      <c r="G6" s="7">
        <v>27696</v>
      </c>
      <c r="H6" s="8">
        <v>9600000</v>
      </c>
      <c r="I6" s="8">
        <v>6259000</v>
      </c>
      <c r="J6" s="8">
        <v>226</v>
      </c>
      <c r="K6" s="9">
        <v>0.0767</v>
      </c>
      <c r="L6" s="10" t="s">
        <v>144</v>
      </c>
      <c r="M6" s="4" t="s">
        <v>145</v>
      </c>
      <c r="N6" s="4" t="s">
        <v>146</v>
      </c>
      <c r="O6" s="4" t="s">
        <v>147</v>
      </c>
    </row>
    <row r="7" spans="1:15">
      <c r="A7" s="7">
        <v>3</v>
      </c>
      <c r="B7" s="4" t="s">
        <v>148</v>
      </c>
      <c r="C7" s="4" t="s">
        <v>149</v>
      </c>
      <c r="D7" s="4" t="s">
        <v>150</v>
      </c>
      <c r="E7" s="4" t="s">
        <v>136</v>
      </c>
      <c r="F7" s="4" t="s">
        <v>137</v>
      </c>
      <c r="G7" s="7">
        <v>48992</v>
      </c>
      <c r="H7" s="8">
        <v>8700000</v>
      </c>
      <c r="I7" s="8">
        <v>6026000</v>
      </c>
      <c r="J7" s="8">
        <v>123</v>
      </c>
      <c r="K7" s="9">
        <v>0.0546</v>
      </c>
      <c r="L7" s="8">
        <v>19.4</v>
      </c>
      <c r="M7" s="4" t="s">
        <v>151</v>
      </c>
      <c r="N7" s="4" t="s">
        <v>152</v>
      </c>
      <c r="O7" s="4" t="s">
        <v>153</v>
      </c>
    </row>
    <row r="8" spans="1:15">
      <c r="A8" s="7">
        <v>4</v>
      </c>
      <c r="B8" s="4" t="s">
        <v>154</v>
      </c>
      <c r="C8" s="4" t="s">
        <v>142</v>
      </c>
      <c r="D8" s="4" t="s">
        <v>155</v>
      </c>
      <c r="E8" s="4" t="s">
        <v>136</v>
      </c>
      <c r="F8" s="4" t="s">
        <v>137</v>
      </c>
      <c r="G8" s="7">
        <v>18110</v>
      </c>
      <c r="H8" s="8">
        <v>8000000</v>
      </c>
      <c r="I8" s="8">
        <v>5306000</v>
      </c>
      <c r="J8" s="8">
        <v>293</v>
      </c>
      <c r="K8" s="9">
        <v>0.0602</v>
      </c>
      <c r="L8" s="10" t="s">
        <v>144</v>
      </c>
      <c r="M8" s="4" t="s">
        <v>156</v>
      </c>
      <c r="N8" s="4" t="s">
        <v>157</v>
      </c>
      <c r="O8" s="4" t="s">
        <v>158</v>
      </c>
    </row>
    <row r="9" spans="1:15">
      <c r="A9" s="7">
        <v>5</v>
      </c>
      <c r="B9" s="4" t="s">
        <v>159</v>
      </c>
      <c r="C9" s="4" t="s">
        <v>160</v>
      </c>
      <c r="D9" s="4" t="s">
        <v>161</v>
      </c>
      <c r="E9" s="4" t="s">
        <v>136</v>
      </c>
      <c r="F9" s="4" t="s">
        <v>137</v>
      </c>
      <c r="G9" s="7">
        <v>39000</v>
      </c>
      <c r="H9" s="8">
        <v>7950000</v>
      </c>
      <c r="I9" s="8">
        <v>3783000</v>
      </c>
      <c r="J9" s="8">
        <v>97</v>
      </c>
      <c r="K9" s="9">
        <v>0.0481</v>
      </c>
      <c r="L9" s="8">
        <v>15.4</v>
      </c>
      <c r="M9" s="4" t="s">
        <v>162</v>
      </c>
      <c r="N9" s="4" t="s">
        <v>163</v>
      </c>
      <c r="O9" s="4" t="s">
        <v>164</v>
      </c>
    </row>
    <row r="10" spans="1:15">
      <c r="A10" s="7">
        <v>6</v>
      </c>
      <c r="B10" s="4" t="s">
        <v>165</v>
      </c>
      <c r="C10" s="4" t="s">
        <v>166</v>
      </c>
      <c r="D10" s="4" t="s">
        <v>167</v>
      </c>
      <c r="E10" s="4" t="s">
        <v>136</v>
      </c>
      <c r="F10" s="4" t="s">
        <v>137</v>
      </c>
      <c r="G10" s="7">
        <v>26576</v>
      </c>
      <c r="H10" s="8">
        <v>7600000</v>
      </c>
      <c r="I10" s="8">
        <v>2923000</v>
      </c>
      <c r="J10" s="8">
        <v>110</v>
      </c>
      <c r="K10" s="9">
        <v>0.0327</v>
      </c>
      <c r="L10" s="8">
        <v>20.2</v>
      </c>
      <c r="M10" s="4" t="s">
        <v>168</v>
      </c>
      <c r="N10" s="4" t="s">
        <v>169</v>
      </c>
      <c r="O10" s="4" t="s">
        <v>170</v>
      </c>
    </row>
    <row r="11" spans="1:15">
      <c r="A11" s="7">
        <v>7</v>
      </c>
      <c r="B11" s="4" t="s">
        <v>171</v>
      </c>
      <c r="C11" s="4" t="s">
        <v>172</v>
      </c>
      <c r="D11" s="4" t="s">
        <v>173</v>
      </c>
      <c r="E11" s="4" t="s">
        <v>174</v>
      </c>
      <c r="F11" s="4" t="s">
        <v>137</v>
      </c>
      <c r="G11" s="7">
        <v>16875</v>
      </c>
      <c r="H11" s="8">
        <v>7000000</v>
      </c>
      <c r="I11" s="8">
        <v>2143000</v>
      </c>
      <c r="J11" s="8">
        <v>127</v>
      </c>
      <c r="K11" s="9">
        <v>0.0398</v>
      </c>
      <c r="L11" s="8">
        <v>28</v>
      </c>
      <c r="M11" s="4" t="s">
        <v>175</v>
      </c>
      <c r="N11" s="4" t="s">
        <v>176</v>
      </c>
      <c r="O11" s="4" t="s">
        <v>177</v>
      </c>
    </row>
    <row r="12" spans="1:15">
      <c r="A12" s="7">
        <v>8</v>
      </c>
      <c r="B12" s="4" t="s">
        <v>171</v>
      </c>
      <c r="C12" s="4" t="s">
        <v>172</v>
      </c>
      <c r="D12" s="4" t="s">
        <v>178</v>
      </c>
      <c r="E12" s="4" t="s">
        <v>174</v>
      </c>
      <c r="F12" s="4" t="s">
        <v>137</v>
      </c>
      <c r="G12" s="7">
        <v>16875</v>
      </c>
      <c r="H12" s="8">
        <v>7000000</v>
      </c>
      <c r="I12" s="8">
        <v>2987000</v>
      </c>
      <c r="J12" s="8">
        <v>177</v>
      </c>
      <c r="K12" s="9">
        <v>0.0398</v>
      </c>
      <c r="L12" s="8">
        <v>28</v>
      </c>
      <c r="M12" s="4" t="s">
        <v>179</v>
      </c>
      <c r="N12" s="4" t="s">
        <v>180</v>
      </c>
      <c r="O12" s="4" t="s">
        <v>181</v>
      </c>
    </row>
    <row r="13" spans="1:15">
      <c r="A13" s="7">
        <v>9</v>
      </c>
      <c r="B13" s="4" t="s">
        <v>182</v>
      </c>
      <c r="C13" s="4" t="s">
        <v>134</v>
      </c>
      <c r="D13" s="4" t="s">
        <v>183</v>
      </c>
      <c r="E13" s="4" t="s">
        <v>136</v>
      </c>
      <c r="F13" s="4" t="s">
        <v>137</v>
      </c>
      <c r="G13" s="7">
        <v>25000</v>
      </c>
      <c r="H13" s="8">
        <v>6500000</v>
      </c>
      <c r="I13" s="8">
        <v>3975000</v>
      </c>
      <c r="J13" s="8">
        <v>159</v>
      </c>
      <c r="K13" s="9">
        <v>0.0521</v>
      </c>
      <c r="L13" s="8">
        <v>26.5</v>
      </c>
      <c r="M13" s="4" t="s">
        <v>184</v>
      </c>
      <c r="N13" s="4" t="s">
        <v>185</v>
      </c>
      <c r="O13" s="4" t="s">
        <v>186</v>
      </c>
    </row>
    <row r="14" spans="1:15">
      <c r="A14" s="7">
        <v>10</v>
      </c>
      <c r="B14" s="4" t="s">
        <v>187</v>
      </c>
      <c r="C14" s="4" t="s">
        <v>142</v>
      </c>
      <c r="D14" s="4" t="s">
        <v>188</v>
      </c>
      <c r="E14" s="4" t="s">
        <v>136</v>
      </c>
      <c r="F14" s="4" t="s">
        <v>137</v>
      </c>
      <c r="G14" s="7">
        <v>29865</v>
      </c>
      <c r="H14" s="8">
        <v>6000000</v>
      </c>
      <c r="I14" s="8">
        <v>6690000</v>
      </c>
      <c r="J14" s="8">
        <v>224</v>
      </c>
      <c r="K14" s="9">
        <v>0.1324</v>
      </c>
      <c r="L14" s="10" t="s">
        <v>144</v>
      </c>
      <c r="M14" s="4" t="s">
        <v>189</v>
      </c>
      <c r="N14" s="4" t="s">
        <v>190</v>
      </c>
      <c r="O14" s="4" t="s">
        <v>191</v>
      </c>
    </row>
    <row r="15" spans="1:15">
      <c r="A15" s="7">
        <v>11</v>
      </c>
      <c r="B15" s="4" t="s">
        <v>192</v>
      </c>
      <c r="C15" s="4" t="s">
        <v>193</v>
      </c>
      <c r="D15" s="4" t="s">
        <v>194</v>
      </c>
      <c r="E15" s="4" t="s">
        <v>136</v>
      </c>
      <c r="F15" s="4" t="s">
        <v>137</v>
      </c>
      <c r="G15" s="7">
        <v>33482</v>
      </c>
      <c r="H15" s="8">
        <v>5999999</v>
      </c>
      <c r="I15" s="8">
        <v>2109000</v>
      </c>
      <c r="J15" s="8">
        <v>63</v>
      </c>
      <c r="K15" s="9">
        <v>0.0887</v>
      </c>
      <c r="L15" s="8">
        <v>17</v>
      </c>
      <c r="M15" s="4" t="s">
        <v>195</v>
      </c>
      <c r="N15" s="4" t="s">
        <v>196</v>
      </c>
      <c r="O15" s="4" t="s">
        <v>197</v>
      </c>
    </row>
    <row r="16" spans="1:15">
      <c r="A16" s="7">
        <v>12</v>
      </c>
      <c r="B16" s="4" t="s">
        <v>198</v>
      </c>
      <c r="C16" s="4" t="s">
        <v>160</v>
      </c>
      <c r="D16" s="4" t="s">
        <v>199</v>
      </c>
      <c r="E16" s="4" t="s">
        <v>136</v>
      </c>
      <c r="F16" s="4" t="s">
        <v>137</v>
      </c>
      <c r="G16" s="7">
        <v>26399</v>
      </c>
      <c r="H16" s="8">
        <v>5999999</v>
      </c>
      <c r="I16" s="8">
        <v>3933000</v>
      </c>
      <c r="J16" s="8">
        <v>149</v>
      </c>
      <c r="K16" s="9">
        <v>0.0432</v>
      </c>
      <c r="L16" s="8">
        <v>15.4</v>
      </c>
      <c r="M16" s="4" t="s">
        <v>200</v>
      </c>
      <c r="N16" s="4" t="s">
        <v>201</v>
      </c>
      <c r="O16" s="4" t="s">
        <v>202</v>
      </c>
    </row>
    <row r="17" spans="1:15">
      <c r="A17" s="7">
        <v>13</v>
      </c>
      <c r="B17" s="4" t="s">
        <v>203</v>
      </c>
      <c r="C17" s="4" t="s">
        <v>160</v>
      </c>
      <c r="D17" s="4" t="s">
        <v>199</v>
      </c>
      <c r="E17" s="4" t="s">
        <v>136</v>
      </c>
      <c r="F17" s="4" t="s">
        <v>137</v>
      </c>
      <c r="G17" s="7">
        <v>26399</v>
      </c>
      <c r="H17" s="8">
        <v>5800888</v>
      </c>
      <c r="I17" s="8">
        <v>3933000</v>
      </c>
      <c r="J17" s="8">
        <v>149</v>
      </c>
      <c r="K17" s="9">
        <v>0.0447</v>
      </c>
      <c r="L17" s="8">
        <v>15.4</v>
      </c>
      <c r="M17" s="4" t="s">
        <v>204</v>
      </c>
      <c r="N17" s="4" t="s">
        <v>205</v>
      </c>
      <c r="O17" s="4" t="s">
        <v>206</v>
      </c>
    </row>
    <row r="18" spans="1:15">
      <c r="A18" s="7">
        <v>14</v>
      </c>
      <c r="B18" s="4" t="s">
        <v>207</v>
      </c>
      <c r="C18" s="4" t="s">
        <v>160</v>
      </c>
      <c r="D18" s="4" t="s">
        <v>183</v>
      </c>
      <c r="E18" s="4" t="s">
        <v>136</v>
      </c>
      <c r="F18" s="4" t="s">
        <v>137</v>
      </c>
      <c r="G18" s="7">
        <v>19298</v>
      </c>
      <c r="H18" s="8">
        <v>5450000</v>
      </c>
      <c r="I18" s="8">
        <v>3396000</v>
      </c>
      <c r="J18" s="8">
        <v>176</v>
      </c>
      <c r="K18" s="9">
        <v>0.0347</v>
      </c>
      <c r="L18" s="8">
        <v>15.4</v>
      </c>
      <c r="M18" s="4" t="s">
        <v>208</v>
      </c>
      <c r="N18" s="4" t="s">
        <v>209</v>
      </c>
      <c r="O18" s="4" t="s">
        <v>210</v>
      </c>
    </row>
    <row r="19" spans="1:15">
      <c r="A19" s="7">
        <v>15</v>
      </c>
      <c r="B19" s="4" t="s">
        <v>211</v>
      </c>
      <c r="C19" s="4" t="s">
        <v>160</v>
      </c>
      <c r="D19" s="4" t="s">
        <v>178</v>
      </c>
      <c r="E19" s="4" t="s">
        <v>136</v>
      </c>
      <c r="F19" s="4" t="s">
        <v>137</v>
      </c>
      <c r="G19" s="7">
        <v>20020</v>
      </c>
      <c r="H19" s="8">
        <v>5295000</v>
      </c>
      <c r="I19" s="8">
        <v>4825000</v>
      </c>
      <c r="J19" s="8">
        <v>241</v>
      </c>
      <c r="K19" s="9">
        <v>0.0371</v>
      </c>
      <c r="L19" s="8">
        <v>15.4</v>
      </c>
      <c r="M19" s="4" t="s">
        <v>212</v>
      </c>
      <c r="N19" s="4" t="s">
        <v>213</v>
      </c>
      <c r="O19" s="4" t="s">
        <v>214</v>
      </c>
    </row>
    <row r="20" spans="1:15">
      <c r="A20" s="7">
        <v>16</v>
      </c>
      <c r="B20" s="4" t="s">
        <v>215</v>
      </c>
      <c r="C20" s="4" t="s">
        <v>134</v>
      </c>
      <c r="D20" s="4" t="s">
        <v>216</v>
      </c>
      <c r="E20" s="4" t="s">
        <v>136</v>
      </c>
      <c r="F20" s="4" t="s">
        <v>137</v>
      </c>
      <c r="G20" s="7">
        <v>15937</v>
      </c>
      <c r="H20" s="8">
        <v>5000000</v>
      </c>
      <c r="I20" s="8">
        <v>4223000</v>
      </c>
      <c r="J20" s="8">
        <v>265</v>
      </c>
      <c r="K20" s="9">
        <v>0.0432</v>
      </c>
      <c r="L20" s="8">
        <v>26.5</v>
      </c>
      <c r="M20" s="4" t="s">
        <v>217</v>
      </c>
      <c r="N20" s="4" t="s">
        <v>218</v>
      </c>
      <c r="O20" s="4" t="s">
        <v>219</v>
      </c>
    </row>
    <row r="21" spans="1:15">
      <c r="A21" s="7">
        <v>17</v>
      </c>
      <c r="B21" s="4" t="s">
        <v>220</v>
      </c>
      <c r="C21" s="4" t="s">
        <v>221</v>
      </c>
      <c r="D21" s="4" t="s">
        <v>135</v>
      </c>
      <c r="E21" s="4" t="s">
        <v>136</v>
      </c>
      <c r="F21" s="4" t="s">
        <v>137</v>
      </c>
      <c r="G21" s="7">
        <v>8664</v>
      </c>
      <c r="H21" s="8">
        <v>5000000</v>
      </c>
      <c r="I21" s="8">
        <v>1594000</v>
      </c>
      <c r="J21" s="8">
        <v>184</v>
      </c>
      <c r="K21" s="9">
        <v>0.0412</v>
      </c>
      <c r="L21" s="8">
        <v>22.6</v>
      </c>
      <c r="M21" s="4" t="s">
        <v>222</v>
      </c>
      <c r="N21" s="4" t="s">
        <v>223</v>
      </c>
      <c r="O21" s="4" t="s">
        <v>224</v>
      </c>
    </row>
    <row r="22" spans="1:15">
      <c r="A22" s="7">
        <v>18</v>
      </c>
      <c r="B22" s="4" t="s">
        <v>225</v>
      </c>
      <c r="C22" s="4" t="s">
        <v>134</v>
      </c>
      <c r="D22" s="4" t="s">
        <v>135</v>
      </c>
      <c r="E22" s="4" t="s">
        <v>136</v>
      </c>
      <c r="F22" s="4" t="s">
        <v>137</v>
      </c>
      <c r="G22" s="7">
        <v>12715</v>
      </c>
      <c r="H22" s="8">
        <v>4600000</v>
      </c>
      <c r="I22" s="8">
        <v>2568000</v>
      </c>
      <c r="J22" s="8">
        <v>202</v>
      </c>
      <c r="K22" s="9">
        <v>0.0375</v>
      </c>
      <c r="L22" s="8">
        <v>26.5</v>
      </c>
      <c r="M22" s="4" t="s">
        <v>226</v>
      </c>
      <c r="N22" s="4" t="s">
        <v>227</v>
      </c>
      <c r="O22" s="4" t="s">
        <v>228</v>
      </c>
    </row>
    <row r="23" spans="1:15">
      <c r="A23" s="7">
        <v>19</v>
      </c>
      <c r="B23" s="4" t="s">
        <v>229</v>
      </c>
      <c r="C23" s="4" t="s">
        <v>134</v>
      </c>
      <c r="D23" s="4" t="s">
        <v>230</v>
      </c>
      <c r="E23" s="4" t="s">
        <v>136</v>
      </c>
      <c r="F23" s="4" t="s">
        <v>137</v>
      </c>
      <c r="G23" s="7">
        <v>45568</v>
      </c>
      <c r="H23" s="8">
        <v>4500000</v>
      </c>
      <c r="I23" s="8">
        <v>2689000</v>
      </c>
      <c r="J23" s="8">
        <v>59</v>
      </c>
      <c r="K23" s="9">
        <v>0.1372</v>
      </c>
      <c r="L23" s="8">
        <v>26.5</v>
      </c>
      <c r="M23" s="4" t="s">
        <v>231</v>
      </c>
      <c r="N23" s="4" t="s">
        <v>232</v>
      </c>
      <c r="O23" s="4" t="s">
        <v>233</v>
      </c>
    </row>
    <row r="24" spans="1:15">
      <c r="A24" s="7">
        <v>20</v>
      </c>
      <c r="B24" s="4" t="s">
        <v>234</v>
      </c>
      <c r="C24" s="4" t="s">
        <v>142</v>
      </c>
      <c r="D24" s="4" t="s">
        <v>188</v>
      </c>
      <c r="E24" s="4" t="s">
        <v>136</v>
      </c>
      <c r="F24" s="4" t="s">
        <v>137</v>
      </c>
      <c r="G24" s="7">
        <v>20004</v>
      </c>
      <c r="H24" s="8">
        <v>4500000</v>
      </c>
      <c r="I24" s="8">
        <v>5541000</v>
      </c>
      <c r="J24" s="8">
        <v>277</v>
      </c>
      <c r="K24" s="9">
        <v>0.1182</v>
      </c>
      <c r="L24" s="10" t="s">
        <v>144</v>
      </c>
      <c r="M24" s="4" t="s">
        <v>235</v>
      </c>
      <c r="N24" s="4" t="s">
        <v>236</v>
      </c>
      <c r="O24" s="4" t="s">
        <v>237</v>
      </c>
    </row>
    <row r="25" spans="1:15">
      <c r="A25" s="7">
        <v>21</v>
      </c>
      <c r="B25" s="4" t="s">
        <v>238</v>
      </c>
      <c r="C25" s="4" t="s">
        <v>134</v>
      </c>
      <c r="D25" s="4" t="s">
        <v>188</v>
      </c>
      <c r="E25" s="4" t="s">
        <v>136</v>
      </c>
      <c r="F25" s="4" t="s">
        <v>137</v>
      </c>
      <c r="G25" s="7">
        <v>14860</v>
      </c>
      <c r="H25" s="8">
        <v>4500000</v>
      </c>
      <c r="I25" s="8">
        <v>3106000</v>
      </c>
      <c r="J25" s="8">
        <v>209</v>
      </c>
      <c r="K25" s="9">
        <v>0.0448</v>
      </c>
      <c r="L25" s="8">
        <v>26.5</v>
      </c>
      <c r="M25" s="4" t="s">
        <v>239</v>
      </c>
      <c r="N25" s="4" t="s">
        <v>240</v>
      </c>
      <c r="O25" s="4" t="s">
        <v>241</v>
      </c>
    </row>
    <row r="26" spans="1:15">
      <c r="A26" s="7">
        <v>22</v>
      </c>
      <c r="B26" s="4" t="s">
        <v>242</v>
      </c>
      <c r="C26" s="4" t="s">
        <v>134</v>
      </c>
      <c r="D26" s="4" t="s">
        <v>243</v>
      </c>
      <c r="E26" s="4" t="s">
        <v>174</v>
      </c>
      <c r="F26" s="4" t="s">
        <v>137</v>
      </c>
      <c r="G26" s="7">
        <v>11156</v>
      </c>
      <c r="H26" s="8">
        <v>4250000</v>
      </c>
      <c r="I26" s="8">
        <v>3414000</v>
      </c>
      <c r="J26" s="8">
        <v>306</v>
      </c>
      <c r="K26" s="9">
        <v>0.0356</v>
      </c>
      <c r="L26" s="8">
        <v>26.5</v>
      </c>
      <c r="M26" s="4" t="s">
        <v>244</v>
      </c>
      <c r="N26" s="4" t="s">
        <v>245</v>
      </c>
      <c r="O26" s="4" t="s">
        <v>246</v>
      </c>
    </row>
    <row r="27" spans="1:15">
      <c r="A27" s="7">
        <v>23</v>
      </c>
      <c r="B27" s="4" t="s">
        <v>234</v>
      </c>
      <c r="C27" s="4" t="s">
        <v>142</v>
      </c>
      <c r="D27" s="4" t="s">
        <v>188</v>
      </c>
      <c r="E27" s="4" t="s">
        <v>136</v>
      </c>
      <c r="F27" s="4" t="s">
        <v>137</v>
      </c>
      <c r="G27" s="7">
        <v>20004</v>
      </c>
      <c r="H27" s="8">
        <v>4200000</v>
      </c>
      <c r="I27" s="8">
        <v>5541000</v>
      </c>
      <c r="J27" s="8">
        <v>277</v>
      </c>
      <c r="K27" s="9">
        <v>0.1267</v>
      </c>
      <c r="L27" s="10" t="s">
        <v>144</v>
      </c>
      <c r="M27" s="4" t="s">
        <v>235</v>
      </c>
      <c r="N27" s="4" t="s">
        <v>247</v>
      </c>
      <c r="O27" s="4" t="s">
        <v>248</v>
      </c>
    </row>
    <row r="28" spans="1:15">
      <c r="A28" s="7">
        <v>24</v>
      </c>
      <c r="B28" s="4" t="s">
        <v>249</v>
      </c>
      <c r="C28" s="4" t="s">
        <v>166</v>
      </c>
      <c r="D28" s="4" t="s">
        <v>250</v>
      </c>
      <c r="E28" s="4" t="s">
        <v>136</v>
      </c>
      <c r="F28" s="4" t="s">
        <v>137</v>
      </c>
      <c r="G28" s="7">
        <v>19125</v>
      </c>
      <c r="H28" s="8">
        <v>4000000</v>
      </c>
      <c r="I28" s="8">
        <v>2505000</v>
      </c>
      <c r="J28" s="8">
        <v>131</v>
      </c>
      <c r="K28" s="9">
        <v>0.0448</v>
      </c>
      <c r="L28" s="8">
        <v>20.2</v>
      </c>
      <c r="M28" s="4" t="s">
        <v>251</v>
      </c>
      <c r="N28" s="4" t="s">
        <v>252</v>
      </c>
      <c r="O28" s="4" t="s">
        <v>253</v>
      </c>
    </row>
    <row r="29" spans="1:15">
      <c r="A29" s="7">
        <v>25</v>
      </c>
      <c r="B29" s="4" t="s">
        <v>254</v>
      </c>
      <c r="C29" s="4" t="s">
        <v>134</v>
      </c>
      <c r="D29" s="4" t="s">
        <v>255</v>
      </c>
      <c r="E29" s="4" t="s">
        <v>136</v>
      </c>
      <c r="F29" s="4" t="s">
        <v>137</v>
      </c>
      <c r="G29" s="7">
        <v>22630</v>
      </c>
      <c r="H29" s="8">
        <v>3995000</v>
      </c>
      <c r="I29" s="8">
        <v>2467000</v>
      </c>
      <c r="J29" s="8">
        <v>109</v>
      </c>
      <c r="K29" s="9">
        <v>0.07679999999999999</v>
      </c>
      <c r="L29" s="8">
        <v>26.5</v>
      </c>
      <c r="M29" s="4" t="s">
        <v>256</v>
      </c>
      <c r="N29" s="4" t="s">
        <v>257</v>
      </c>
      <c r="O29" s="4" t="s">
        <v>258</v>
      </c>
    </row>
    <row r="30" spans="1:15">
      <c r="A30" s="7">
        <v>26</v>
      </c>
      <c r="B30" s="4" t="s">
        <v>259</v>
      </c>
      <c r="C30" s="4" t="s">
        <v>149</v>
      </c>
      <c r="D30" s="4" t="s">
        <v>143</v>
      </c>
      <c r="E30" s="4" t="s">
        <v>136</v>
      </c>
      <c r="F30" s="4" t="s">
        <v>137</v>
      </c>
      <c r="G30" s="7">
        <v>13000</v>
      </c>
      <c r="H30" s="8">
        <v>3900000</v>
      </c>
      <c r="I30" s="8">
        <v>3146000</v>
      </c>
      <c r="J30" s="8">
        <v>242</v>
      </c>
      <c r="K30" s="9">
        <v>0.0323</v>
      </c>
      <c r="L30" s="8">
        <v>19.4</v>
      </c>
      <c r="M30" s="4" t="s">
        <v>260</v>
      </c>
      <c r="N30" s="4" t="s">
        <v>261</v>
      </c>
      <c r="O30" s="4" t="s">
        <v>262</v>
      </c>
    </row>
    <row r="31" spans="1:15">
      <c r="A31" s="7">
        <v>27</v>
      </c>
      <c r="B31" s="4" t="s">
        <v>263</v>
      </c>
      <c r="C31" s="4" t="s">
        <v>172</v>
      </c>
      <c r="D31" s="4" t="s">
        <v>167</v>
      </c>
      <c r="E31" s="4" t="s">
        <v>136</v>
      </c>
      <c r="F31" s="4" t="s">
        <v>137</v>
      </c>
      <c r="G31" s="7">
        <v>26836</v>
      </c>
      <c r="H31" s="8">
        <v>3900000</v>
      </c>
      <c r="I31" s="8">
        <v>2657000</v>
      </c>
      <c r="J31" s="8">
        <v>99</v>
      </c>
      <c r="K31" s="9">
        <v>0.1136</v>
      </c>
      <c r="L31" s="8">
        <v>28</v>
      </c>
      <c r="M31" s="4" t="s">
        <v>264</v>
      </c>
      <c r="N31" s="4" t="s">
        <v>265</v>
      </c>
      <c r="O31" s="4" t="s">
        <v>266</v>
      </c>
    </row>
    <row r="32" spans="1:15">
      <c r="A32" s="7">
        <v>28</v>
      </c>
      <c r="B32" s="4" t="s">
        <v>267</v>
      </c>
      <c r="C32" s="4" t="s">
        <v>134</v>
      </c>
      <c r="D32" s="4" t="s">
        <v>188</v>
      </c>
      <c r="E32" s="4" t="s">
        <v>136</v>
      </c>
      <c r="F32" s="4" t="s">
        <v>137</v>
      </c>
      <c r="G32" s="7">
        <v>15000</v>
      </c>
      <c r="H32" s="8">
        <v>3800000</v>
      </c>
      <c r="I32" s="8">
        <v>3120000</v>
      </c>
      <c r="J32" s="8">
        <v>208</v>
      </c>
      <c r="K32" s="9">
        <v>0.0535</v>
      </c>
      <c r="L32" s="8">
        <v>26.5</v>
      </c>
      <c r="M32" s="4" t="s">
        <v>268</v>
      </c>
      <c r="N32" s="4" t="s">
        <v>269</v>
      </c>
      <c r="O32" s="4" t="s">
        <v>270</v>
      </c>
    </row>
    <row r="33" spans="1:15">
      <c r="A33" s="7">
        <v>29</v>
      </c>
      <c r="B33" s="4" t="s">
        <v>271</v>
      </c>
      <c r="C33" s="4" t="s">
        <v>172</v>
      </c>
      <c r="D33" s="4" t="s">
        <v>143</v>
      </c>
      <c r="E33" s="4" t="s">
        <v>136</v>
      </c>
      <c r="F33" s="4" t="s">
        <v>137</v>
      </c>
      <c r="G33" s="7">
        <v>24725</v>
      </c>
      <c r="H33" s="8">
        <v>3650000</v>
      </c>
      <c r="I33" s="8">
        <v>2472000</v>
      </c>
      <c r="J33" s="8">
        <v>100</v>
      </c>
      <c r="K33" s="9">
        <v>0.1118</v>
      </c>
      <c r="L33" s="8">
        <v>28</v>
      </c>
      <c r="M33" s="4" t="s">
        <v>272</v>
      </c>
      <c r="N33" s="4" t="s">
        <v>273</v>
      </c>
      <c r="O33" s="4" t="s">
        <v>274</v>
      </c>
    </row>
    <row r="34" spans="1:15">
      <c r="A34" s="7">
        <v>30</v>
      </c>
      <c r="B34" s="4" t="s">
        <v>275</v>
      </c>
      <c r="C34" s="4" t="s">
        <v>134</v>
      </c>
      <c r="D34" s="4" t="s">
        <v>143</v>
      </c>
      <c r="E34" s="4" t="s">
        <v>136</v>
      </c>
      <c r="F34" s="4" t="s">
        <v>137</v>
      </c>
      <c r="G34" s="7">
        <v>30093</v>
      </c>
      <c r="H34" s="8">
        <v>3600000</v>
      </c>
      <c r="I34" s="8">
        <v>4183000</v>
      </c>
      <c r="J34" s="8">
        <v>139</v>
      </c>
      <c r="K34" s="9">
        <v>0.1133</v>
      </c>
      <c r="L34" s="8">
        <v>26.5</v>
      </c>
      <c r="M34" s="4" t="s">
        <v>276</v>
      </c>
      <c r="N34" s="4" t="s">
        <v>277</v>
      </c>
      <c r="O34" s="4" t="s">
        <v>278</v>
      </c>
    </row>
    <row r="35" spans="1:15">
      <c r="A35" s="7">
        <v>31</v>
      </c>
      <c r="B35" s="4" t="s">
        <v>267</v>
      </c>
      <c r="C35" s="4" t="s">
        <v>134</v>
      </c>
      <c r="D35" s="4" t="s">
        <v>188</v>
      </c>
      <c r="E35" s="4" t="s">
        <v>136</v>
      </c>
      <c r="F35" s="4" t="s">
        <v>137</v>
      </c>
      <c r="G35" s="7">
        <v>15000</v>
      </c>
      <c r="H35" s="8">
        <v>3600000</v>
      </c>
      <c r="I35" s="8">
        <v>3120000</v>
      </c>
      <c r="J35" s="8">
        <v>208</v>
      </c>
      <c r="K35" s="9">
        <v>0.0565</v>
      </c>
      <c r="L35" s="8">
        <v>26.5</v>
      </c>
      <c r="M35" s="4" t="s">
        <v>268</v>
      </c>
      <c r="N35" s="4" t="s">
        <v>279</v>
      </c>
      <c r="O35" s="4" t="s">
        <v>280</v>
      </c>
    </row>
    <row r="36" spans="1:15">
      <c r="A36" s="7">
        <v>32</v>
      </c>
      <c r="B36" s="4" t="s">
        <v>281</v>
      </c>
      <c r="C36" s="4" t="s">
        <v>172</v>
      </c>
      <c r="D36" s="4" t="s">
        <v>178</v>
      </c>
      <c r="E36" s="4" t="s">
        <v>136</v>
      </c>
      <c r="F36" s="4" t="s">
        <v>137</v>
      </c>
      <c r="G36" s="7">
        <v>12150</v>
      </c>
      <c r="H36" s="8">
        <v>3595000</v>
      </c>
      <c r="I36" s="8">
        <v>2576000</v>
      </c>
      <c r="J36" s="8">
        <v>212</v>
      </c>
      <c r="K36" s="9">
        <v>0.0558</v>
      </c>
      <c r="L36" s="8">
        <v>28</v>
      </c>
      <c r="M36" s="4" t="s">
        <v>282</v>
      </c>
      <c r="N36" s="4" t="s">
        <v>283</v>
      </c>
      <c r="O36" s="4" t="s">
        <v>284</v>
      </c>
    </row>
    <row r="37" spans="1:15">
      <c r="A37" s="7">
        <v>33</v>
      </c>
      <c r="B37" s="4" t="s">
        <v>285</v>
      </c>
      <c r="C37" s="4" t="s">
        <v>134</v>
      </c>
      <c r="D37" s="4" t="s">
        <v>183</v>
      </c>
      <c r="E37" s="4" t="s">
        <v>136</v>
      </c>
      <c r="F37" s="4" t="s">
        <v>137</v>
      </c>
      <c r="G37" s="7">
        <v>12398</v>
      </c>
      <c r="H37" s="8">
        <v>3520180</v>
      </c>
      <c r="I37" s="8">
        <v>2852000</v>
      </c>
      <c r="J37" s="8">
        <v>230</v>
      </c>
      <c r="K37" s="9">
        <v>0.0477</v>
      </c>
      <c r="L37" s="8">
        <v>26.5</v>
      </c>
      <c r="M37" s="4" t="s">
        <v>286</v>
      </c>
      <c r="N37" s="4" t="s">
        <v>287</v>
      </c>
      <c r="O37" s="4" t="s">
        <v>288</v>
      </c>
    </row>
    <row r="38" spans="1:15">
      <c r="A38" s="7">
        <v>34</v>
      </c>
      <c r="B38" s="4" t="s">
        <v>289</v>
      </c>
      <c r="C38" s="4" t="s">
        <v>193</v>
      </c>
      <c r="D38" s="4" t="s">
        <v>290</v>
      </c>
      <c r="E38" s="4" t="s">
        <v>136</v>
      </c>
      <c r="F38" s="4" t="s">
        <v>137</v>
      </c>
      <c r="G38" s="7">
        <v>17740</v>
      </c>
      <c r="H38" s="8">
        <v>3500000</v>
      </c>
      <c r="I38" s="8">
        <v>1561000</v>
      </c>
      <c r="J38" s="8">
        <v>88</v>
      </c>
      <c r="K38" s="9">
        <v>0.0806</v>
      </c>
      <c r="L38" s="8">
        <v>17</v>
      </c>
      <c r="M38" s="4" t="s">
        <v>291</v>
      </c>
      <c r="N38" s="4" t="s">
        <v>292</v>
      </c>
      <c r="O38" s="4" t="s">
        <v>293</v>
      </c>
    </row>
    <row r="39" spans="1:15">
      <c r="A39" s="7">
        <v>35</v>
      </c>
      <c r="B39" s="4" t="s">
        <v>281</v>
      </c>
      <c r="C39" s="4" t="s">
        <v>172</v>
      </c>
      <c r="D39" s="4" t="s">
        <v>178</v>
      </c>
      <c r="E39" s="4" t="s">
        <v>174</v>
      </c>
      <c r="F39" s="4" t="s">
        <v>137</v>
      </c>
      <c r="G39" s="7">
        <v>12150</v>
      </c>
      <c r="H39" s="8">
        <v>3495000</v>
      </c>
      <c r="I39" s="8">
        <v>2576000</v>
      </c>
      <c r="J39" s="8">
        <v>212</v>
      </c>
      <c r="K39" s="9">
        <v>0.0574</v>
      </c>
      <c r="L39" s="8">
        <v>28</v>
      </c>
      <c r="M39" s="4" t="s">
        <v>282</v>
      </c>
      <c r="N39" s="4" t="s">
        <v>294</v>
      </c>
      <c r="O39" s="4" t="s">
        <v>295</v>
      </c>
    </row>
    <row r="40" spans="1:15">
      <c r="A40" s="7">
        <v>36</v>
      </c>
      <c r="B40" s="4" t="s">
        <v>263</v>
      </c>
      <c r="C40" s="4" t="s">
        <v>134</v>
      </c>
      <c r="D40" s="4" t="s">
        <v>255</v>
      </c>
      <c r="E40" s="4" t="s">
        <v>136</v>
      </c>
      <c r="F40" s="4" t="s">
        <v>137</v>
      </c>
      <c r="G40" s="7">
        <v>26836</v>
      </c>
      <c r="H40" s="8">
        <v>3400000</v>
      </c>
      <c r="I40" s="8">
        <v>2684000</v>
      </c>
      <c r="J40" s="8">
        <v>100</v>
      </c>
      <c r="K40" s="9">
        <v>0.107</v>
      </c>
      <c r="L40" s="8">
        <v>26.5</v>
      </c>
      <c r="M40" s="4" t="s">
        <v>296</v>
      </c>
      <c r="N40" s="4" t="s">
        <v>297</v>
      </c>
      <c r="O40" s="4" t="s">
        <v>298</v>
      </c>
    </row>
    <row r="41" spans="1:15">
      <c r="A41" s="7">
        <v>37</v>
      </c>
      <c r="B41" s="4" t="s">
        <v>299</v>
      </c>
      <c r="C41" s="4" t="s">
        <v>134</v>
      </c>
      <c r="D41" s="4" t="s">
        <v>300</v>
      </c>
      <c r="E41" s="4" t="s">
        <v>136</v>
      </c>
      <c r="F41" s="4" t="s">
        <v>137</v>
      </c>
      <c r="G41" s="7">
        <v>12363</v>
      </c>
      <c r="H41" s="8">
        <v>3395000</v>
      </c>
      <c r="I41" s="8">
        <v>2572000</v>
      </c>
      <c r="J41" s="8">
        <v>208</v>
      </c>
      <c r="K41" s="9">
        <v>0.0494</v>
      </c>
      <c r="L41" s="8">
        <v>26.5</v>
      </c>
      <c r="M41" s="4" t="s">
        <v>301</v>
      </c>
      <c r="N41" s="4" t="s">
        <v>302</v>
      </c>
      <c r="O41" s="4" t="s">
        <v>303</v>
      </c>
    </row>
    <row r="42" spans="1:15">
      <c r="A42" s="7">
        <v>38</v>
      </c>
      <c r="B42" s="4" t="s">
        <v>304</v>
      </c>
      <c r="C42" s="4" t="s">
        <v>149</v>
      </c>
      <c r="D42" s="4" t="s">
        <v>300</v>
      </c>
      <c r="E42" s="4" t="s">
        <v>305</v>
      </c>
      <c r="F42" s="4" t="s">
        <v>137</v>
      </c>
      <c r="G42" s="7">
        <v>20827</v>
      </c>
      <c r="H42" s="8">
        <v>3395000</v>
      </c>
      <c r="I42" s="8">
        <v>3645000</v>
      </c>
      <c r="J42" s="8">
        <v>175</v>
      </c>
      <c r="K42" s="9">
        <v>0.0594</v>
      </c>
      <c r="L42" s="8">
        <v>19.4</v>
      </c>
      <c r="M42" s="4" t="s">
        <v>306</v>
      </c>
      <c r="N42" s="4" t="s">
        <v>307</v>
      </c>
      <c r="O42" s="4" t="s">
        <v>308</v>
      </c>
    </row>
    <row r="43" spans="1:15">
      <c r="A43" s="7">
        <v>39</v>
      </c>
      <c r="B43" s="4" t="s">
        <v>309</v>
      </c>
      <c r="C43" s="4" t="s">
        <v>134</v>
      </c>
      <c r="D43" s="4" t="s">
        <v>250</v>
      </c>
      <c r="E43" s="4" t="s">
        <v>136</v>
      </c>
      <c r="F43" s="4" t="s">
        <v>137</v>
      </c>
      <c r="G43" s="7">
        <v>19250</v>
      </c>
      <c r="H43" s="8">
        <v>3368750</v>
      </c>
      <c r="I43" s="8">
        <v>3504000</v>
      </c>
      <c r="J43" s="8">
        <v>182</v>
      </c>
      <c r="K43" s="9">
        <v>0.0774</v>
      </c>
      <c r="L43" s="8">
        <v>26.5</v>
      </c>
      <c r="M43" s="4" t="s">
        <v>310</v>
      </c>
      <c r="N43" s="4" t="s">
        <v>311</v>
      </c>
      <c r="O43" s="4" t="s">
        <v>312</v>
      </c>
    </row>
    <row r="44" spans="1:15">
      <c r="A44" s="7">
        <v>40</v>
      </c>
      <c r="B44" s="4" t="s">
        <v>313</v>
      </c>
      <c r="C44" s="4" t="s">
        <v>160</v>
      </c>
      <c r="D44" s="4" t="s">
        <v>183</v>
      </c>
      <c r="E44" s="4" t="s">
        <v>136</v>
      </c>
      <c r="F44" s="4" t="s">
        <v>137</v>
      </c>
      <c r="G44" s="7">
        <v>13650</v>
      </c>
      <c r="H44" s="8">
        <v>3349000</v>
      </c>
      <c r="I44" s="8">
        <v>2880000</v>
      </c>
      <c r="J44" s="8">
        <v>211</v>
      </c>
      <c r="K44" s="9">
        <v>0.04</v>
      </c>
      <c r="L44" s="8">
        <v>15.4</v>
      </c>
      <c r="M44" s="4" t="s">
        <v>314</v>
      </c>
      <c r="N44" s="4" t="s">
        <v>315</v>
      </c>
      <c r="O44" s="4" t="s">
        <v>316</v>
      </c>
    </row>
    <row r="45" spans="1:15">
      <c r="A45" s="7">
        <v>41</v>
      </c>
      <c r="B45" s="4" t="s">
        <v>317</v>
      </c>
      <c r="C45" s="4" t="s">
        <v>134</v>
      </c>
      <c r="D45" s="4" t="s">
        <v>250</v>
      </c>
      <c r="E45" s="4" t="s">
        <v>174</v>
      </c>
      <c r="F45" s="4" t="s">
        <v>137</v>
      </c>
      <c r="G45" s="7">
        <v>7500</v>
      </c>
      <c r="H45" s="8">
        <v>3250000</v>
      </c>
      <c r="I45" s="8">
        <v>2258000</v>
      </c>
      <c r="J45" s="8">
        <v>301</v>
      </c>
      <c r="K45" s="9">
        <v>0.0313</v>
      </c>
      <c r="L45" s="8">
        <v>26.5</v>
      </c>
      <c r="M45" s="4" t="s">
        <v>318</v>
      </c>
      <c r="N45" s="4" t="s">
        <v>319</v>
      </c>
      <c r="O45" s="4" t="s">
        <v>320</v>
      </c>
    </row>
    <row r="46" spans="1:15">
      <c r="A46" s="7">
        <v>42</v>
      </c>
      <c r="B46" s="4" t="s">
        <v>321</v>
      </c>
      <c r="C46" s="4" t="s">
        <v>172</v>
      </c>
      <c r="D46" s="4" t="s">
        <v>143</v>
      </c>
      <c r="E46" s="4" t="s">
        <v>174</v>
      </c>
      <c r="F46" s="4" t="s">
        <v>137</v>
      </c>
      <c r="G46" s="7">
        <v>32741</v>
      </c>
      <c r="H46" s="8">
        <v>3200000</v>
      </c>
      <c r="I46" s="8">
        <v>2816000</v>
      </c>
      <c r="J46" s="8">
        <v>86</v>
      </c>
      <c r="K46" s="10" t="s">
        <v>144</v>
      </c>
      <c r="L46" s="8">
        <v>28</v>
      </c>
      <c r="M46" s="4" t="s">
        <v>322</v>
      </c>
      <c r="N46" s="4" t="s">
        <v>323</v>
      </c>
      <c r="O46" s="4" t="s">
        <v>324</v>
      </c>
    </row>
    <row r="47" spans="1:15">
      <c r="A47" s="7">
        <v>43</v>
      </c>
      <c r="B47" s="4" t="s">
        <v>325</v>
      </c>
      <c r="C47" s="4" t="s">
        <v>160</v>
      </c>
      <c r="D47" s="4" t="s">
        <v>161</v>
      </c>
      <c r="E47" s="4" t="s">
        <v>136</v>
      </c>
      <c r="F47" s="4" t="s">
        <v>137</v>
      </c>
      <c r="G47" s="7">
        <v>11500</v>
      </c>
      <c r="H47" s="8">
        <v>3000000</v>
      </c>
      <c r="I47" s="8">
        <v>2128000</v>
      </c>
      <c r="J47" s="8">
        <v>185</v>
      </c>
      <c r="K47" s="9">
        <v>0.0376</v>
      </c>
      <c r="L47" s="8">
        <v>15.4</v>
      </c>
      <c r="M47" s="4" t="s">
        <v>326</v>
      </c>
      <c r="N47" s="4" t="s">
        <v>327</v>
      </c>
      <c r="O47" s="4" t="s">
        <v>328</v>
      </c>
    </row>
    <row r="48" spans="1:15">
      <c r="A48" s="7">
        <v>44</v>
      </c>
      <c r="B48" s="4" t="s">
        <v>329</v>
      </c>
      <c r="C48" s="4" t="s">
        <v>160</v>
      </c>
      <c r="D48" s="4" t="s">
        <v>161</v>
      </c>
      <c r="E48" s="4" t="s">
        <v>174</v>
      </c>
      <c r="F48" s="4" t="s">
        <v>137</v>
      </c>
      <c r="G48" s="7">
        <v>17500</v>
      </c>
      <c r="H48" s="8">
        <v>2999990</v>
      </c>
      <c r="I48" s="8">
        <v>2572000</v>
      </c>
      <c r="J48" s="8">
        <v>147</v>
      </c>
      <c r="K48" s="9">
        <v>0.0572</v>
      </c>
      <c r="L48" s="8">
        <v>15.4</v>
      </c>
      <c r="M48" s="4" t="s">
        <v>330</v>
      </c>
      <c r="N48" s="4" t="s">
        <v>331</v>
      </c>
      <c r="O48" s="4" t="s">
        <v>332</v>
      </c>
    </row>
    <row r="49" spans="1:15">
      <c r="A49" s="7">
        <v>45</v>
      </c>
      <c r="B49" s="4" t="s">
        <v>333</v>
      </c>
      <c r="C49" s="4" t="s">
        <v>149</v>
      </c>
      <c r="D49" s="4" t="s">
        <v>161</v>
      </c>
      <c r="E49" s="4" t="s">
        <v>174</v>
      </c>
      <c r="F49" s="4" t="s">
        <v>137</v>
      </c>
      <c r="G49" s="7">
        <v>13951</v>
      </c>
      <c r="H49" s="8">
        <v>2975000</v>
      </c>
      <c r="I49" s="8">
        <v>2679000</v>
      </c>
      <c r="J49" s="8">
        <v>192</v>
      </c>
      <c r="K49" s="9">
        <v>0.0454</v>
      </c>
      <c r="L49" s="8">
        <v>19.4</v>
      </c>
      <c r="M49" s="4" t="s">
        <v>334</v>
      </c>
      <c r="N49" s="4" t="s">
        <v>335</v>
      </c>
      <c r="O49" s="4" t="s">
        <v>336</v>
      </c>
    </row>
    <row r="50" spans="1:15">
      <c r="A50" s="7">
        <v>46</v>
      </c>
      <c r="B50" s="4" t="s">
        <v>337</v>
      </c>
      <c r="C50" s="4" t="s">
        <v>193</v>
      </c>
      <c r="D50" s="4" t="s">
        <v>188</v>
      </c>
      <c r="E50" s="4" t="s">
        <v>136</v>
      </c>
      <c r="F50" s="4" t="s">
        <v>137</v>
      </c>
      <c r="G50" s="7">
        <v>7505</v>
      </c>
      <c r="H50" s="8">
        <v>2850000</v>
      </c>
      <c r="I50" s="8">
        <v>1051000</v>
      </c>
      <c r="J50" s="8">
        <v>140</v>
      </c>
      <c r="K50" s="9">
        <v>0.0419</v>
      </c>
      <c r="L50" s="8">
        <v>17</v>
      </c>
      <c r="M50" s="4" t="s">
        <v>338</v>
      </c>
      <c r="N50" s="4" t="s">
        <v>339</v>
      </c>
      <c r="O50" s="4" t="s">
        <v>340</v>
      </c>
    </row>
    <row r="51" spans="1:15">
      <c r="A51" s="7">
        <v>47</v>
      </c>
      <c r="B51" s="4" t="s">
        <v>313</v>
      </c>
      <c r="C51" s="4" t="s">
        <v>160</v>
      </c>
      <c r="D51" s="4" t="s">
        <v>183</v>
      </c>
      <c r="E51" s="4" t="s">
        <v>136</v>
      </c>
      <c r="F51" s="4" t="s">
        <v>137</v>
      </c>
      <c r="G51" s="7">
        <v>13650</v>
      </c>
      <c r="H51" s="8">
        <v>2850000</v>
      </c>
      <c r="I51" s="8">
        <v>2880000</v>
      </c>
      <c r="J51" s="8">
        <v>211</v>
      </c>
      <c r="K51" s="9">
        <v>0.047</v>
      </c>
      <c r="L51" s="8">
        <v>15.4</v>
      </c>
      <c r="M51" s="4" t="s">
        <v>314</v>
      </c>
      <c r="N51" s="4" t="s">
        <v>341</v>
      </c>
      <c r="O51" s="4" t="s">
        <v>342</v>
      </c>
    </row>
    <row r="52" spans="1:15">
      <c r="A52" s="7">
        <v>48</v>
      </c>
      <c r="B52" s="4" t="s">
        <v>343</v>
      </c>
      <c r="C52" s="4" t="s">
        <v>134</v>
      </c>
      <c r="D52" s="4" t="s">
        <v>243</v>
      </c>
      <c r="E52" s="4" t="s">
        <v>136</v>
      </c>
      <c r="F52" s="4" t="s">
        <v>137</v>
      </c>
      <c r="G52" s="7">
        <v>14491</v>
      </c>
      <c r="H52" s="8">
        <v>2850000</v>
      </c>
      <c r="I52" s="8">
        <v>3855000</v>
      </c>
      <c r="J52" s="8">
        <v>266</v>
      </c>
      <c r="K52" s="9">
        <v>0.0689</v>
      </c>
      <c r="L52" s="8">
        <v>26.5</v>
      </c>
      <c r="M52" s="4" t="s">
        <v>344</v>
      </c>
      <c r="N52" s="4" t="s">
        <v>345</v>
      </c>
      <c r="O52" s="4" t="s">
        <v>346</v>
      </c>
    </row>
    <row r="53" spans="1:15">
      <c r="A53" s="7">
        <v>49</v>
      </c>
      <c r="B53" s="4" t="s">
        <v>337</v>
      </c>
      <c r="C53" s="4" t="s">
        <v>193</v>
      </c>
      <c r="D53" s="4" t="s">
        <v>347</v>
      </c>
      <c r="E53" s="4" t="s">
        <v>305</v>
      </c>
      <c r="F53" s="4" t="s">
        <v>137</v>
      </c>
      <c r="G53" s="7">
        <v>7505</v>
      </c>
      <c r="H53" s="8">
        <v>2800000</v>
      </c>
      <c r="I53" s="8">
        <v>1043000</v>
      </c>
      <c r="J53" s="8">
        <v>139</v>
      </c>
      <c r="K53" s="9">
        <v>0.0426</v>
      </c>
      <c r="L53" s="8">
        <v>17</v>
      </c>
      <c r="M53" s="4" t="s">
        <v>348</v>
      </c>
      <c r="N53" s="4" t="s">
        <v>349</v>
      </c>
      <c r="O53" s="4" t="s">
        <v>350</v>
      </c>
    </row>
    <row r="54" spans="1:15">
      <c r="A54" s="7">
        <v>50</v>
      </c>
      <c r="B54" s="4" t="s">
        <v>351</v>
      </c>
      <c r="C54" s="4" t="s">
        <v>160</v>
      </c>
      <c r="D54" s="4" t="s">
        <v>352</v>
      </c>
      <c r="E54" s="4" t="s">
        <v>174</v>
      </c>
      <c r="F54" s="4" t="s">
        <v>137</v>
      </c>
      <c r="G54" s="7">
        <v>6250</v>
      </c>
      <c r="H54" s="8">
        <v>2750000</v>
      </c>
      <c r="I54" s="8">
        <v>2000000</v>
      </c>
      <c r="J54" s="8">
        <v>320</v>
      </c>
      <c r="K54" s="10" t="s">
        <v>144</v>
      </c>
      <c r="L54" s="8">
        <v>15.4</v>
      </c>
      <c r="M54" s="4" t="s">
        <v>353</v>
      </c>
      <c r="N54" s="4" t="s">
        <v>354</v>
      </c>
      <c r="O54" s="4" t="s">
        <v>355</v>
      </c>
    </row>
    <row r="55" spans="1:15">
      <c r="A55" s="7">
        <v>51</v>
      </c>
      <c r="B55" s="4" t="s">
        <v>356</v>
      </c>
      <c r="C55" s="4" t="s">
        <v>149</v>
      </c>
      <c r="D55" s="4" t="s">
        <v>161</v>
      </c>
      <c r="E55" s="4" t="s">
        <v>136</v>
      </c>
      <c r="F55" s="4" t="s">
        <v>137</v>
      </c>
      <c r="G55" s="7">
        <v>7000</v>
      </c>
      <c r="H55" s="8">
        <v>2750000</v>
      </c>
      <c r="I55" s="8">
        <v>1939000</v>
      </c>
      <c r="J55" s="8">
        <v>277</v>
      </c>
      <c r="K55" s="10" t="s">
        <v>144</v>
      </c>
      <c r="L55" s="8">
        <v>19.4</v>
      </c>
      <c r="M55" s="4" t="s">
        <v>357</v>
      </c>
      <c r="N55" s="4" t="s">
        <v>358</v>
      </c>
      <c r="O55" s="4" t="s">
        <v>359</v>
      </c>
    </row>
    <row r="56" spans="1:15">
      <c r="A56" s="7">
        <v>52</v>
      </c>
      <c r="B56" s="4" t="s">
        <v>360</v>
      </c>
      <c r="C56" s="4" t="s">
        <v>160</v>
      </c>
      <c r="D56" s="4" t="s">
        <v>361</v>
      </c>
      <c r="E56" s="4" t="s">
        <v>136</v>
      </c>
      <c r="F56" s="4" t="s">
        <v>137</v>
      </c>
      <c r="G56" s="7">
        <v>40196</v>
      </c>
      <c r="H56" s="8">
        <v>2750000</v>
      </c>
      <c r="I56" s="8">
        <v>4783000</v>
      </c>
      <c r="J56" s="8">
        <v>119</v>
      </c>
      <c r="K56" s="9">
        <v>0.1434</v>
      </c>
      <c r="L56" s="8">
        <v>15.4</v>
      </c>
      <c r="M56" s="4" t="s">
        <v>362</v>
      </c>
      <c r="N56" s="4" t="s">
        <v>363</v>
      </c>
      <c r="O56" s="4" t="s">
        <v>364</v>
      </c>
    </row>
    <row r="57" spans="1:15">
      <c r="A57" s="7">
        <v>53</v>
      </c>
      <c r="B57" s="4" t="s">
        <v>365</v>
      </c>
      <c r="C57" s="4" t="s">
        <v>221</v>
      </c>
      <c r="D57" s="4" t="s">
        <v>243</v>
      </c>
      <c r="E57" s="4" t="s">
        <v>136</v>
      </c>
      <c r="F57" s="4" t="s">
        <v>137</v>
      </c>
      <c r="G57" s="7">
        <v>7960</v>
      </c>
      <c r="H57" s="8">
        <v>2750000</v>
      </c>
      <c r="I57" s="8">
        <v>2165000</v>
      </c>
      <c r="J57" s="8">
        <v>272</v>
      </c>
      <c r="K57" s="9">
        <v>0.0688</v>
      </c>
      <c r="L57" s="8">
        <v>22.6</v>
      </c>
      <c r="M57" s="4" t="s">
        <v>366</v>
      </c>
      <c r="N57" s="4" t="s">
        <v>367</v>
      </c>
      <c r="O57" s="4" t="s">
        <v>368</v>
      </c>
    </row>
    <row r="58" spans="1:15">
      <c r="A58" s="7">
        <v>54</v>
      </c>
      <c r="B58" s="4" t="s">
        <v>369</v>
      </c>
      <c r="C58" s="4" t="s">
        <v>160</v>
      </c>
      <c r="D58" s="4" t="s">
        <v>250</v>
      </c>
      <c r="E58" s="4" t="s">
        <v>136</v>
      </c>
      <c r="F58" s="4" t="s">
        <v>137</v>
      </c>
      <c r="G58" s="7">
        <v>15625</v>
      </c>
      <c r="H58" s="8">
        <v>2734375</v>
      </c>
      <c r="I58" s="8">
        <v>3078000</v>
      </c>
      <c r="J58" s="8">
        <v>197</v>
      </c>
      <c r="K58" s="9">
        <v>0.0561</v>
      </c>
      <c r="L58" s="8">
        <v>15.4</v>
      </c>
      <c r="M58" s="4" t="s">
        <v>370</v>
      </c>
      <c r="N58" s="4" t="s">
        <v>371</v>
      </c>
      <c r="O58" s="4" t="s">
        <v>372</v>
      </c>
    </row>
    <row r="59" spans="1:15">
      <c r="A59" s="7">
        <v>55</v>
      </c>
      <c r="B59" s="4" t="s">
        <v>373</v>
      </c>
      <c r="C59" s="4" t="s">
        <v>172</v>
      </c>
      <c r="D59" s="4" t="s">
        <v>161</v>
      </c>
      <c r="E59" s="4" t="s">
        <v>136</v>
      </c>
      <c r="F59" s="4" t="s">
        <v>137</v>
      </c>
      <c r="G59" s="7">
        <v>7875</v>
      </c>
      <c r="H59" s="8">
        <v>2650000</v>
      </c>
      <c r="I59" s="8">
        <v>1197000</v>
      </c>
      <c r="J59" s="8">
        <v>152</v>
      </c>
      <c r="K59" s="9">
        <v>0.049</v>
      </c>
      <c r="L59" s="8">
        <v>28</v>
      </c>
      <c r="M59" s="4" t="s">
        <v>374</v>
      </c>
      <c r="N59" s="4" t="s">
        <v>375</v>
      </c>
      <c r="O59" s="4" t="s">
        <v>376</v>
      </c>
    </row>
    <row r="60" spans="1:15">
      <c r="A60" s="7">
        <v>56</v>
      </c>
      <c r="B60" s="4" t="s">
        <v>377</v>
      </c>
      <c r="C60" s="4" t="s">
        <v>134</v>
      </c>
      <c r="D60" s="4" t="s">
        <v>143</v>
      </c>
      <c r="E60" s="4" t="s">
        <v>136</v>
      </c>
      <c r="F60" s="4" t="s">
        <v>137</v>
      </c>
      <c r="G60" s="7">
        <v>6256</v>
      </c>
      <c r="H60" s="8">
        <v>2649000</v>
      </c>
      <c r="I60" s="8">
        <v>2014000</v>
      </c>
      <c r="J60" s="8">
        <v>322</v>
      </c>
      <c r="K60" s="9">
        <v>0.032</v>
      </c>
      <c r="L60" s="8">
        <v>26.5</v>
      </c>
      <c r="M60" s="4" t="s">
        <v>378</v>
      </c>
      <c r="N60" s="4" t="s">
        <v>379</v>
      </c>
      <c r="O60" s="4" t="s">
        <v>380</v>
      </c>
    </row>
    <row r="61" spans="1:15">
      <c r="A61" s="7">
        <v>57</v>
      </c>
      <c r="B61" s="4" t="s">
        <v>381</v>
      </c>
      <c r="C61" s="4" t="s">
        <v>134</v>
      </c>
      <c r="D61" s="4" t="s">
        <v>243</v>
      </c>
      <c r="E61" s="4" t="s">
        <v>174</v>
      </c>
      <c r="F61" s="4" t="s">
        <v>137</v>
      </c>
      <c r="G61" s="7">
        <v>3130</v>
      </c>
      <c r="H61" s="8">
        <v>2500000</v>
      </c>
      <c r="I61" s="8">
        <v>1881000</v>
      </c>
      <c r="J61" s="8">
        <v>601</v>
      </c>
      <c r="K61" s="10" t="s">
        <v>144</v>
      </c>
      <c r="L61" s="8">
        <v>26.5</v>
      </c>
      <c r="M61" s="4" t="s">
        <v>382</v>
      </c>
      <c r="N61" s="4" t="s">
        <v>383</v>
      </c>
      <c r="O61" s="4" t="s">
        <v>384</v>
      </c>
    </row>
    <row r="62" spans="1:15">
      <c r="A62" s="7">
        <v>58</v>
      </c>
      <c r="B62" s="4" t="s">
        <v>385</v>
      </c>
      <c r="C62" s="4" t="s">
        <v>386</v>
      </c>
      <c r="D62" s="4" t="s">
        <v>143</v>
      </c>
      <c r="E62" s="4" t="s">
        <v>136</v>
      </c>
      <c r="F62" s="4" t="s">
        <v>137</v>
      </c>
      <c r="G62" s="7">
        <v>5664</v>
      </c>
      <c r="H62" s="8">
        <v>2500000</v>
      </c>
      <c r="I62" s="8">
        <v>1926000</v>
      </c>
      <c r="J62" s="8">
        <v>340</v>
      </c>
      <c r="K62" s="10" t="s">
        <v>144</v>
      </c>
      <c r="L62" s="8">
        <v>7.3</v>
      </c>
      <c r="M62" s="4" t="s">
        <v>387</v>
      </c>
      <c r="N62" s="4" t="s">
        <v>388</v>
      </c>
      <c r="O62" s="4" t="s">
        <v>389</v>
      </c>
    </row>
    <row r="63" spans="1:15">
      <c r="A63" s="7">
        <v>59</v>
      </c>
      <c r="B63" s="4" t="s">
        <v>390</v>
      </c>
      <c r="C63" s="4" t="s">
        <v>134</v>
      </c>
      <c r="D63" s="4" t="s">
        <v>352</v>
      </c>
      <c r="E63" s="4" t="s">
        <v>136</v>
      </c>
      <c r="F63" s="4" t="s">
        <v>137</v>
      </c>
      <c r="G63" s="7">
        <v>15003</v>
      </c>
      <c r="H63" s="8">
        <v>2500000</v>
      </c>
      <c r="I63" s="8">
        <v>3121000</v>
      </c>
      <c r="J63" s="8">
        <v>208</v>
      </c>
      <c r="K63" s="9">
        <v>0.0813</v>
      </c>
      <c r="L63" s="8">
        <v>26.5</v>
      </c>
      <c r="M63" s="4" t="s">
        <v>391</v>
      </c>
      <c r="N63" s="4" t="s">
        <v>392</v>
      </c>
      <c r="O63" s="4" t="s">
        <v>393</v>
      </c>
    </row>
    <row r="64" spans="1:15">
      <c r="A64" s="7">
        <v>60</v>
      </c>
      <c r="B64" s="4" t="s">
        <v>394</v>
      </c>
      <c r="C64" s="4" t="s">
        <v>221</v>
      </c>
      <c r="D64" s="4" t="s">
        <v>395</v>
      </c>
      <c r="E64" s="4" t="s">
        <v>174</v>
      </c>
      <c r="F64" s="4" t="s">
        <v>137</v>
      </c>
      <c r="G64" s="7">
        <v>6375</v>
      </c>
      <c r="H64" s="8">
        <v>2499999</v>
      </c>
      <c r="I64" s="8">
        <v>1549000</v>
      </c>
      <c r="J64" s="8">
        <v>243</v>
      </c>
      <c r="K64" s="9">
        <v>0.0606</v>
      </c>
      <c r="L64" s="8">
        <v>22.6</v>
      </c>
      <c r="M64" s="4" t="s">
        <v>396</v>
      </c>
      <c r="N64" s="4" t="s">
        <v>397</v>
      </c>
      <c r="O64" s="4" t="s">
        <v>398</v>
      </c>
    </row>
    <row r="65" spans="1:15">
      <c r="A65" s="7">
        <v>61</v>
      </c>
      <c r="B65" s="4" t="s">
        <v>399</v>
      </c>
      <c r="C65" s="4" t="s">
        <v>134</v>
      </c>
      <c r="D65" s="4" t="s">
        <v>400</v>
      </c>
      <c r="E65" s="4" t="s">
        <v>174</v>
      </c>
      <c r="F65" s="4" t="s">
        <v>137</v>
      </c>
      <c r="G65" s="7">
        <v>11950</v>
      </c>
      <c r="H65" s="8">
        <v>2499000</v>
      </c>
      <c r="I65" s="8">
        <v>2808000</v>
      </c>
      <c r="J65" s="8">
        <v>235</v>
      </c>
      <c r="K65" s="9">
        <v>0.0648</v>
      </c>
      <c r="L65" s="8">
        <v>26.5</v>
      </c>
      <c r="M65" s="4" t="s">
        <v>401</v>
      </c>
      <c r="N65" s="4" t="s">
        <v>402</v>
      </c>
      <c r="O65" s="4" t="s">
        <v>403</v>
      </c>
    </row>
    <row r="66" spans="1:15">
      <c r="A66" s="7">
        <v>62</v>
      </c>
      <c r="B66" s="4" t="s">
        <v>404</v>
      </c>
      <c r="C66" s="4" t="s">
        <v>134</v>
      </c>
      <c r="D66" s="4" t="s">
        <v>183</v>
      </c>
      <c r="E66" s="4" t="s">
        <v>136</v>
      </c>
      <c r="F66" s="4" t="s">
        <v>137</v>
      </c>
      <c r="G66" s="7">
        <v>10400</v>
      </c>
      <c r="H66" s="8">
        <v>2475000</v>
      </c>
      <c r="I66" s="8">
        <v>2621000</v>
      </c>
      <c r="J66" s="8">
        <v>252</v>
      </c>
      <c r="K66" s="9">
        <v>0.0569</v>
      </c>
      <c r="L66" s="8">
        <v>26.5</v>
      </c>
      <c r="M66" s="4" t="s">
        <v>405</v>
      </c>
      <c r="N66" s="4" t="s">
        <v>406</v>
      </c>
      <c r="O66" s="4" t="s">
        <v>407</v>
      </c>
    </row>
    <row r="67" spans="1:15">
      <c r="A67" s="7">
        <v>63</v>
      </c>
      <c r="B67" s="4" t="s">
        <v>408</v>
      </c>
      <c r="C67" s="4" t="s">
        <v>149</v>
      </c>
      <c r="D67" s="4" t="s">
        <v>255</v>
      </c>
      <c r="E67" s="4" t="s">
        <v>136</v>
      </c>
      <c r="F67" s="4" t="s">
        <v>137</v>
      </c>
      <c r="G67" s="7">
        <v>10125</v>
      </c>
      <c r="H67" s="8">
        <v>2400000</v>
      </c>
      <c r="I67" s="8">
        <v>1883000</v>
      </c>
      <c r="J67" s="8">
        <v>186</v>
      </c>
      <c r="K67" s="9">
        <v>0.0409</v>
      </c>
      <c r="L67" s="8">
        <v>19.4</v>
      </c>
      <c r="M67" s="4" t="s">
        <v>409</v>
      </c>
      <c r="N67" s="4" t="s">
        <v>410</v>
      </c>
      <c r="O67" s="4" t="s">
        <v>411</v>
      </c>
    </row>
    <row r="68" spans="1:15">
      <c r="A68" s="7">
        <v>64</v>
      </c>
      <c r="B68" s="4" t="s">
        <v>412</v>
      </c>
      <c r="C68" s="4" t="s">
        <v>134</v>
      </c>
      <c r="D68" s="4" t="s">
        <v>250</v>
      </c>
      <c r="E68" s="4" t="s">
        <v>136</v>
      </c>
      <c r="F68" s="4" t="s">
        <v>137</v>
      </c>
      <c r="G68" s="7">
        <v>13107</v>
      </c>
      <c r="H68" s="8">
        <v>2295000</v>
      </c>
      <c r="I68" s="8">
        <v>2923000</v>
      </c>
      <c r="J68" s="8">
        <v>223</v>
      </c>
      <c r="K68" s="9">
        <v>0.0774</v>
      </c>
      <c r="L68" s="8">
        <v>26.5</v>
      </c>
      <c r="M68" s="4" t="s">
        <v>413</v>
      </c>
      <c r="N68" s="4" t="s">
        <v>414</v>
      </c>
      <c r="O68" s="4" t="s">
        <v>415</v>
      </c>
    </row>
    <row r="69" spans="1:15">
      <c r="A69" s="7">
        <v>65</v>
      </c>
      <c r="B69" s="4" t="s">
        <v>416</v>
      </c>
      <c r="C69" s="4" t="s">
        <v>166</v>
      </c>
      <c r="D69" s="4" t="s">
        <v>255</v>
      </c>
      <c r="E69" s="4" t="s">
        <v>136</v>
      </c>
      <c r="F69" s="4" t="s">
        <v>137</v>
      </c>
      <c r="G69" s="7">
        <v>16875</v>
      </c>
      <c r="H69" s="8">
        <v>2225000</v>
      </c>
      <c r="I69" s="8">
        <v>1536000</v>
      </c>
      <c r="J69" s="8">
        <v>91</v>
      </c>
      <c r="K69" s="9">
        <v>0.07099999999999999</v>
      </c>
      <c r="L69" s="8">
        <v>20.2</v>
      </c>
      <c r="M69" s="4" t="s">
        <v>417</v>
      </c>
      <c r="N69" s="4" t="s">
        <v>418</v>
      </c>
      <c r="O69" s="4" t="s">
        <v>419</v>
      </c>
    </row>
    <row r="70" spans="1:15">
      <c r="A70" s="7">
        <v>66</v>
      </c>
      <c r="B70" s="4" t="s">
        <v>416</v>
      </c>
      <c r="C70" s="4" t="s">
        <v>166</v>
      </c>
      <c r="D70" s="4" t="s">
        <v>255</v>
      </c>
      <c r="E70" s="4" t="s">
        <v>136</v>
      </c>
      <c r="F70" s="4" t="s">
        <v>137</v>
      </c>
      <c r="G70" s="7">
        <v>16875</v>
      </c>
      <c r="H70" s="8">
        <v>2200000</v>
      </c>
      <c r="I70" s="8">
        <v>1536000</v>
      </c>
      <c r="J70" s="8">
        <v>91</v>
      </c>
      <c r="K70" s="9">
        <v>0.0718</v>
      </c>
      <c r="L70" s="8">
        <v>20.2</v>
      </c>
      <c r="M70" s="4" t="s">
        <v>417</v>
      </c>
      <c r="N70" s="4" t="s">
        <v>420</v>
      </c>
      <c r="O70" s="4" t="s">
        <v>421</v>
      </c>
    </row>
    <row r="71" spans="1:15">
      <c r="A71" s="7">
        <v>67</v>
      </c>
      <c r="B71" s="4" t="s">
        <v>422</v>
      </c>
      <c r="C71" s="4" t="s">
        <v>423</v>
      </c>
      <c r="D71" s="4" t="s">
        <v>167</v>
      </c>
      <c r="E71" s="4" t="s">
        <v>305</v>
      </c>
      <c r="F71" s="4" t="s">
        <v>137</v>
      </c>
      <c r="G71" s="7">
        <v>6378</v>
      </c>
      <c r="H71" s="8">
        <v>2198672</v>
      </c>
      <c r="I71" s="8">
        <v>2092000</v>
      </c>
      <c r="J71" s="8">
        <v>328</v>
      </c>
      <c r="K71" s="9">
        <v>0.0427</v>
      </c>
      <c r="L71" s="10" t="s">
        <v>144</v>
      </c>
      <c r="M71" s="4" t="s">
        <v>424</v>
      </c>
      <c r="N71" s="4" t="s">
        <v>425</v>
      </c>
      <c r="O71" s="4" t="s">
        <v>426</v>
      </c>
    </row>
    <row r="72" spans="1:15">
      <c r="A72" s="7">
        <v>68</v>
      </c>
      <c r="B72" s="4" t="s">
        <v>427</v>
      </c>
      <c r="C72" s="4" t="s">
        <v>166</v>
      </c>
      <c r="D72" s="4" t="s">
        <v>167</v>
      </c>
      <c r="E72" s="4" t="s">
        <v>305</v>
      </c>
      <c r="F72" s="4" t="s">
        <v>137</v>
      </c>
      <c r="G72" s="7">
        <v>6378</v>
      </c>
      <c r="H72" s="8">
        <v>2198672</v>
      </c>
      <c r="I72" s="8">
        <v>1499000</v>
      </c>
      <c r="J72" s="8">
        <v>235</v>
      </c>
      <c r="K72" s="10" t="s">
        <v>144</v>
      </c>
      <c r="L72" s="8">
        <v>20.2</v>
      </c>
      <c r="M72" s="4" t="s">
        <v>428</v>
      </c>
      <c r="N72" s="4" t="s">
        <v>429</v>
      </c>
      <c r="O72" s="4" t="s">
        <v>430</v>
      </c>
    </row>
    <row r="73" spans="1:15">
      <c r="A73" s="7">
        <v>69</v>
      </c>
      <c r="B73" s="4" t="s">
        <v>431</v>
      </c>
      <c r="C73" s="4" t="s">
        <v>160</v>
      </c>
      <c r="D73" s="4" t="s">
        <v>361</v>
      </c>
      <c r="E73" s="4" t="s">
        <v>136</v>
      </c>
      <c r="F73" s="4" t="s">
        <v>137</v>
      </c>
      <c r="G73" s="7">
        <v>13220</v>
      </c>
      <c r="H73" s="8">
        <v>2179449</v>
      </c>
      <c r="I73" s="8">
        <v>2842000</v>
      </c>
      <c r="J73" s="8">
        <v>215</v>
      </c>
      <c r="K73" s="9">
        <v>0.0595</v>
      </c>
      <c r="L73" s="8">
        <v>15.4</v>
      </c>
      <c r="M73" s="4" t="s">
        <v>432</v>
      </c>
      <c r="N73" s="4" t="s">
        <v>433</v>
      </c>
      <c r="O73" s="4" t="s">
        <v>434</v>
      </c>
    </row>
    <row r="74" spans="1:15">
      <c r="A74" s="7">
        <v>70</v>
      </c>
      <c r="B74" s="4" t="s">
        <v>435</v>
      </c>
      <c r="C74" s="4" t="s">
        <v>160</v>
      </c>
      <c r="D74" s="4" t="s">
        <v>161</v>
      </c>
      <c r="E74" s="4" t="s">
        <v>136</v>
      </c>
      <c r="F74" s="4" t="s">
        <v>137</v>
      </c>
      <c r="G74" s="7">
        <v>14000</v>
      </c>
      <c r="H74" s="8">
        <v>2100000</v>
      </c>
      <c r="I74" s="8">
        <v>2324000</v>
      </c>
      <c r="J74" s="8">
        <v>166</v>
      </c>
      <c r="K74" s="9">
        <v>0.0654</v>
      </c>
      <c r="L74" s="8">
        <v>15.4</v>
      </c>
      <c r="M74" s="4" t="s">
        <v>436</v>
      </c>
      <c r="N74" s="4" t="s">
        <v>437</v>
      </c>
      <c r="O74" s="4" t="s">
        <v>438</v>
      </c>
    </row>
    <row r="75" spans="1:15">
      <c r="A75" s="7">
        <v>71</v>
      </c>
      <c r="B75" s="4" t="s">
        <v>439</v>
      </c>
      <c r="C75" s="4" t="s">
        <v>160</v>
      </c>
      <c r="D75" s="4" t="s">
        <v>216</v>
      </c>
      <c r="E75" s="4" t="s">
        <v>136</v>
      </c>
      <c r="F75" s="4" t="s">
        <v>137</v>
      </c>
      <c r="G75" s="7">
        <v>10126</v>
      </c>
      <c r="H75" s="8">
        <v>2079000</v>
      </c>
      <c r="I75" s="8">
        <v>3311000</v>
      </c>
      <c r="J75" s="8">
        <v>327</v>
      </c>
      <c r="K75" s="9">
        <v>0.0478</v>
      </c>
      <c r="L75" s="8">
        <v>15.4</v>
      </c>
      <c r="M75" s="4" t="s">
        <v>440</v>
      </c>
      <c r="N75" s="4" t="s">
        <v>441</v>
      </c>
      <c r="O75" s="4" t="s">
        <v>442</v>
      </c>
    </row>
    <row r="76" spans="1:15">
      <c r="A76" s="7">
        <v>72</v>
      </c>
      <c r="B76" s="4" t="s">
        <v>443</v>
      </c>
      <c r="C76" s="4" t="s">
        <v>172</v>
      </c>
      <c r="D76" s="4" t="s">
        <v>143</v>
      </c>
      <c r="E76" s="4" t="s">
        <v>136</v>
      </c>
      <c r="F76" s="4" t="s">
        <v>137</v>
      </c>
      <c r="G76" s="7">
        <v>16728</v>
      </c>
      <c r="H76" s="8">
        <v>2050000</v>
      </c>
      <c r="I76" s="8">
        <v>2058000</v>
      </c>
      <c r="J76" s="8">
        <v>123</v>
      </c>
      <c r="K76" s="9">
        <v>0.1347</v>
      </c>
      <c r="L76" s="8">
        <v>28</v>
      </c>
      <c r="M76" s="4" t="s">
        <v>444</v>
      </c>
      <c r="N76" s="4" t="s">
        <v>445</v>
      </c>
      <c r="O76" s="4" t="s">
        <v>446</v>
      </c>
    </row>
    <row r="77" spans="1:15">
      <c r="A77" s="7">
        <v>73</v>
      </c>
      <c r="B77" s="4" t="s">
        <v>447</v>
      </c>
      <c r="C77" s="4" t="s">
        <v>160</v>
      </c>
      <c r="D77" s="4" t="s">
        <v>216</v>
      </c>
      <c r="E77" s="4" t="s">
        <v>136</v>
      </c>
      <c r="F77" s="4" t="s">
        <v>137</v>
      </c>
      <c r="G77" s="7">
        <v>10126</v>
      </c>
      <c r="H77" s="8">
        <v>2049000</v>
      </c>
      <c r="I77" s="8">
        <v>3311000</v>
      </c>
      <c r="J77" s="8">
        <v>327</v>
      </c>
      <c r="K77" s="9">
        <v>0.0485</v>
      </c>
      <c r="L77" s="8">
        <v>15.4</v>
      </c>
      <c r="M77" s="4" t="s">
        <v>448</v>
      </c>
      <c r="N77" s="4" t="s">
        <v>449</v>
      </c>
      <c r="O77" s="4" t="s">
        <v>450</v>
      </c>
    </row>
    <row r="78" spans="1:15">
      <c r="A78" s="7">
        <v>74</v>
      </c>
      <c r="B78" s="4" t="s">
        <v>451</v>
      </c>
      <c r="C78" s="4" t="s">
        <v>193</v>
      </c>
      <c r="D78" s="4" t="s">
        <v>135</v>
      </c>
      <c r="E78" s="4" t="s">
        <v>136</v>
      </c>
      <c r="F78" s="4" t="s">
        <v>137</v>
      </c>
      <c r="G78" s="7">
        <v>4540</v>
      </c>
      <c r="H78" s="8">
        <v>2043000</v>
      </c>
      <c r="I78" s="8">
        <v>735000</v>
      </c>
      <c r="J78" s="8">
        <v>162</v>
      </c>
      <c r="K78" s="9">
        <v>0.0353</v>
      </c>
      <c r="L78" s="8">
        <v>17</v>
      </c>
      <c r="M78" s="4" t="s">
        <v>452</v>
      </c>
      <c r="N78" s="4" t="s">
        <v>453</v>
      </c>
      <c r="O78" s="4" t="s">
        <v>454</v>
      </c>
    </row>
    <row r="79" spans="1:15">
      <c r="A79" s="7">
        <v>75</v>
      </c>
      <c r="B79" s="4" t="s">
        <v>455</v>
      </c>
      <c r="C79" s="4" t="s">
        <v>160</v>
      </c>
      <c r="D79" s="4" t="s">
        <v>143</v>
      </c>
      <c r="E79" s="4" t="s">
        <v>136</v>
      </c>
      <c r="F79" s="4" t="s">
        <v>137</v>
      </c>
      <c r="G79" s="7">
        <v>8540</v>
      </c>
      <c r="H79" s="8">
        <v>2000000</v>
      </c>
      <c r="I79" s="8">
        <v>2246000</v>
      </c>
      <c r="J79" s="8">
        <v>263</v>
      </c>
      <c r="K79" s="9">
        <v>0.0419</v>
      </c>
      <c r="L79" s="8">
        <v>15.4</v>
      </c>
      <c r="M79" s="4" t="s">
        <v>456</v>
      </c>
      <c r="N79" s="4" t="s">
        <v>457</v>
      </c>
      <c r="O79" s="4" t="s">
        <v>458</v>
      </c>
    </row>
    <row r="80" spans="1:15">
      <c r="A80" s="7">
        <v>76</v>
      </c>
      <c r="B80" s="4" t="s">
        <v>459</v>
      </c>
      <c r="C80" s="4" t="s">
        <v>221</v>
      </c>
      <c r="D80" s="4" t="s">
        <v>460</v>
      </c>
      <c r="E80" s="4" t="s">
        <v>136</v>
      </c>
      <c r="F80" s="4" t="s">
        <v>137</v>
      </c>
      <c r="G80" s="7">
        <v>5200</v>
      </c>
      <c r="H80" s="8">
        <v>1998500</v>
      </c>
      <c r="I80" s="8">
        <v>1404000</v>
      </c>
      <c r="J80" s="8">
        <v>270</v>
      </c>
      <c r="K80" s="9">
        <v>0.0618</v>
      </c>
      <c r="L80" s="8">
        <v>22.6</v>
      </c>
      <c r="M80" s="4" t="s">
        <v>461</v>
      </c>
      <c r="N80" s="4" t="s">
        <v>462</v>
      </c>
      <c r="O80" s="4" t="s">
        <v>463</v>
      </c>
    </row>
    <row r="81" spans="1:15">
      <c r="A81" s="7">
        <v>77</v>
      </c>
      <c r="B81" s="4" t="s">
        <v>464</v>
      </c>
      <c r="C81" s="4" t="s">
        <v>134</v>
      </c>
      <c r="D81" s="4" t="s">
        <v>361</v>
      </c>
      <c r="E81" s="4" t="s">
        <v>136</v>
      </c>
      <c r="F81" s="4" t="s">
        <v>137</v>
      </c>
      <c r="G81" s="7">
        <v>18100</v>
      </c>
      <c r="H81" s="8">
        <v>1990000</v>
      </c>
      <c r="I81" s="8">
        <v>3403000</v>
      </c>
      <c r="J81" s="8">
        <v>188</v>
      </c>
      <c r="K81" s="9">
        <v>0.1233</v>
      </c>
      <c r="L81" s="8">
        <v>26.5</v>
      </c>
      <c r="M81" s="4" t="s">
        <v>465</v>
      </c>
      <c r="N81" s="4" t="s">
        <v>466</v>
      </c>
      <c r="O81" s="4" t="s">
        <v>467</v>
      </c>
    </row>
    <row r="82" spans="1:15">
      <c r="A82" s="7">
        <v>78</v>
      </c>
      <c r="B82" s="4" t="s">
        <v>468</v>
      </c>
      <c r="C82" s="4" t="s">
        <v>172</v>
      </c>
      <c r="D82" s="4" t="s">
        <v>183</v>
      </c>
      <c r="E82" s="4" t="s">
        <v>136</v>
      </c>
      <c r="F82" s="4" t="s">
        <v>137</v>
      </c>
      <c r="G82" s="7">
        <v>15000</v>
      </c>
      <c r="H82" s="8">
        <v>1990000</v>
      </c>
      <c r="I82" s="8">
        <v>2025000</v>
      </c>
      <c r="J82" s="8">
        <v>135</v>
      </c>
      <c r="K82" s="9">
        <v>0.1244</v>
      </c>
      <c r="L82" s="8">
        <v>28</v>
      </c>
      <c r="M82" s="4" t="s">
        <v>469</v>
      </c>
      <c r="N82" s="4" t="s">
        <v>470</v>
      </c>
      <c r="O82" s="4" t="s">
        <v>471</v>
      </c>
    </row>
    <row r="83" spans="1:15">
      <c r="A83" s="7">
        <v>79</v>
      </c>
      <c r="B83" s="4" t="s">
        <v>472</v>
      </c>
      <c r="C83" s="4" t="s">
        <v>160</v>
      </c>
      <c r="D83" s="4" t="s">
        <v>361</v>
      </c>
      <c r="E83" s="4" t="s">
        <v>174</v>
      </c>
      <c r="F83" s="4" t="s">
        <v>137</v>
      </c>
      <c r="G83" s="7">
        <v>8518</v>
      </c>
      <c r="H83" s="8">
        <v>1950000</v>
      </c>
      <c r="I83" s="8">
        <v>2317000</v>
      </c>
      <c r="J83" s="8">
        <v>272</v>
      </c>
      <c r="K83" s="9">
        <v>0.0429</v>
      </c>
      <c r="L83" s="8">
        <v>15.4</v>
      </c>
      <c r="M83" s="4" t="s">
        <v>473</v>
      </c>
      <c r="N83" s="4" t="s">
        <v>474</v>
      </c>
      <c r="O83" s="4" t="s">
        <v>475</v>
      </c>
    </row>
    <row r="84" spans="1:15">
      <c r="A84" s="7">
        <v>80</v>
      </c>
      <c r="B84" s="4" t="s">
        <v>476</v>
      </c>
      <c r="C84" s="4" t="s">
        <v>149</v>
      </c>
      <c r="D84" s="4" t="s">
        <v>477</v>
      </c>
      <c r="E84" s="4" t="s">
        <v>174</v>
      </c>
      <c r="F84" s="4" t="s">
        <v>137</v>
      </c>
      <c r="G84" s="7">
        <v>16875</v>
      </c>
      <c r="H84" s="8">
        <v>1950000</v>
      </c>
      <c r="I84" s="8">
        <v>3662000</v>
      </c>
      <c r="J84" s="8">
        <v>217</v>
      </c>
      <c r="K84" s="9">
        <v>0.0839</v>
      </c>
      <c r="L84" s="8">
        <v>19.4</v>
      </c>
      <c r="M84" s="4" t="s">
        <v>478</v>
      </c>
      <c r="N84" s="4" t="s">
        <v>479</v>
      </c>
      <c r="O84" s="4" t="s">
        <v>480</v>
      </c>
    </row>
    <row r="85" spans="1:15">
      <c r="A85" s="7">
        <v>81</v>
      </c>
      <c r="B85" s="4" t="s">
        <v>481</v>
      </c>
      <c r="C85" s="4" t="s">
        <v>193</v>
      </c>
      <c r="D85" s="4" t="s">
        <v>243</v>
      </c>
      <c r="E85" s="4" t="s">
        <v>136</v>
      </c>
      <c r="F85" s="4" t="s">
        <v>137</v>
      </c>
      <c r="G85" s="7">
        <v>9652</v>
      </c>
      <c r="H85" s="8">
        <v>1950000</v>
      </c>
      <c r="I85" s="8">
        <v>1486000</v>
      </c>
      <c r="J85" s="8">
        <v>154</v>
      </c>
      <c r="K85" s="9">
        <v>0.07870000000000001</v>
      </c>
      <c r="L85" s="8">
        <v>17</v>
      </c>
      <c r="M85" s="4" t="s">
        <v>482</v>
      </c>
      <c r="N85" s="4" t="s">
        <v>483</v>
      </c>
      <c r="O85" s="4" t="s">
        <v>484</v>
      </c>
    </row>
    <row r="86" spans="1:15">
      <c r="A86" s="7">
        <v>82</v>
      </c>
      <c r="B86" s="4" t="s">
        <v>485</v>
      </c>
      <c r="C86" s="4" t="s">
        <v>149</v>
      </c>
      <c r="D86" s="4" t="s">
        <v>486</v>
      </c>
      <c r="E86" s="4" t="s">
        <v>136</v>
      </c>
      <c r="F86" s="4" t="s">
        <v>137</v>
      </c>
      <c r="G86" s="7">
        <v>16500</v>
      </c>
      <c r="H86" s="8">
        <v>1900000</v>
      </c>
      <c r="I86" s="8">
        <v>3630000</v>
      </c>
      <c r="J86" s="8">
        <v>220</v>
      </c>
      <c r="K86" s="9">
        <v>0.0842</v>
      </c>
      <c r="L86" s="8">
        <v>19.4</v>
      </c>
      <c r="M86" s="4" t="s">
        <v>487</v>
      </c>
      <c r="N86" s="4" t="s">
        <v>488</v>
      </c>
      <c r="O86" s="4" t="s">
        <v>489</v>
      </c>
    </row>
    <row r="87" spans="1:15">
      <c r="A87" s="7">
        <v>83</v>
      </c>
      <c r="B87" s="4" t="s">
        <v>381</v>
      </c>
      <c r="C87" s="4" t="s">
        <v>134</v>
      </c>
      <c r="D87" s="4" t="s">
        <v>243</v>
      </c>
      <c r="E87" s="4" t="s">
        <v>136</v>
      </c>
      <c r="F87" s="4" t="s">
        <v>137</v>
      </c>
      <c r="G87" s="7">
        <v>3130</v>
      </c>
      <c r="H87" s="8">
        <v>1900000</v>
      </c>
      <c r="I87" s="8">
        <v>1881000</v>
      </c>
      <c r="J87" s="8">
        <v>601</v>
      </c>
      <c r="K87" s="10" t="s">
        <v>144</v>
      </c>
      <c r="L87" s="8">
        <v>26.5</v>
      </c>
      <c r="M87" s="4" t="s">
        <v>382</v>
      </c>
      <c r="N87" s="4" t="s">
        <v>383</v>
      </c>
      <c r="O87" s="4" t="s">
        <v>490</v>
      </c>
    </row>
    <row r="88" spans="1:15">
      <c r="A88" s="7">
        <v>84</v>
      </c>
      <c r="B88" s="4" t="s">
        <v>491</v>
      </c>
      <c r="C88" s="4" t="s">
        <v>160</v>
      </c>
      <c r="D88" s="4" t="s">
        <v>161</v>
      </c>
      <c r="E88" s="4" t="s">
        <v>136</v>
      </c>
      <c r="F88" s="4" t="s">
        <v>137</v>
      </c>
      <c r="G88" s="7">
        <v>13802</v>
      </c>
      <c r="H88" s="8">
        <v>1895000</v>
      </c>
      <c r="I88" s="8">
        <v>2319000</v>
      </c>
      <c r="J88" s="8">
        <v>168</v>
      </c>
      <c r="K88" s="9">
        <v>0.07149999999999999</v>
      </c>
      <c r="L88" s="8">
        <v>15.4</v>
      </c>
      <c r="M88" s="4" t="s">
        <v>492</v>
      </c>
      <c r="N88" s="4" t="s">
        <v>493</v>
      </c>
      <c r="O88" s="4" t="s">
        <v>494</v>
      </c>
    </row>
    <row r="89" spans="1:15">
      <c r="A89" s="7">
        <v>85</v>
      </c>
      <c r="B89" s="4" t="s">
        <v>495</v>
      </c>
      <c r="C89" s="4" t="s">
        <v>134</v>
      </c>
      <c r="D89" s="4" t="s">
        <v>143</v>
      </c>
      <c r="E89" s="4" t="s">
        <v>174</v>
      </c>
      <c r="F89" s="4" t="s">
        <v>137</v>
      </c>
      <c r="G89" s="7">
        <v>5664</v>
      </c>
      <c r="H89" s="8">
        <v>1890000</v>
      </c>
      <c r="I89" s="8">
        <v>1926000</v>
      </c>
      <c r="J89" s="8">
        <v>340</v>
      </c>
      <c r="K89" s="9">
        <v>0.0406</v>
      </c>
      <c r="L89" s="8">
        <v>26.5</v>
      </c>
      <c r="M89" s="4" t="s">
        <v>496</v>
      </c>
      <c r="N89" s="4" t="s">
        <v>497</v>
      </c>
      <c r="O89" s="4" t="s">
        <v>498</v>
      </c>
    </row>
    <row r="90" spans="1:15">
      <c r="A90" s="7">
        <v>86</v>
      </c>
      <c r="B90" s="4" t="s">
        <v>499</v>
      </c>
      <c r="C90" s="4" t="s">
        <v>134</v>
      </c>
      <c r="D90" s="4" t="s">
        <v>500</v>
      </c>
      <c r="E90" s="4" t="s">
        <v>136</v>
      </c>
      <c r="F90" s="4" t="s">
        <v>137</v>
      </c>
      <c r="G90" s="7">
        <v>17111</v>
      </c>
      <c r="H90" s="8">
        <v>1890000</v>
      </c>
      <c r="I90" s="8">
        <v>3320000</v>
      </c>
      <c r="J90" s="8">
        <v>194</v>
      </c>
      <c r="K90" s="9">
        <v>0.1227</v>
      </c>
      <c r="L90" s="8">
        <v>26.5</v>
      </c>
      <c r="M90" s="4" t="s">
        <v>501</v>
      </c>
      <c r="N90" s="4" t="s">
        <v>502</v>
      </c>
      <c r="O90" s="4" t="s">
        <v>503</v>
      </c>
    </row>
    <row r="91" spans="1:15">
      <c r="A91" s="7">
        <v>87</v>
      </c>
      <c r="B91" s="4" t="s">
        <v>504</v>
      </c>
      <c r="C91" s="4" t="s">
        <v>134</v>
      </c>
      <c r="D91" s="4" t="s">
        <v>135</v>
      </c>
      <c r="E91" s="4" t="s">
        <v>136</v>
      </c>
      <c r="F91" s="4" t="s">
        <v>137</v>
      </c>
      <c r="G91" s="7">
        <v>14299</v>
      </c>
      <c r="H91" s="8">
        <v>1850000</v>
      </c>
      <c r="I91" s="8">
        <v>2703000</v>
      </c>
      <c r="J91" s="8">
        <v>189</v>
      </c>
      <c r="K91" s="9">
        <v>0.1047</v>
      </c>
      <c r="L91" s="8">
        <v>26.5</v>
      </c>
      <c r="M91" s="4" t="s">
        <v>505</v>
      </c>
      <c r="N91" s="4" t="s">
        <v>506</v>
      </c>
      <c r="O91" s="4" t="s">
        <v>507</v>
      </c>
    </row>
    <row r="92" spans="1:15">
      <c r="A92" s="7">
        <v>88</v>
      </c>
      <c r="B92" s="4" t="s">
        <v>508</v>
      </c>
      <c r="C92" s="4" t="s">
        <v>160</v>
      </c>
      <c r="D92" s="4" t="s">
        <v>509</v>
      </c>
      <c r="E92" s="4" t="s">
        <v>174</v>
      </c>
      <c r="F92" s="4" t="s">
        <v>137</v>
      </c>
      <c r="G92" s="7">
        <v>13402</v>
      </c>
      <c r="H92" s="8">
        <v>1800000</v>
      </c>
      <c r="I92" s="8">
        <v>2855000</v>
      </c>
      <c r="J92" s="8">
        <v>213</v>
      </c>
      <c r="K92" s="9">
        <v>0.0731</v>
      </c>
      <c r="L92" s="8">
        <v>15.4</v>
      </c>
      <c r="M92" s="4" t="s">
        <v>510</v>
      </c>
      <c r="N92" s="4" t="s">
        <v>511</v>
      </c>
      <c r="O92" s="4" t="s">
        <v>512</v>
      </c>
    </row>
    <row r="93" spans="1:15">
      <c r="A93" s="7">
        <v>89</v>
      </c>
      <c r="B93" s="4" t="s">
        <v>513</v>
      </c>
      <c r="C93" s="4" t="s">
        <v>160</v>
      </c>
      <c r="D93" s="4" t="s">
        <v>143</v>
      </c>
      <c r="E93" s="4" t="s">
        <v>136</v>
      </c>
      <c r="F93" s="4" t="s">
        <v>137</v>
      </c>
      <c r="G93" s="7">
        <v>9167</v>
      </c>
      <c r="H93" s="8">
        <v>1800000</v>
      </c>
      <c r="I93" s="8">
        <v>2319000</v>
      </c>
      <c r="J93" s="8">
        <v>253</v>
      </c>
      <c r="K93" s="9">
        <v>0.05</v>
      </c>
      <c r="L93" s="8">
        <v>15.4</v>
      </c>
      <c r="M93" s="4" t="s">
        <v>514</v>
      </c>
      <c r="N93" s="4" t="s">
        <v>515</v>
      </c>
      <c r="O93" s="4" t="s">
        <v>516</v>
      </c>
    </row>
    <row r="94" spans="1:15">
      <c r="A94" s="7">
        <v>90</v>
      </c>
      <c r="B94" s="4" t="s">
        <v>517</v>
      </c>
      <c r="C94" s="4" t="s">
        <v>149</v>
      </c>
      <c r="D94" s="4" t="s">
        <v>194</v>
      </c>
      <c r="E94" s="4" t="s">
        <v>136</v>
      </c>
      <c r="F94" s="4" t="s">
        <v>137</v>
      </c>
      <c r="G94" s="7">
        <v>11736</v>
      </c>
      <c r="H94" s="8">
        <v>1800000</v>
      </c>
      <c r="I94" s="8">
        <v>3087000</v>
      </c>
      <c r="J94" s="8">
        <v>263</v>
      </c>
      <c r="K94" s="9">
        <v>0.06320000000000001</v>
      </c>
      <c r="L94" s="8">
        <v>19.4</v>
      </c>
      <c r="M94" s="4" t="s">
        <v>518</v>
      </c>
      <c r="N94" s="4" t="s">
        <v>519</v>
      </c>
      <c r="O94" s="4" t="s">
        <v>520</v>
      </c>
    </row>
    <row r="95" spans="1:15">
      <c r="A95" s="7">
        <v>91</v>
      </c>
      <c r="B95" s="4" t="s">
        <v>521</v>
      </c>
      <c r="C95" s="4" t="s">
        <v>160</v>
      </c>
      <c r="D95" s="4" t="s">
        <v>178</v>
      </c>
      <c r="E95" s="4" t="s">
        <v>136</v>
      </c>
      <c r="F95" s="4" t="s">
        <v>137</v>
      </c>
      <c r="G95" s="7">
        <v>6977</v>
      </c>
      <c r="H95" s="8">
        <v>1799000</v>
      </c>
      <c r="I95" s="8">
        <v>2937000</v>
      </c>
      <c r="J95" s="8">
        <v>421</v>
      </c>
      <c r="K95" s="9">
        <v>0.0381</v>
      </c>
      <c r="L95" s="8">
        <v>15.4</v>
      </c>
      <c r="M95" s="4" t="s">
        <v>522</v>
      </c>
      <c r="N95" s="4" t="s">
        <v>523</v>
      </c>
      <c r="O95" s="4" t="s">
        <v>524</v>
      </c>
    </row>
    <row r="96" spans="1:15">
      <c r="A96" s="7">
        <v>92</v>
      </c>
      <c r="B96" s="4" t="s">
        <v>525</v>
      </c>
      <c r="C96" s="4" t="s">
        <v>160</v>
      </c>
      <c r="D96" s="4" t="s">
        <v>143</v>
      </c>
      <c r="E96" s="4" t="s">
        <v>136</v>
      </c>
      <c r="F96" s="4" t="s">
        <v>137</v>
      </c>
      <c r="G96" s="7">
        <v>20256</v>
      </c>
      <c r="H96" s="8">
        <v>1750000</v>
      </c>
      <c r="I96" s="8">
        <v>3362000</v>
      </c>
      <c r="J96" s="8">
        <v>166</v>
      </c>
      <c r="K96" s="9">
        <v>0.1136</v>
      </c>
      <c r="L96" s="8">
        <v>15.4</v>
      </c>
      <c r="M96" s="4" t="s">
        <v>526</v>
      </c>
      <c r="N96" s="4" t="s">
        <v>527</v>
      </c>
      <c r="O96" s="4" t="s">
        <v>528</v>
      </c>
    </row>
    <row r="97" spans="1:15">
      <c r="A97" s="7">
        <v>93</v>
      </c>
      <c r="B97" s="4" t="s">
        <v>451</v>
      </c>
      <c r="C97" s="4" t="s">
        <v>193</v>
      </c>
      <c r="D97" s="4" t="s">
        <v>135</v>
      </c>
      <c r="E97" s="4" t="s">
        <v>174</v>
      </c>
      <c r="F97" s="4" t="s">
        <v>137</v>
      </c>
      <c r="G97" s="7">
        <v>4540</v>
      </c>
      <c r="H97" s="8">
        <v>1740000</v>
      </c>
      <c r="I97" s="8">
        <v>735000</v>
      </c>
      <c r="J97" s="8">
        <v>162</v>
      </c>
      <c r="K97" s="9">
        <v>0.0415</v>
      </c>
      <c r="L97" s="8">
        <v>17</v>
      </c>
      <c r="M97" s="4" t="s">
        <v>452</v>
      </c>
      <c r="N97" s="4" t="s">
        <v>529</v>
      </c>
      <c r="O97" s="4" t="s">
        <v>530</v>
      </c>
    </row>
    <row r="98" spans="1:15">
      <c r="A98" s="7">
        <v>94</v>
      </c>
      <c r="B98" s="4" t="s">
        <v>451</v>
      </c>
      <c r="C98" s="4" t="s">
        <v>193</v>
      </c>
      <c r="D98" s="4" t="s">
        <v>135</v>
      </c>
      <c r="E98" s="4" t="s">
        <v>136</v>
      </c>
      <c r="F98" s="4" t="s">
        <v>137</v>
      </c>
      <c r="G98" s="7">
        <v>4340</v>
      </c>
      <c r="H98" s="8">
        <v>1700000</v>
      </c>
      <c r="I98" s="8">
        <v>720000</v>
      </c>
      <c r="J98" s="8">
        <v>166</v>
      </c>
      <c r="K98" s="9">
        <v>0.0406</v>
      </c>
      <c r="L98" s="8">
        <v>17</v>
      </c>
      <c r="M98" s="4" t="s">
        <v>531</v>
      </c>
      <c r="N98" s="4" t="s">
        <v>532</v>
      </c>
      <c r="O98" s="4" t="s">
        <v>533</v>
      </c>
    </row>
    <row r="99" spans="1:15">
      <c r="A99" s="7">
        <v>95</v>
      </c>
      <c r="B99" s="4" t="s">
        <v>534</v>
      </c>
      <c r="C99" s="4" t="s">
        <v>134</v>
      </c>
      <c r="D99" s="4" t="s">
        <v>143</v>
      </c>
      <c r="E99" s="4" t="s">
        <v>136</v>
      </c>
      <c r="F99" s="4" t="s">
        <v>137</v>
      </c>
      <c r="G99" s="7">
        <v>12769</v>
      </c>
      <c r="H99" s="8">
        <v>1700000</v>
      </c>
      <c r="I99" s="8">
        <v>2809000</v>
      </c>
      <c r="J99" s="8">
        <v>220</v>
      </c>
      <c r="K99" s="9">
        <v>0.1018</v>
      </c>
      <c r="L99" s="8">
        <v>26.5</v>
      </c>
      <c r="M99" s="4" t="s">
        <v>535</v>
      </c>
      <c r="N99" s="4" t="s">
        <v>536</v>
      </c>
      <c r="O99" s="4" t="s">
        <v>537</v>
      </c>
    </row>
    <row r="100" spans="1:15">
      <c r="A100" s="7">
        <v>96</v>
      </c>
      <c r="B100" s="4" t="s">
        <v>538</v>
      </c>
      <c r="C100" s="4" t="s">
        <v>134</v>
      </c>
      <c r="D100" s="4" t="s">
        <v>143</v>
      </c>
      <c r="E100" s="4" t="s">
        <v>136</v>
      </c>
      <c r="F100" s="4" t="s">
        <v>137</v>
      </c>
      <c r="G100" s="7">
        <v>7497</v>
      </c>
      <c r="H100" s="8">
        <v>1700000</v>
      </c>
      <c r="I100" s="8">
        <v>2182000</v>
      </c>
      <c r="J100" s="8">
        <v>291</v>
      </c>
      <c r="K100" s="9">
        <v>0.0598</v>
      </c>
      <c r="L100" s="8">
        <v>26.5</v>
      </c>
      <c r="M100" s="4" t="s">
        <v>539</v>
      </c>
      <c r="N100" s="4" t="s">
        <v>540</v>
      </c>
      <c r="O100" s="4" t="s">
        <v>541</v>
      </c>
    </row>
    <row r="101" spans="1:15">
      <c r="A101" s="7">
        <v>97</v>
      </c>
      <c r="B101" s="4" t="s">
        <v>542</v>
      </c>
      <c r="C101" s="4" t="s">
        <v>160</v>
      </c>
      <c r="D101" s="4" t="s">
        <v>161</v>
      </c>
      <c r="E101" s="4" t="s">
        <v>136</v>
      </c>
      <c r="F101" s="4" t="s">
        <v>137</v>
      </c>
      <c r="G101" s="7">
        <v>13802</v>
      </c>
      <c r="H101" s="8">
        <v>1699000</v>
      </c>
      <c r="I101" s="8">
        <v>2319000</v>
      </c>
      <c r="J101" s="8">
        <v>168</v>
      </c>
      <c r="K101" s="9">
        <v>0.07969999999999999</v>
      </c>
      <c r="L101" s="8">
        <v>15.4</v>
      </c>
      <c r="M101" s="4" t="s">
        <v>543</v>
      </c>
      <c r="N101" s="4" t="s">
        <v>544</v>
      </c>
      <c r="O101" s="4" t="s">
        <v>545</v>
      </c>
    </row>
    <row r="102" spans="1:15">
      <c r="A102" s="7">
        <v>98</v>
      </c>
      <c r="B102" s="4" t="s">
        <v>546</v>
      </c>
      <c r="C102" s="4" t="s">
        <v>149</v>
      </c>
      <c r="D102" s="4" t="s">
        <v>255</v>
      </c>
      <c r="E102" s="4" t="s">
        <v>136</v>
      </c>
      <c r="F102" s="4" t="s">
        <v>137</v>
      </c>
      <c r="G102" s="7">
        <v>16875</v>
      </c>
      <c r="H102" s="8">
        <v>1600000</v>
      </c>
      <c r="I102" s="8">
        <v>2396000</v>
      </c>
      <c r="J102" s="8">
        <v>142</v>
      </c>
      <c r="K102" s="9">
        <v>0.1022</v>
      </c>
      <c r="L102" s="8">
        <v>19.4</v>
      </c>
      <c r="M102" s="4" t="s">
        <v>547</v>
      </c>
      <c r="N102" s="4" t="s">
        <v>548</v>
      </c>
      <c r="O102" s="4" t="s">
        <v>549</v>
      </c>
    </row>
    <row r="103" spans="1:15">
      <c r="A103" s="7">
        <v>99</v>
      </c>
      <c r="B103" s="4" t="s">
        <v>550</v>
      </c>
      <c r="C103" s="4" t="s">
        <v>134</v>
      </c>
      <c r="D103" s="4" t="s">
        <v>183</v>
      </c>
      <c r="E103" s="4" t="s">
        <v>136</v>
      </c>
      <c r="F103" s="4" t="s">
        <v>137</v>
      </c>
      <c r="G103" s="7">
        <v>12398</v>
      </c>
      <c r="H103" s="8">
        <v>1600000</v>
      </c>
      <c r="I103" s="8">
        <v>2852000</v>
      </c>
      <c r="J103" s="8">
        <v>230</v>
      </c>
      <c r="K103" s="9">
        <v>0.105</v>
      </c>
      <c r="L103" s="8">
        <v>26.5</v>
      </c>
      <c r="M103" s="4" t="s">
        <v>551</v>
      </c>
      <c r="N103" s="4" t="s">
        <v>552</v>
      </c>
      <c r="O103" s="4" t="s">
        <v>553</v>
      </c>
    </row>
    <row r="104" spans="1:15">
      <c r="A104" s="7">
        <v>100</v>
      </c>
      <c r="B104" s="4" t="s">
        <v>435</v>
      </c>
      <c r="C104" s="4" t="s">
        <v>160</v>
      </c>
      <c r="D104" s="4" t="s">
        <v>161</v>
      </c>
      <c r="E104" s="4" t="s">
        <v>174</v>
      </c>
      <c r="F104" s="4" t="s">
        <v>137</v>
      </c>
      <c r="G104" s="7">
        <v>14000</v>
      </c>
      <c r="H104" s="8">
        <v>1599900</v>
      </c>
      <c r="I104" s="8">
        <v>2324000</v>
      </c>
      <c r="J104" s="8">
        <v>166</v>
      </c>
      <c r="K104" s="9">
        <v>0.0859</v>
      </c>
      <c r="L104" s="8">
        <v>15.4</v>
      </c>
      <c r="M104" s="4" t="s">
        <v>436</v>
      </c>
      <c r="N104" s="4" t="s">
        <v>554</v>
      </c>
      <c r="O104" s="4" t="s">
        <v>555</v>
      </c>
    </row>
    <row r="105" spans="1:15">
      <c r="A105" s="7">
        <v>101</v>
      </c>
      <c r="B105" s="4" t="s">
        <v>556</v>
      </c>
      <c r="C105" s="4" t="s">
        <v>160</v>
      </c>
      <c r="D105" s="4" t="s">
        <v>395</v>
      </c>
      <c r="E105" s="4" t="s">
        <v>136</v>
      </c>
      <c r="F105" s="4" t="s">
        <v>137</v>
      </c>
      <c r="G105" s="7">
        <v>6440</v>
      </c>
      <c r="H105" s="8">
        <v>1500000</v>
      </c>
      <c r="I105" s="8">
        <v>2029000</v>
      </c>
      <c r="J105" s="8">
        <v>315</v>
      </c>
      <c r="K105" s="9">
        <v>0.0421</v>
      </c>
      <c r="L105" s="8">
        <v>15.4</v>
      </c>
      <c r="M105" s="4" t="s">
        <v>557</v>
      </c>
      <c r="N105" s="4" t="s">
        <v>558</v>
      </c>
      <c r="O105" s="4" t="s">
        <v>559</v>
      </c>
    </row>
    <row r="106" spans="1:15">
      <c r="A106" s="7">
        <v>102</v>
      </c>
      <c r="B106" s="4" t="s">
        <v>560</v>
      </c>
      <c r="C106" s="4" t="s">
        <v>160</v>
      </c>
      <c r="D106" s="4" t="s">
        <v>143</v>
      </c>
      <c r="E106" s="4" t="s">
        <v>136</v>
      </c>
      <c r="F106" s="4" t="s">
        <v>137</v>
      </c>
      <c r="G106" s="7">
        <v>9167</v>
      </c>
      <c r="H106" s="8">
        <v>1500000</v>
      </c>
      <c r="I106" s="8">
        <v>2319000</v>
      </c>
      <c r="J106" s="8">
        <v>253</v>
      </c>
      <c r="K106" s="9">
        <v>0.06</v>
      </c>
      <c r="L106" s="8">
        <v>15.4</v>
      </c>
      <c r="M106" s="4" t="s">
        <v>561</v>
      </c>
      <c r="N106" s="4" t="s">
        <v>562</v>
      </c>
      <c r="O106" s="4" t="s">
        <v>563</v>
      </c>
    </row>
    <row r="107" spans="1:15">
      <c r="A107" s="7">
        <v>103</v>
      </c>
      <c r="B107" s="4" t="s">
        <v>564</v>
      </c>
      <c r="C107" s="4" t="s">
        <v>160</v>
      </c>
      <c r="D107" s="4" t="s">
        <v>250</v>
      </c>
      <c r="E107" s="4" t="s">
        <v>136</v>
      </c>
      <c r="F107" s="4" t="s">
        <v>137</v>
      </c>
      <c r="G107" s="7">
        <v>9563</v>
      </c>
      <c r="H107" s="8">
        <v>1500000</v>
      </c>
      <c r="I107" s="8">
        <v>2439000</v>
      </c>
      <c r="J107" s="8">
        <v>255</v>
      </c>
      <c r="K107" s="9">
        <v>0.0626</v>
      </c>
      <c r="L107" s="8">
        <v>15.4</v>
      </c>
      <c r="M107" s="4" t="s">
        <v>565</v>
      </c>
      <c r="N107" s="4" t="s">
        <v>566</v>
      </c>
      <c r="O107" s="4" t="s">
        <v>567</v>
      </c>
    </row>
    <row r="108" spans="1:15">
      <c r="A108" s="7">
        <v>104</v>
      </c>
      <c r="B108" s="4" t="s">
        <v>564</v>
      </c>
      <c r="C108" s="4" t="s">
        <v>160</v>
      </c>
      <c r="D108" s="4" t="s">
        <v>250</v>
      </c>
      <c r="E108" s="4" t="s">
        <v>136</v>
      </c>
      <c r="F108" s="4" t="s">
        <v>137</v>
      </c>
      <c r="G108" s="7">
        <v>9563</v>
      </c>
      <c r="H108" s="8">
        <v>1500000</v>
      </c>
      <c r="I108" s="8">
        <v>2439000</v>
      </c>
      <c r="J108" s="8">
        <v>255</v>
      </c>
      <c r="K108" s="9">
        <v>0.0626</v>
      </c>
      <c r="L108" s="8">
        <v>15.4</v>
      </c>
      <c r="M108" s="4" t="s">
        <v>565</v>
      </c>
      <c r="N108" s="4" t="s">
        <v>566</v>
      </c>
      <c r="O108" s="4" t="s">
        <v>567</v>
      </c>
    </row>
    <row r="109" spans="1:15">
      <c r="A109" s="7">
        <v>105</v>
      </c>
      <c r="B109" s="4" t="s">
        <v>568</v>
      </c>
      <c r="C109" s="4" t="s">
        <v>160</v>
      </c>
      <c r="D109" s="4" t="s">
        <v>178</v>
      </c>
      <c r="E109" s="4" t="s">
        <v>174</v>
      </c>
      <c r="F109" s="4" t="s">
        <v>137</v>
      </c>
      <c r="G109" s="7">
        <v>6977</v>
      </c>
      <c r="H109" s="8">
        <v>1490000</v>
      </c>
      <c r="I109" s="8">
        <v>2937000</v>
      </c>
      <c r="J109" s="8">
        <v>421</v>
      </c>
      <c r="K109" s="9">
        <v>0.046</v>
      </c>
      <c r="L109" s="8">
        <v>15.4</v>
      </c>
      <c r="M109" s="4" t="s">
        <v>569</v>
      </c>
      <c r="N109" s="4" t="s">
        <v>570</v>
      </c>
      <c r="O109" s="4" t="s">
        <v>571</v>
      </c>
    </row>
    <row r="110" spans="1:15">
      <c r="A110" s="7">
        <v>106</v>
      </c>
      <c r="B110" s="4" t="s">
        <v>572</v>
      </c>
      <c r="C110" s="4" t="s">
        <v>160</v>
      </c>
      <c r="D110" s="4" t="s">
        <v>255</v>
      </c>
      <c r="E110" s="4" t="s">
        <v>136</v>
      </c>
      <c r="F110" s="4" t="s">
        <v>137</v>
      </c>
      <c r="G110" s="7">
        <v>11865</v>
      </c>
      <c r="H110" s="8">
        <v>1425000</v>
      </c>
      <c r="I110" s="8">
        <v>1768000</v>
      </c>
      <c r="J110" s="8">
        <v>149</v>
      </c>
      <c r="K110" s="9">
        <v>0.08169999999999999</v>
      </c>
      <c r="L110" s="8">
        <v>15.4</v>
      </c>
      <c r="M110" s="4" t="s">
        <v>573</v>
      </c>
      <c r="N110" s="4" t="s">
        <v>574</v>
      </c>
      <c r="O110" s="4" t="s">
        <v>575</v>
      </c>
    </row>
    <row r="111" spans="1:15">
      <c r="A111" s="7">
        <v>107</v>
      </c>
      <c r="B111" s="4" t="s">
        <v>546</v>
      </c>
      <c r="C111" s="4" t="s">
        <v>149</v>
      </c>
      <c r="D111" s="4" t="s">
        <v>255</v>
      </c>
      <c r="E111" s="4" t="s">
        <v>174</v>
      </c>
      <c r="F111" s="4" t="s">
        <v>137</v>
      </c>
      <c r="G111" s="7">
        <v>16875</v>
      </c>
      <c r="H111" s="8">
        <v>1400000</v>
      </c>
      <c r="I111" s="8">
        <v>2396000</v>
      </c>
      <c r="J111" s="8">
        <v>142</v>
      </c>
      <c r="K111" s="9">
        <v>0.1168</v>
      </c>
      <c r="L111" s="8">
        <v>19.4</v>
      </c>
      <c r="M111" s="4" t="s">
        <v>547</v>
      </c>
      <c r="N111" s="4" t="s">
        <v>576</v>
      </c>
      <c r="O111" s="4" t="s">
        <v>577</v>
      </c>
    </row>
    <row r="112" spans="1:15">
      <c r="A112" s="7">
        <v>108</v>
      </c>
      <c r="B112" s="4" t="s">
        <v>578</v>
      </c>
      <c r="C112" s="4" t="s">
        <v>160</v>
      </c>
      <c r="D112" s="4" t="s">
        <v>579</v>
      </c>
      <c r="E112" s="4" t="s">
        <v>174</v>
      </c>
      <c r="F112" s="4" t="s">
        <v>137</v>
      </c>
      <c r="G112" s="7">
        <v>9167</v>
      </c>
      <c r="H112" s="8">
        <v>1400000</v>
      </c>
      <c r="I112" s="8">
        <v>2402000</v>
      </c>
      <c r="J112" s="8">
        <v>262</v>
      </c>
      <c r="K112" s="9">
        <v>0.0643</v>
      </c>
      <c r="L112" s="8">
        <v>15.4</v>
      </c>
      <c r="M112" s="4" t="s">
        <v>580</v>
      </c>
      <c r="N112" s="4" t="s">
        <v>581</v>
      </c>
      <c r="O112" s="4" t="s">
        <v>582</v>
      </c>
    </row>
    <row r="113" spans="1:15">
      <c r="A113" s="7">
        <v>109</v>
      </c>
      <c r="B113" s="4" t="s">
        <v>583</v>
      </c>
      <c r="C113" s="4" t="s">
        <v>166</v>
      </c>
      <c r="D113" s="4" t="s">
        <v>395</v>
      </c>
      <c r="E113" s="4" t="s">
        <v>136</v>
      </c>
      <c r="F113" s="4" t="s">
        <v>137</v>
      </c>
      <c r="G113" s="7">
        <v>3375</v>
      </c>
      <c r="H113" s="8">
        <v>1400000</v>
      </c>
      <c r="I113" s="8">
        <v>1114000</v>
      </c>
      <c r="J113" s="8">
        <v>330</v>
      </c>
      <c r="K113" s="10" t="s">
        <v>144</v>
      </c>
      <c r="L113" s="8">
        <v>20.2</v>
      </c>
      <c r="M113" s="4" t="s">
        <v>584</v>
      </c>
      <c r="N113" s="4" t="s">
        <v>585</v>
      </c>
      <c r="O113" s="4" t="s">
        <v>586</v>
      </c>
    </row>
    <row r="114" spans="1:15">
      <c r="A114" s="7">
        <v>110</v>
      </c>
      <c r="B114" s="4" t="s">
        <v>587</v>
      </c>
      <c r="C114" s="4" t="s">
        <v>134</v>
      </c>
      <c r="D114" s="4" t="s">
        <v>255</v>
      </c>
      <c r="E114" s="4" t="s">
        <v>136</v>
      </c>
      <c r="F114" s="4" t="s">
        <v>137</v>
      </c>
      <c r="G114" s="7">
        <v>6225</v>
      </c>
      <c r="H114" s="8">
        <v>1399000</v>
      </c>
      <c r="I114" s="8">
        <v>1351000</v>
      </c>
      <c r="J114" s="8">
        <v>217</v>
      </c>
      <c r="K114" s="9">
        <v>0.0603</v>
      </c>
      <c r="L114" s="8">
        <v>26.5</v>
      </c>
      <c r="M114" s="4" t="s">
        <v>588</v>
      </c>
      <c r="N114" s="4" t="s">
        <v>589</v>
      </c>
      <c r="O114" s="4" t="s">
        <v>590</v>
      </c>
    </row>
    <row r="115" spans="1:15">
      <c r="A115" s="7">
        <v>111</v>
      </c>
      <c r="B115" s="4" t="s">
        <v>591</v>
      </c>
      <c r="C115" s="4" t="s">
        <v>134</v>
      </c>
      <c r="D115" s="4" t="s">
        <v>300</v>
      </c>
      <c r="E115" s="4" t="s">
        <v>136</v>
      </c>
      <c r="F115" s="4" t="s">
        <v>137</v>
      </c>
      <c r="G115" s="7">
        <v>7250</v>
      </c>
      <c r="H115" s="8">
        <v>1395000</v>
      </c>
      <c r="I115" s="8">
        <v>2001000</v>
      </c>
      <c r="J115" s="8">
        <v>276</v>
      </c>
      <c r="K115" s="9">
        <v>0.0704</v>
      </c>
      <c r="L115" s="8">
        <v>26.5</v>
      </c>
      <c r="M115" s="4" t="s">
        <v>592</v>
      </c>
      <c r="N115" s="4" t="s">
        <v>593</v>
      </c>
      <c r="O115" s="4" t="s">
        <v>594</v>
      </c>
    </row>
    <row r="116" spans="1:15">
      <c r="A116" s="7">
        <v>112</v>
      </c>
      <c r="B116" s="4" t="s">
        <v>595</v>
      </c>
      <c r="C116" s="4" t="s">
        <v>193</v>
      </c>
      <c r="D116" s="4" t="s">
        <v>135</v>
      </c>
      <c r="E116" s="4" t="s">
        <v>136</v>
      </c>
      <c r="F116" s="4" t="s">
        <v>137</v>
      </c>
      <c r="G116" s="7">
        <v>10500</v>
      </c>
      <c r="H116" s="8">
        <v>1350000</v>
      </c>
      <c r="I116" s="8">
        <v>1082000</v>
      </c>
      <c r="J116" s="8">
        <v>103</v>
      </c>
      <c r="K116" s="9">
        <v>0.1236</v>
      </c>
      <c r="L116" s="8">
        <v>17</v>
      </c>
      <c r="M116" s="4" t="s">
        <v>596</v>
      </c>
      <c r="N116" s="4" t="s">
        <v>597</v>
      </c>
      <c r="O116" s="4" t="s">
        <v>598</v>
      </c>
    </row>
    <row r="117" spans="1:15">
      <c r="A117" s="7">
        <v>113</v>
      </c>
      <c r="B117" s="4" t="s">
        <v>599</v>
      </c>
      <c r="C117" s="4" t="s">
        <v>160</v>
      </c>
      <c r="D117" s="4" t="s">
        <v>143</v>
      </c>
      <c r="E117" s="4" t="s">
        <v>136</v>
      </c>
      <c r="F117" s="4" t="s">
        <v>137</v>
      </c>
      <c r="G117" s="7">
        <v>13504</v>
      </c>
      <c r="H117" s="8">
        <v>1350000</v>
      </c>
      <c r="I117" s="8">
        <v>2782000</v>
      </c>
      <c r="J117" s="8">
        <v>206</v>
      </c>
      <c r="K117" s="9">
        <v>0.0982</v>
      </c>
      <c r="L117" s="8">
        <v>15.4</v>
      </c>
      <c r="M117" s="4" t="s">
        <v>600</v>
      </c>
      <c r="N117" s="4" t="s">
        <v>601</v>
      </c>
      <c r="O117" s="4" t="s">
        <v>602</v>
      </c>
    </row>
    <row r="118" spans="1:15">
      <c r="A118" s="7">
        <v>114</v>
      </c>
      <c r="B118" s="4" t="s">
        <v>603</v>
      </c>
      <c r="C118" s="4" t="s">
        <v>160</v>
      </c>
      <c r="D118" s="4" t="s">
        <v>143</v>
      </c>
      <c r="E118" s="4" t="s">
        <v>136</v>
      </c>
      <c r="F118" s="4" t="s">
        <v>137</v>
      </c>
      <c r="G118" s="7">
        <v>10127</v>
      </c>
      <c r="H118" s="8">
        <v>1349999</v>
      </c>
      <c r="I118" s="8">
        <v>2430000</v>
      </c>
      <c r="J118" s="8">
        <v>240</v>
      </c>
      <c r="K118" s="9">
        <v>0.0736</v>
      </c>
      <c r="L118" s="8">
        <v>15.4</v>
      </c>
      <c r="M118" s="4" t="s">
        <v>604</v>
      </c>
      <c r="N118" s="4" t="s">
        <v>605</v>
      </c>
      <c r="O118" s="4" t="s">
        <v>606</v>
      </c>
    </row>
    <row r="119" spans="1:15">
      <c r="A119" s="7">
        <v>115</v>
      </c>
      <c r="B119" s="4" t="s">
        <v>607</v>
      </c>
      <c r="C119" s="4" t="s">
        <v>160</v>
      </c>
      <c r="D119" s="4" t="s">
        <v>255</v>
      </c>
      <c r="E119" s="4" t="s">
        <v>136</v>
      </c>
      <c r="F119" s="4" t="s">
        <v>137</v>
      </c>
      <c r="G119" s="7">
        <v>11300</v>
      </c>
      <c r="H119" s="8">
        <v>1300000</v>
      </c>
      <c r="I119" s="8">
        <v>1729000</v>
      </c>
      <c r="J119" s="8">
        <v>153</v>
      </c>
      <c r="K119" s="9">
        <v>0.0853</v>
      </c>
      <c r="L119" s="8">
        <v>15.4</v>
      </c>
      <c r="M119" s="4" t="s">
        <v>608</v>
      </c>
      <c r="N119" s="4" t="s">
        <v>609</v>
      </c>
      <c r="O119" s="4" t="s">
        <v>610</v>
      </c>
    </row>
    <row r="120" spans="1:15">
      <c r="A120" s="7">
        <v>116</v>
      </c>
      <c r="B120" s="4" t="s">
        <v>611</v>
      </c>
      <c r="C120" s="4" t="s">
        <v>149</v>
      </c>
      <c r="D120" s="4" t="s">
        <v>612</v>
      </c>
      <c r="E120" s="4" t="s">
        <v>136</v>
      </c>
      <c r="F120" s="4" t="s">
        <v>137</v>
      </c>
      <c r="G120" s="7">
        <v>11800</v>
      </c>
      <c r="H120" s="8">
        <v>1300000</v>
      </c>
      <c r="I120" s="8">
        <v>3127000</v>
      </c>
      <c r="J120" s="8">
        <v>265</v>
      </c>
      <c r="K120" s="9">
        <v>0.08799999999999999</v>
      </c>
      <c r="L120" s="8">
        <v>19.4</v>
      </c>
      <c r="M120" s="4" t="s">
        <v>613</v>
      </c>
      <c r="N120" s="4" t="s">
        <v>614</v>
      </c>
      <c r="O120" s="4" t="s">
        <v>615</v>
      </c>
    </row>
    <row r="121" spans="1:15">
      <c r="A121" s="7">
        <v>117</v>
      </c>
      <c r="B121" s="4" t="s">
        <v>616</v>
      </c>
      <c r="C121" s="4" t="s">
        <v>160</v>
      </c>
      <c r="D121" s="4" t="s">
        <v>143</v>
      </c>
      <c r="E121" s="4" t="s">
        <v>136</v>
      </c>
      <c r="F121" s="4" t="s">
        <v>137</v>
      </c>
      <c r="G121" s="7">
        <v>9466</v>
      </c>
      <c r="H121" s="8">
        <v>1299000</v>
      </c>
      <c r="I121" s="8">
        <v>2357000</v>
      </c>
      <c r="J121" s="8">
        <v>249</v>
      </c>
      <c r="K121" s="9">
        <v>0.07149999999999999</v>
      </c>
      <c r="L121" s="8">
        <v>15.4</v>
      </c>
      <c r="M121" s="4" t="s">
        <v>617</v>
      </c>
      <c r="N121" s="4" t="s">
        <v>618</v>
      </c>
      <c r="O121" s="4" t="s">
        <v>619</v>
      </c>
    </row>
    <row r="122" spans="1:15">
      <c r="A122" s="7">
        <v>118</v>
      </c>
      <c r="B122" s="4" t="s">
        <v>620</v>
      </c>
      <c r="C122" s="4" t="s">
        <v>160</v>
      </c>
      <c r="D122" s="4" t="s">
        <v>161</v>
      </c>
      <c r="E122" s="4" t="s">
        <v>305</v>
      </c>
      <c r="F122" s="4" t="s">
        <v>137</v>
      </c>
      <c r="G122" s="7">
        <v>8652</v>
      </c>
      <c r="H122" s="8">
        <v>1280000</v>
      </c>
      <c r="I122" s="8">
        <v>1860000</v>
      </c>
      <c r="J122" s="8">
        <v>215</v>
      </c>
      <c r="K122" s="9">
        <v>0.0663</v>
      </c>
      <c r="L122" s="8">
        <v>15.4</v>
      </c>
      <c r="M122" s="4" t="s">
        <v>621</v>
      </c>
      <c r="N122" s="4" t="s">
        <v>622</v>
      </c>
      <c r="O122" s="4" t="s">
        <v>623</v>
      </c>
    </row>
    <row r="123" spans="1:15">
      <c r="A123" s="7">
        <v>119</v>
      </c>
      <c r="B123" s="4" t="s">
        <v>624</v>
      </c>
      <c r="C123" s="4" t="s">
        <v>193</v>
      </c>
      <c r="D123" s="4" t="s">
        <v>135</v>
      </c>
      <c r="E123" s="4" t="s">
        <v>174</v>
      </c>
      <c r="F123" s="4" t="s">
        <v>137</v>
      </c>
      <c r="G123" s="7">
        <v>3300</v>
      </c>
      <c r="H123" s="8">
        <v>1250000</v>
      </c>
      <c r="I123" s="8">
        <v>634000</v>
      </c>
      <c r="J123" s="8">
        <v>192</v>
      </c>
      <c r="K123" s="9">
        <v>0.042</v>
      </c>
      <c r="L123" s="8">
        <v>17</v>
      </c>
      <c r="M123" s="4" t="s">
        <v>625</v>
      </c>
      <c r="N123" s="4" t="s">
        <v>626</v>
      </c>
      <c r="O123" s="4" t="s">
        <v>627</v>
      </c>
    </row>
    <row r="124" spans="1:15">
      <c r="A124" s="7">
        <v>120</v>
      </c>
      <c r="B124" s="4" t="s">
        <v>628</v>
      </c>
      <c r="C124" s="4" t="s">
        <v>166</v>
      </c>
      <c r="D124" s="4" t="s">
        <v>135</v>
      </c>
      <c r="E124" s="4" t="s">
        <v>136</v>
      </c>
      <c r="F124" s="4" t="s">
        <v>137</v>
      </c>
      <c r="G124" s="7">
        <v>7393</v>
      </c>
      <c r="H124" s="8">
        <v>1250000</v>
      </c>
      <c r="I124" s="8">
        <v>1419000</v>
      </c>
      <c r="J124" s="8">
        <v>192</v>
      </c>
      <c r="K124" s="9">
        <v>0.0554</v>
      </c>
      <c r="L124" s="8">
        <v>20.2</v>
      </c>
      <c r="M124" s="4" t="s">
        <v>629</v>
      </c>
      <c r="N124" s="4" t="s">
        <v>630</v>
      </c>
      <c r="O124" s="4" t="s">
        <v>631</v>
      </c>
    </row>
    <row r="125" spans="1:15">
      <c r="A125" s="7">
        <v>121</v>
      </c>
      <c r="B125" s="4" t="s">
        <v>632</v>
      </c>
      <c r="C125" s="4" t="s">
        <v>193</v>
      </c>
      <c r="D125" s="4" t="s">
        <v>143</v>
      </c>
      <c r="E125" s="4" t="s">
        <v>174</v>
      </c>
      <c r="F125" s="4" t="s">
        <v>137</v>
      </c>
      <c r="G125" s="7">
        <v>8798</v>
      </c>
      <c r="H125" s="8">
        <v>1200000</v>
      </c>
      <c r="I125" s="8">
        <v>1091000</v>
      </c>
      <c r="J125" s="8">
        <v>124</v>
      </c>
      <c r="K125" s="9">
        <v>0.1165</v>
      </c>
      <c r="L125" s="8">
        <v>17</v>
      </c>
      <c r="M125" s="4" t="s">
        <v>633</v>
      </c>
      <c r="N125" s="4" t="s">
        <v>634</v>
      </c>
      <c r="O125" s="4" t="s">
        <v>635</v>
      </c>
    </row>
    <row r="126" spans="1:15">
      <c r="A126" s="7">
        <v>122</v>
      </c>
      <c r="B126" s="4" t="s">
        <v>636</v>
      </c>
      <c r="C126" s="4" t="s">
        <v>149</v>
      </c>
      <c r="D126" s="4" t="s">
        <v>612</v>
      </c>
      <c r="E126" s="4" t="s">
        <v>136</v>
      </c>
      <c r="F126" s="4" t="s">
        <v>137</v>
      </c>
      <c r="G126" s="7">
        <v>11800</v>
      </c>
      <c r="H126" s="8">
        <v>1200000</v>
      </c>
      <c r="I126" s="8">
        <v>3127000</v>
      </c>
      <c r="J126" s="8">
        <v>265</v>
      </c>
      <c r="K126" s="9">
        <v>0.0953</v>
      </c>
      <c r="L126" s="8">
        <v>19.4</v>
      </c>
      <c r="M126" s="4" t="s">
        <v>637</v>
      </c>
      <c r="N126" s="4" t="s">
        <v>638</v>
      </c>
      <c r="O126" s="4" t="s">
        <v>639</v>
      </c>
    </row>
    <row r="127" spans="1:15">
      <c r="A127" s="7">
        <v>123</v>
      </c>
      <c r="B127" s="4" t="s">
        <v>640</v>
      </c>
      <c r="C127" s="4" t="s">
        <v>134</v>
      </c>
      <c r="D127" s="4" t="s">
        <v>167</v>
      </c>
      <c r="E127" s="4" t="s">
        <v>136</v>
      </c>
      <c r="F127" s="4" t="s">
        <v>137</v>
      </c>
      <c r="G127" s="7">
        <v>8333</v>
      </c>
      <c r="H127" s="8">
        <v>1200000</v>
      </c>
      <c r="I127" s="8">
        <v>2375000</v>
      </c>
      <c r="J127" s="8">
        <v>285</v>
      </c>
      <c r="K127" s="9">
        <v>0.0941</v>
      </c>
      <c r="L127" s="8">
        <v>26.5</v>
      </c>
      <c r="M127" s="4" t="s">
        <v>641</v>
      </c>
      <c r="N127" s="4" t="s">
        <v>642</v>
      </c>
      <c r="O127" s="4" t="s">
        <v>643</v>
      </c>
    </row>
    <row r="128" spans="1:15">
      <c r="A128" s="7">
        <v>124</v>
      </c>
      <c r="B128" s="4" t="s">
        <v>632</v>
      </c>
      <c r="C128" s="4" t="s">
        <v>166</v>
      </c>
      <c r="D128" s="4" t="s">
        <v>143</v>
      </c>
      <c r="E128" s="4" t="s">
        <v>136</v>
      </c>
      <c r="F128" s="4" t="s">
        <v>137</v>
      </c>
      <c r="G128" s="7">
        <v>8798</v>
      </c>
      <c r="H128" s="8">
        <v>1200000</v>
      </c>
      <c r="I128" s="8">
        <v>1689000</v>
      </c>
      <c r="J128" s="8">
        <v>192</v>
      </c>
      <c r="K128" s="9">
        <v>0.06859999999999999</v>
      </c>
      <c r="L128" s="8">
        <v>20.2</v>
      </c>
      <c r="M128" s="4" t="s">
        <v>644</v>
      </c>
      <c r="N128" s="4" t="s">
        <v>645</v>
      </c>
      <c r="O128" s="4" t="s">
        <v>646</v>
      </c>
    </row>
    <row r="129" spans="1:15">
      <c r="A129" s="7">
        <v>125</v>
      </c>
      <c r="B129" s="4" t="s">
        <v>647</v>
      </c>
      <c r="C129" s="4" t="s">
        <v>172</v>
      </c>
      <c r="D129" s="4" t="s">
        <v>361</v>
      </c>
      <c r="E129" s="4" t="s">
        <v>136</v>
      </c>
      <c r="F129" s="4" t="s">
        <v>137</v>
      </c>
      <c r="G129" s="7">
        <v>10213</v>
      </c>
      <c r="H129" s="8">
        <v>1200000</v>
      </c>
      <c r="I129" s="8">
        <v>1695000</v>
      </c>
      <c r="J129" s="8">
        <v>166</v>
      </c>
      <c r="K129" s="9">
        <v>0.1405</v>
      </c>
      <c r="L129" s="8">
        <v>28</v>
      </c>
      <c r="M129" s="4" t="s">
        <v>648</v>
      </c>
      <c r="N129" s="4" t="s">
        <v>649</v>
      </c>
      <c r="O129" s="4" t="s">
        <v>650</v>
      </c>
    </row>
    <row r="130" spans="1:15">
      <c r="A130" s="7">
        <v>126</v>
      </c>
      <c r="B130" s="4" t="s">
        <v>632</v>
      </c>
      <c r="C130" s="4" t="s">
        <v>166</v>
      </c>
      <c r="D130" s="4" t="s">
        <v>143</v>
      </c>
      <c r="E130" s="4" t="s">
        <v>136</v>
      </c>
      <c r="F130" s="4" t="s">
        <v>137</v>
      </c>
      <c r="G130" s="7">
        <v>8798</v>
      </c>
      <c r="H130" s="8">
        <v>1200000</v>
      </c>
      <c r="I130" s="8">
        <v>1689000</v>
      </c>
      <c r="J130" s="8">
        <v>192</v>
      </c>
      <c r="K130" s="9">
        <v>0.06859999999999999</v>
      </c>
      <c r="L130" s="8">
        <v>20.2</v>
      </c>
      <c r="M130" s="4" t="s">
        <v>644</v>
      </c>
      <c r="N130" s="4" t="s">
        <v>645</v>
      </c>
      <c r="O130" s="4" t="s">
        <v>646</v>
      </c>
    </row>
    <row r="131" spans="1:15">
      <c r="A131" s="7">
        <v>127</v>
      </c>
      <c r="B131" s="4" t="s">
        <v>651</v>
      </c>
      <c r="C131" s="4" t="s">
        <v>193</v>
      </c>
      <c r="D131" s="4" t="s">
        <v>178</v>
      </c>
      <c r="E131" s="4" t="s">
        <v>136</v>
      </c>
      <c r="F131" s="4" t="s">
        <v>137</v>
      </c>
      <c r="G131" s="7">
        <v>6749</v>
      </c>
      <c r="H131" s="8">
        <v>1195000</v>
      </c>
      <c r="I131" s="8">
        <v>1390000</v>
      </c>
      <c r="J131" s="8">
        <v>206</v>
      </c>
      <c r="K131" s="9">
        <v>0.0898</v>
      </c>
      <c r="L131" s="8">
        <v>17</v>
      </c>
      <c r="M131" s="4" t="s">
        <v>652</v>
      </c>
      <c r="N131" s="4" t="s">
        <v>653</v>
      </c>
      <c r="O131" s="4" t="s">
        <v>654</v>
      </c>
    </row>
    <row r="132" spans="1:15">
      <c r="A132" s="7">
        <v>128</v>
      </c>
      <c r="B132" s="4" t="s">
        <v>655</v>
      </c>
      <c r="C132" s="4" t="s">
        <v>134</v>
      </c>
      <c r="D132" s="4" t="s">
        <v>150</v>
      </c>
      <c r="E132" s="4" t="s">
        <v>136</v>
      </c>
      <c r="F132" s="4" t="s">
        <v>137</v>
      </c>
      <c r="G132" s="7">
        <v>2268</v>
      </c>
      <c r="H132" s="8">
        <v>1180000</v>
      </c>
      <c r="I132" s="8">
        <v>1293000</v>
      </c>
      <c r="J132" s="8">
        <v>570</v>
      </c>
      <c r="K132" s="10" t="s">
        <v>144</v>
      </c>
      <c r="L132" s="8">
        <v>26.5</v>
      </c>
      <c r="M132" s="4" t="s">
        <v>656</v>
      </c>
      <c r="N132" s="4" t="s">
        <v>657</v>
      </c>
      <c r="O132" s="4" t="s">
        <v>658</v>
      </c>
    </row>
    <row r="133" spans="1:15">
      <c r="A133" s="7">
        <v>129</v>
      </c>
      <c r="B133" s="4" t="s">
        <v>659</v>
      </c>
      <c r="C133" s="4" t="s">
        <v>160</v>
      </c>
      <c r="D133" s="4" t="s">
        <v>255</v>
      </c>
      <c r="E133" s="4" t="s">
        <v>136</v>
      </c>
      <c r="F133" s="4" t="s">
        <v>137</v>
      </c>
      <c r="G133" s="7">
        <v>6750</v>
      </c>
      <c r="H133" s="8">
        <v>1175000</v>
      </c>
      <c r="I133" s="8">
        <v>1357000</v>
      </c>
      <c r="J133" s="8">
        <v>201</v>
      </c>
      <c r="K133" s="9">
        <v>0.0564</v>
      </c>
      <c r="L133" s="8">
        <v>15.4</v>
      </c>
      <c r="M133" s="4" t="s">
        <v>660</v>
      </c>
      <c r="N133" s="4" t="s">
        <v>661</v>
      </c>
      <c r="O133" s="4" t="s">
        <v>662</v>
      </c>
    </row>
    <row r="134" spans="1:15">
      <c r="A134" s="7">
        <v>130</v>
      </c>
      <c r="B134" s="4" t="s">
        <v>663</v>
      </c>
      <c r="C134" s="4" t="s">
        <v>134</v>
      </c>
      <c r="D134" s="4" t="s">
        <v>183</v>
      </c>
      <c r="E134" s="4" t="s">
        <v>136</v>
      </c>
      <c r="F134" s="4" t="s">
        <v>137</v>
      </c>
      <c r="G134" s="7">
        <v>8381</v>
      </c>
      <c r="H134" s="8">
        <v>1098960</v>
      </c>
      <c r="I134" s="8">
        <v>2372000</v>
      </c>
      <c r="J134" s="8">
        <v>283</v>
      </c>
      <c r="K134" s="9">
        <v>0.1034</v>
      </c>
      <c r="L134" s="8">
        <v>26.5</v>
      </c>
      <c r="M134" s="4" t="s">
        <v>664</v>
      </c>
      <c r="N134" s="4" t="s">
        <v>665</v>
      </c>
      <c r="O134" s="4" t="s">
        <v>666</v>
      </c>
    </row>
    <row r="135" spans="1:15">
      <c r="A135" s="7">
        <v>131</v>
      </c>
      <c r="B135" s="4" t="s">
        <v>659</v>
      </c>
      <c r="C135" s="4" t="s">
        <v>160</v>
      </c>
      <c r="D135" s="4" t="s">
        <v>255</v>
      </c>
      <c r="E135" s="4" t="s">
        <v>136</v>
      </c>
      <c r="F135" s="4" t="s">
        <v>137</v>
      </c>
      <c r="G135" s="7">
        <v>6750</v>
      </c>
      <c r="H135" s="8">
        <v>1095000</v>
      </c>
      <c r="I135" s="8">
        <v>1357000</v>
      </c>
      <c r="J135" s="8">
        <v>201</v>
      </c>
      <c r="K135" s="9">
        <v>0.0605</v>
      </c>
      <c r="L135" s="8">
        <v>15.4</v>
      </c>
      <c r="M135" s="4" t="s">
        <v>660</v>
      </c>
      <c r="N135" s="4" t="s">
        <v>667</v>
      </c>
      <c r="O135" s="4" t="s">
        <v>668</v>
      </c>
    </row>
    <row r="136" spans="1:15">
      <c r="A136" s="7">
        <v>132</v>
      </c>
      <c r="B136" s="4" t="s">
        <v>669</v>
      </c>
      <c r="C136" s="4" t="s">
        <v>166</v>
      </c>
      <c r="D136" s="4" t="s">
        <v>300</v>
      </c>
      <c r="E136" s="4" t="s">
        <v>136</v>
      </c>
      <c r="F136" s="4" t="s">
        <v>137</v>
      </c>
      <c r="G136" s="7">
        <v>6250</v>
      </c>
      <c r="H136" s="8">
        <v>1090000</v>
      </c>
      <c r="I136" s="8">
        <v>1338000</v>
      </c>
      <c r="J136" s="8">
        <v>214</v>
      </c>
      <c r="K136" s="9">
        <v>0.0537</v>
      </c>
      <c r="L136" s="8">
        <v>20.2</v>
      </c>
      <c r="M136" s="4" t="s">
        <v>670</v>
      </c>
      <c r="N136" s="4" t="s">
        <v>671</v>
      </c>
      <c r="O136" s="4" t="s">
        <v>672</v>
      </c>
    </row>
    <row r="137" spans="1:15">
      <c r="A137" s="7">
        <v>133</v>
      </c>
      <c r="B137" s="4" t="s">
        <v>673</v>
      </c>
      <c r="C137" s="4" t="s">
        <v>134</v>
      </c>
      <c r="D137" s="4" t="s">
        <v>183</v>
      </c>
      <c r="E137" s="4" t="s">
        <v>136</v>
      </c>
      <c r="F137" s="4" t="s">
        <v>137</v>
      </c>
      <c r="G137" s="7">
        <v>3321</v>
      </c>
      <c r="H137" s="8">
        <v>1079325</v>
      </c>
      <c r="I137" s="8">
        <v>1541000</v>
      </c>
      <c r="J137" s="8">
        <v>464</v>
      </c>
      <c r="K137" s="9">
        <v>0.0417</v>
      </c>
      <c r="L137" s="8">
        <v>26.5</v>
      </c>
      <c r="M137" s="4" t="s">
        <v>674</v>
      </c>
      <c r="N137" s="4" t="s">
        <v>675</v>
      </c>
      <c r="O137" s="4" t="s">
        <v>676</v>
      </c>
    </row>
    <row r="138" spans="1:15">
      <c r="A138" s="7">
        <v>134</v>
      </c>
      <c r="B138" s="4" t="s">
        <v>677</v>
      </c>
      <c r="C138" s="4" t="s">
        <v>172</v>
      </c>
      <c r="D138" s="4" t="s">
        <v>678</v>
      </c>
      <c r="E138" s="4" t="s">
        <v>136</v>
      </c>
      <c r="F138" s="4" t="s">
        <v>137</v>
      </c>
      <c r="G138" s="7">
        <v>6751</v>
      </c>
      <c r="H138" s="8">
        <v>1050000</v>
      </c>
      <c r="I138" s="8">
        <v>1391000</v>
      </c>
      <c r="J138" s="8">
        <v>206</v>
      </c>
      <c r="K138" s="9">
        <v>0.1061</v>
      </c>
      <c r="L138" s="8">
        <v>28</v>
      </c>
      <c r="M138" s="4" t="s">
        <v>679</v>
      </c>
      <c r="N138" s="4" t="s">
        <v>680</v>
      </c>
      <c r="O138" s="4" t="s">
        <v>681</v>
      </c>
    </row>
    <row r="139" spans="1:15">
      <c r="A139" s="7">
        <v>135</v>
      </c>
      <c r="B139" s="4" t="s">
        <v>682</v>
      </c>
      <c r="C139" s="4" t="s">
        <v>134</v>
      </c>
      <c r="D139" s="4" t="s">
        <v>135</v>
      </c>
      <c r="E139" s="4" t="s">
        <v>136</v>
      </c>
      <c r="F139" s="4" t="s">
        <v>137</v>
      </c>
      <c r="G139" s="7">
        <v>1412</v>
      </c>
      <c r="H139" s="8">
        <v>1049000</v>
      </c>
      <c r="I139" s="8">
        <v>912000</v>
      </c>
      <c r="J139" s="8">
        <v>646</v>
      </c>
      <c r="K139" s="10" t="s">
        <v>144</v>
      </c>
      <c r="L139" s="8">
        <v>26.5</v>
      </c>
      <c r="M139" s="4" t="s">
        <v>683</v>
      </c>
      <c r="N139" s="4" t="s">
        <v>684</v>
      </c>
      <c r="O139" s="4" t="s">
        <v>685</v>
      </c>
    </row>
    <row r="140" spans="1:15">
      <c r="A140" s="7">
        <v>136</v>
      </c>
      <c r="B140" s="4" t="s">
        <v>659</v>
      </c>
      <c r="C140" s="4" t="s">
        <v>160</v>
      </c>
      <c r="D140" s="4" t="s">
        <v>255</v>
      </c>
      <c r="E140" s="4" t="s">
        <v>136</v>
      </c>
      <c r="F140" s="4" t="s">
        <v>137</v>
      </c>
      <c r="G140" s="7">
        <v>6750</v>
      </c>
      <c r="H140" s="8">
        <v>1039000</v>
      </c>
      <c r="I140" s="8">
        <v>1357000</v>
      </c>
      <c r="J140" s="8">
        <v>201</v>
      </c>
      <c r="K140" s="9">
        <v>0.0638</v>
      </c>
      <c r="L140" s="8">
        <v>15.4</v>
      </c>
      <c r="M140" s="4" t="s">
        <v>660</v>
      </c>
      <c r="N140" s="4" t="s">
        <v>686</v>
      </c>
      <c r="O140" s="4" t="s">
        <v>687</v>
      </c>
    </row>
    <row r="141" spans="1:15">
      <c r="A141" s="7">
        <v>137</v>
      </c>
      <c r="B141" s="4" t="s">
        <v>688</v>
      </c>
      <c r="C141" s="4" t="s">
        <v>193</v>
      </c>
      <c r="D141" s="4" t="s">
        <v>135</v>
      </c>
      <c r="E141" s="4" t="s">
        <v>174</v>
      </c>
      <c r="F141" s="4" t="s">
        <v>137</v>
      </c>
      <c r="G141" s="7">
        <v>2400</v>
      </c>
      <c r="H141" s="8">
        <v>1020000</v>
      </c>
      <c r="I141" s="8">
        <v>545000</v>
      </c>
      <c r="J141" s="8">
        <v>227</v>
      </c>
      <c r="K141" s="9">
        <v>0.0374</v>
      </c>
      <c r="L141" s="8">
        <v>17</v>
      </c>
      <c r="M141" s="4" t="s">
        <v>689</v>
      </c>
      <c r="N141" s="4" t="s">
        <v>690</v>
      </c>
      <c r="O141" s="4" t="s">
        <v>691</v>
      </c>
    </row>
    <row r="142" spans="1:15">
      <c r="A142" s="7">
        <v>138</v>
      </c>
      <c r="B142" s="4" t="s">
        <v>688</v>
      </c>
      <c r="C142" s="4" t="s">
        <v>193</v>
      </c>
      <c r="D142" s="4" t="s">
        <v>135</v>
      </c>
      <c r="E142" s="4" t="s">
        <v>174</v>
      </c>
      <c r="F142" s="4" t="s">
        <v>137</v>
      </c>
      <c r="G142" s="7">
        <v>2400</v>
      </c>
      <c r="H142" s="8">
        <v>1000000</v>
      </c>
      <c r="I142" s="8">
        <v>545000</v>
      </c>
      <c r="J142" s="8">
        <v>227</v>
      </c>
      <c r="K142" s="9">
        <v>0.0381</v>
      </c>
      <c r="L142" s="8">
        <v>17</v>
      </c>
      <c r="M142" s="4" t="s">
        <v>689</v>
      </c>
      <c r="N142" s="4" t="s">
        <v>692</v>
      </c>
      <c r="O142" s="4" t="s">
        <v>693</v>
      </c>
    </row>
    <row r="143" spans="1:15">
      <c r="A143" s="7">
        <v>139</v>
      </c>
      <c r="B143" s="4" t="s">
        <v>694</v>
      </c>
      <c r="C143" s="4" t="s">
        <v>134</v>
      </c>
      <c r="D143" s="4" t="s">
        <v>173</v>
      </c>
      <c r="E143" s="4" t="s">
        <v>136</v>
      </c>
      <c r="F143" s="4" t="s">
        <v>137</v>
      </c>
      <c r="G143" s="7">
        <v>6325</v>
      </c>
      <c r="H143" s="8">
        <v>990000</v>
      </c>
      <c r="I143" s="8">
        <v>2081000</v>
      </c>
      <c r="J143" s="8">
        <v>329</v>
      </c>
      <c r="K143" s="9">
        <v>0.0866</v>
      </c>
      <c r="L143" s="8">
        <v>26.5</v>
      </c>
      <c r="M143" s="4" t="s">
        <v>695</v>
      </c>
      <c r="N143" s="4" t="s">
        <v>696</v>
      </c>
      <c r="O143" s="4" t="s">
        <v>697</v>
      </c>
    </row>
    <row r="144" spans="1:15">
      <c r="A144" s="7">
        <v>140</v>
      </c>
      <c r="B144" s="4" t="s">
        <v>698</v>
      </c>
      <c r="C144" s="4" t="s">
        <v>149</v>
      </c>
      <c r="D144" s="4" t="s">
        <v>699</v>
      </c>
      <c r="E144" s="4" t="s">
        <v>174</v>
      </c>
      <c r="F144" s="4" t="s">
        <v>137</v>
      </c>
      <c r="G144" s="7">
        <v>6750</v>
      </c>
      <c r="H144" s="8">
        <v>985000</v>
      </c>
      <c r="I144" s="8">
        <v>2390000</v>
      </c>
      <c r="J144" s="8">
        <v>354</v>
      </c>
      <c r="K144" s="9">
        <v>0.0664</v>
      </c>
      <c r="L144" s="8">
        <v>19.4</v>
      </c>
      <c r="M144" s="4" t="s">
        <v>700</v>
      </c>
      <c r="N144" s="4" t="s">
        <v>701</v>
      </c>
      <c r="O144" s="4" t="s">
        <v>702</v>
      </c>
    </row>
    <row r="145" spans="1:15">
      <c r="A145" s="7">
        <v>141</v>
      </c>
      <c r="B145" s="4" t="s">
        <v>703</v>
      </c>
      <c r="C145" s="4" t="s">
        <v>160</v>
      </c>
      <c r="D145" s="4" t="s">
        <v>300</v>
      </c>
      <c r="E145" s="4" t="s">
        <v>174</v>
      </c>
      <c r="F145" s="4" t="s">
        <v>137</v>
      </c>
      <c r="G145" s="7">
        <v>6375</v>
      </c>
      <c r="H145" s="8">
        <v>954000</v>
      </c>
      <c r="I145" s="8">
        <v>1817000</v>
      </c>
      <c r="J145" s="8">
        <v>285</v>
      </c>
      <c r="K145" s="9">
        <v>0.06560000000000001</v>
      </c>
      <c r="L145" s="8">
        <v>15.4</v>
      </c>
      <c r="M145" s="4" t="s">
        <v>704</v>
      </c>
      <c r="N145" s="4" t="s">
        <v>705</v>
      </c>
      <c r="O145" s="4" t="s">
        <v>706</v>
      </c>
    </row>
    <row r="146" spans="1:15">
      <c r="A146" s="7">
        <v>142</v>
      </c>
      <c r="B146" s="4" t="s">
        <v>707</v>
      </c>
      <c r="C146" s="4" t="s">
        <v>160</v>
      </c>
      <c r="D146" s="4" t="s">
        <v>161</v>
      </c>
      <c r="E146" s="4" t="s">
        <v>305</v>
      </c>
      <c r="F146" s="4" t="s">
        <v>137</v>
      </c>
      <c r="G146" s="7">
        <v>7070</v>
      </c>
      <c r="H146" s="8">
        <v>950000</v>
      </c>
      <c r="I146" s="8">
        <v>1697000</v>
      </c>
      <c r="J146" s="8">
        <v>240</v>
      </c>
      <c r="K146" s="9">
        <v>0.073</v>
      </c>
      <c r="L146" s="8">
        <v>15.4</v>
      </c>
      <c r="M146" s="4" t="s">
        <v>708</v>
      </c>
      <c r="N146" s="4" t="s">
        <v>709</v>
      </c>
      <c r="O146" s="4" t="s">
        <v>710</v>
      </c>
    </row>
    <row r="147" spans="1:15">
      <c r="A147" s="7">
        <v>143</v>
      </c>
      <c r="B147" s="4" t="s">
        <v>711</v>
      </c>
      <c r="C147" s="4" t="s">
        <v>166</v>
      </c>
      <c r="D147" s="4" t="s">
        <v>167</v>
      </c>
      <c r="E147" s="4" t="s">
        <v>136</v>
      </c>
      <c r="F147" s="4" t="s">
        <v>137</v>
      </c>
      <c r="G147" s="7">
        <v>11136</v>
      </c>
      <c r="H147" s="8">
        <v>949900</v>
      </c>
      <c r="I147" s="8">
        <v>1949000</v>
      </c>
      <c r="J147" s="8">
        <v>175</v>
      </c>
      <c r="K147" s="9">
        <v>0.1097</v>
      </c>
      <c r="L147" s="8">
        <v>20.2</v>
      </c>
      <c r="M147" s="4" t="s">
        <v>712</v>
      </c>
      <c r="N147" s="4" t="s">
        <v>713</v>
      </c>
      <c r="O147" s="4" t="s">
        <v>714</v>
      </c>
    </row>
    <row r="148" spans="1:15">
      <c r="A148" s="7">
        <v>144</v>
      </c>
      <c r="B148" s="4" t="s">
        <v>715</v>
      </c>
      <c r="C148" s="4" t="s">
        <v>160</v>
      </c>
      <c r="D148" s="4" t="s">
        <v>143</v>
      </c>
      <c r="E148" s="4" t="s">
        <v>136</v>
      </c>
      <c r="F148" s="4" t="s">
        <v>137</v>
      </c>
      <c r="G148" s="7">
        <v>9759</v>
      </c>
      <c r="H148" s="8">
        <v>930000</v>
      </c>
      <c r="I148" s="8">
        <v>2391000</v>
      </c>
      <c r="J148" s="8">
        <v>245</v>
      </c>
      <c r="K148" s="9">
        <v>0.103</v>
      </c>
      <c r="L148" s="8">
        <v>15.4</v>
      </c>
      <c r="M148" s="4" t="s">
        <v>716</v>
      </c>
      <c r="N148" s="4" t="s">
        <v>717</v>
      </c>
      <c r="O148" s="4" t="s">
        <v>718</v>
      </c>
    </row>
    <row r="149" spans="1:15">
      <c r="A149" s="7">
        <v>145</v>
      </c>
      <c r="B149" s="4" t="s">
        <v>719</v>
      </c>
      <c r="C149" s="4" t="s">
        <v>134</v>
      </c>
      <c r="D149" s="4" t="s">
        <v>135</v>
      </c>
      <c r="E149" s="4" t="s">
        <v>174</v>
      </c>
      <c r="F149" s="4" t="s">
        <v>137</v>
      </c>
      <c r="G149" s="7">
        <v>7000</v>
      </c>
      <c r="H149" s="8">
        <v>929000</v>
      </c>
      <c r="I149" s="8">
        <v>1932000</v>
      </c>
      <c r="J149" s="8">
        <v>276</v>
      </c>
      <c r="K149" s="9">
        <v>0.1021</v>
      </c>
      <c r="L149" s="8">
        <v>26.5</v>
      </c>
      <c r="M149" s="4" t="s">
        <v>720</v>
      </c>
      <c r="N149" s="4" t="s">
        <v>721</v>
      </c>
      <c r="O149" s="4" t="s">
        <v>722</v>
      </c>
    </row>
    <row r="150" spans="1:15">
      <c r="A150" s="7">
        <v>146</v>
      </c>
      <c r="B150" s="4" t="s">
        <v>723</v>
      </c>
      <c r="C150" s="4" t="s">
        <v>193</v>
      </c>
      <c r="D150" s="4" t="s">
        <v>135</v>
      </c>
      <c r="E150" s="4" t="s">
        <v>136</v>
      </c>
      <c r="F150" s="4" t="s">
        <v>137</v>
      </c>
      <c r="G150" s="7">
        <v>6840</v>
      </c>
      <c r="H150" s="8">
        <v>899999</v>
      </c>
      <c r="I150" s="8">
        <v>889000</v>
      </c>
      <c r="J150" s="8">
        <v>130</v>
      </c>
      <c r="K150" s="9">
        <v>0.1208</v>
      </c>
      <c r="L150" s="8">
        <v>17</v>
      </c>
      <c r="M150" s="4" t="s">
        <v>724</v>
      </c>
      <c r="N150" s="4" t="s">
        <v>725</v>
      </c>
      <c r="O150" s="4" t="s">
        <v>726</v>
      </c>
    </row>
    <row r="151" spans="1:15">
      <c r="A151" s="7">
        <v>147</v>
      </c>
      <c r="B151" s="4" t="s">
        <v>727</v>
      </c>
      <c r="C151" s="4" t="s">
        <v>160</v>
      </c>
      <c r="D151" s="4" t="s">
        <v>143</v>
      </c>
      <c r="E151" s="4" t="s">
        <v>174</v>
      </c>
      <c r="F151" s="4" t="s">
        <v>137</v>
      </c>
      <c r="G151" s="7">
        <v>6751</v>
      </c>
      <c r="H151" s="8">
        <v>890000</v>
      </c>
      <c r="I151" s="8">
        <v>2012000</v>
      </c>
      <c r="J151" s="8">
        <v>298</v>
      </c>
      <c r="K151" s="9">
        <v>0.07439999999999999</v>
      </c>
      <c r="L151" s="8">
        <v>15.4</v>
      </c>
      <c r="M151" s="4" t="s">
        <v>728</v>
      </c>
      <c r="N151" s="4" t="s">
        <v>729</v>
      </c>
      <c r="O151" s="4" t="s">
        <v>730</v>
      </c>
    </row>
    <row r="152" spans="1:15">
      <c r="A152" s="7">
        <v>148</v>
      </c>
      <c r="B152" s="4" t="s">
        <v>731</v>
      </c>
      <c r="C152" s="4" t="s">
        <v>149</v>
      </c>
      <c r="D152" s="4" t="s">
        <v>732</v>
      </c>
      <c r="E152" s="4" t="s">
        <v>136</v>
      </c>
      <c r="F152" s="4" t="s">
        <v>137</v>
      </c>
      <c r="G152" s="7">
        <v>6750</v>
      </c>
      <c r="H152" s="8">
        <v>875000</v>
      </c>
      <c r="I152" s="8">
        <v>2390000</v>
      </c>
      <c r="J152" s="8">
        <v>354</v>
      </c>
      <c r="K152" s="9">
        <v>0.07480000000000001</v>
      </c>
      <c r="L152" s="8">
        <v>19.4</v>
      </c>
      <c r="M152" s="4" t="s">
        <v>733</v>
      </c>
      <c r="N152" s="4" t="s">
        <v>734</v>
      </c>
      <c r="O152" s="4" t="s">
        <v>735</v>
      </c>
    </row>
    <row r="153" spans="1:15">
      <c r="A153" s="7">
        <v>149</v>
      </c>
      <c r="B153" s="4" t="s">
        <v>736</v>
      </c>
      <c r="C153" s="4" t="s">
        <v>149</v>
      </c>
      <c r="D153" s="4" t="s">
        <v>173</v>
      </c>
      <c r="E153" s="4" t="s">
        <v>136</v>
      </c>
      <c r="F153" s="4" t="s">
        <v>137</v>
      </c>
      <c r="G153" s="7">
        <v>2000</v>
      </c>
      <c r="H153" s="8">
        <v>850000</v>
      </c>
      <c r="I153" s="8">
        <v>1360000</v>
      </c>
      <c r="J153" s="8">
        <v>680</v>
      </c>
      <c r="K153" s="10" t="s">
        <v>144</v>
      </c>
      <c r="L153" s="8">
        <v>19.4</v>
      </c>
      <c r="M153" s="4" t="s">
        <v>737</v>
      </c>
      <c r="N153" s="4" t="s">
        <v>738</v>
      </c>
      <c r="O153" s="4" t="s">
        <v>739</v>
      </c>
    </row>
    <row r="154" spans="1:15">
      <c r="A154" s="7">
        <v>150</v>
      </c>
      <c r="B154" s="4" t="s">
        <v>740</v>
      </c>
      <c r="C154" s="4" t="s">
        <v>149</v>
      </c>
      <c r="D154" s="4" t="s">
        <v>255</v>
      </c>
      <c r="E154" s="4" t="s">
        <v>136</v>
      </c>
      <c r="F154" s="4" t="s">
        <v>137</v>
      </c>
      <c r="G154" s="7">
        <v>6750</v>
      </c>
      <c r="H154" s="8">
        <v>850000</v>
      </c>
      <c r="I154" s="8">
        <v>1559000</v>
      </c>
      <c r="J154" s="8">
        <v>231</v>
      </c>
      <c r="K154" s="9">
        <v>0.077</v>
      </c>
      <c r="L154" s="8">
        <v>19.4</v>
      </c>
      <c r="M154" s="4" t="s">
        <v>741</v>
      </c>
      <c r="N154" s="4" t="s">
        <v>742</v>
      </c>
      <c r="O154" s="4" t="s">
        <v>743</v>
      </c>
    </row>
    <row r="155" spans="1:15">
      <c r="A155" s="7">
        <v>151</v>
      </c>
      <c r="B155" s="4" t="s">
        <v>744</v>
      </c>
      <c r="C155" s="4" t="s">
        <v>166</v>
      </c>
      <c r="D155" s="4" t="s">
        <v>135</v>
      </c>
      <c r="E155" s="4" t="s">
        <v>745</v>
      </c>
      <c r="F155" s="4" t="s">
        <v>137</v>
      </c>
      <c r="G155" s="7">
        <v>6250</v>
      </c>
      <c r="H155" s="8">
        <v>850000</v>
      </c>
      <c r="I155" s="8">
        <v>1312000</v>
      </c>
      <c r="J155" s="8">
        <v>210</v>
      </c>
      <c r="K155" s="9">
        <v>0.0688</v>
      </c>
      <c r="L155" s="8">
        <v>20.2</v>
      </c>
      <c r="M155" s="4" t="s">
        <v>746</v>
      </c>
      <c r="N155" s="4" t="s">
        <v>747</v>
      </c>
      <c r="O155" s="4" t="s">
        <v>748</v>
      </c>
    </row>
    <row r="156" spans="1:15">
      <c r="A156" s="7">
        <v>152</v>
      </c>
      <c r="B156" s="4" t="s">
        <v>749</v>
      </c>
      <c r="C156" s="4" t="s">
        <v>166</v>
      </c>
      <c r="D156" s="4" t="s">
        <v>173</v>
      </c>
      <c r="E156" s="4" t="s">
        <v>136</v>
      </c>
      <c r="F156" s="4" t="s">
        <v>137</v>
      </c>
      <c r="G156" s="7">
        <v>7380</v>
      </c>
      <c r="H156" s="8">
        <v>849000</v>
      </c>
      <c r="I156" s="8">
        <v>1601000</v>
      </c>
      <c r="J156" s="8">
        <v>217</v>
      </c>
      <c r="K156" s="9">
        <v>0.0814</v>
      </c>
      <c r="L156" s="8">
        <v>20.2</v>
      </c>
      <c r="M156" s="4" t="s">
        <v>750</v>
      </c>
      <c r="N156" s="4" t="s">
        <v>751</v>
      </c>
      <c r="O156" s="4" t="s">
        <v>752</v>
      </c>
    </row>
    <row r="157" spans="1:15">
      <c r="A157" s="7">
        <v>153</v>
      </c>
      <c r="B157" s="4" t="s">
        <v>753</v>
      </c>
      <c r="C157" s="4" t="s">
        <v>134</v>
      </c>
      <c r="D157" s="4" t="s">
        <v>183</v>
      </c>
      <c r="E157" s="4" t="s">
        <v>136</v>
      </c>
      <c r="F157" s="4" t="s">
        <v>137</v>
      </c>
      <c r="G157" s="7">
        <v>8381</v>
      </c>
      <c r="H157" s="8">
        <v>830625</v>
      </c>
      <c r="I157" s="8">
        <v>2372000</v>
      </c>
      <c r="J157" s="8">
        <v>283</v>
      </c>
      <c r="K157" s="9">
        <v>0.1367</v>
      </c>
      <c r="L157" s="8">
        <v>26.5</v>
      </c>
      <c r="M157" s="4" t="s">
        <v>754</v>
      </c>
      <c r="N157" s="4" t="s">
        <v>755</v>
      </c>
      <c r="O157" s="4" t="s">
        <v>756</v>
      </c>
    </row>
    <row r="158" spans="1:15">
      <c r="A158" s="7">
        <v>154</v>
      </c>
      <c r="B158" s="4" t="s">
        <v>757</v>
      </c>
      <c r="C158" s="4" t="s">
        <v>134</v>
      </c>
      <c r="D158" s="4" t="s">
        <v>250</v>
      </c>
      <c r="E158" s="4" t="s">
        <v>136</v>
      </c>
      <c r="F158" s="4" t="s">
        <v>137</v>
      </c>
      <c r="G158" s="7">
        <v>1568</v>
      </c>
      <c r="H158" s="8">
        <v>824250</v>
      </c>
      <c r="I158" s="8">
        <v>1090000</v>
      </c>
      <c r="J158" s="8">
        <v>695</v>
      </c>
      <c r="K158" s="10" t="s">
        <v>144</v>
      </c>
      <c r="L158" s="8">
        <v>26.5</v>
      </c>
      <c r="M158" s="4" t="s">
        <v>758</v>
      </c>
      <c r="N158" s="4" t="s">
        <v>759</v>
      </c>
      <c r="O158" s="4" t="s">
        <v>760</v>
      </c>
    </row>
    <row r="159" spans="1:15">
      <c r="A159" s="7">
        <v>155</v>
      </c>
      <c r="B159" s="4" t="s">
        <v>761</v>
      </c>
      <c r="C159" s="4" t="s">
        <v>166</v>
      </c>
      <c r="D159" s="4" t="s">
        <v>255</v>
      </c>
      <c r="E159" s="4" t="s">
        <v>174</v>
      </c>
      <c r="F159" s="4" t="s">
        <v>137</v>
      </c>
      <c r="G159" s="7">
        <v>4463</v>
      </c>
      <c r="H159" s="8">
        <v>775000</v>
      </c>
      <c r="I159" s="8">
        <v>830000</v>
      </c>
      <c r="J159" s="8">
        <v>186</v>
      </c>
      <c r="K159" s="9">
        <v>0.0539</v>
      </c>
      <c r="L159" s="8">
        <v>20.2</v>
      </c>
      <c r="M159" s="4" t="s">
        <v>762</v>
      </c>
      <c r="N159" s="4" t="s">
        <v>763</v>
      </c>
      <c r="O159" s="4" t="s">
        <v>764</v>
      </c>
    </row>
    <row r="160" spans="1:15">
      <c r="A160" s="7">
        <v>156</v>
      </c>
      <c r="B160" s="4" t="s">
        <v>765</v>
      </c>
      <c r="C160" s="4" t="s">
        <v>193</v>
      </c>
      <c r="D160" s="4" t="s">
        <v>766</v>
      </c>
      <c r="E160" s="4" t="s">
        <v>136</v>
      </c>
      <c r="F160" s="4" t="s">
        <v>137</v>
      </c>
      <c r="G160" s="7">
        <v>6624</v>
      </c>
      <c r="H160" s="8">
        <v>750000</v>
      </c>
      <c r="I160" s="8">
        <v>987000</v>
      </c>
      <c r="J160" s="8">
        <v>149</v>
      </c>
      <c r="K160" s="9">
        <v>0.1404</v>
      </c>
      <c r="L160" s="8">
        <v>17</v>
      </c>
      <c r="M160" s="4" t="s">
        <v>767</v>
      </c>
      <c r="N160" s="4" t="s">
        <v>768</v>
      </c>
      <c r="O160" s="4" t="s">
        <v>769</v>
      </c>
    </row>
    <row r="161" spans="1:15">
      <c r="A161" s="7">
        <v>157</v>
      </c>
      <c r="B161" s="4" t="s">
        <v>765</v>
      </c>
      <c r="C161" s="4" t="s">
        <v>193</v>
      </c>
      <c r="D161" s="4" t="s">
        <v>770</v>
      </c>
      <c r="E161" s="4" t="s">
        <v>136</v>
      </c>
      <c r="F161" s="4" t="s">
        <v>137</v>
      </c>
      <c r="G161" s="7">
        <v>6624</v>
      </c>
      <c r="H161" s="8">
        <v>750000</v>
      </c>
      <c r="I161" s="8">
        <v>987000</v>
      </c>
      <c r="J161" s="8">
        <v>149</v>
      </c>
      <c r="K161" s="9">
        <v>0.1404</v>
      </c>
      <c r="L161" s="8">
        <v>17</v>
      </c>
      <c r="M161" s="4" t="s">
        <v>767</v>
      </c>
      <c r="N161" s="4" t="s">
        <v>768</v>
      </c>
      <c r="O161" s="4" t="s">
        <v>769</v>
      </c>
    </row>
    <row r="162" spans="1:15">
      <c r="A162" s="7">
        <v>158</v>
      </c>
      <c r="B162" s="4" t="s">
        <v>771</v>
      </c>
      <c r="C162" s="4" t="s">
        <v>166</v>
      </c>
      <c r="D162" s="4" t="s">
        <v>361</v>
      </c>
      <c r="E162" s="4" t="s">
        <v>136</v>
      </c>
      <c r="F162" s="4" t="s">
        <v>137</v>
      </c>
      <c r="G162" s="7">
        <v>9351</v>
      </c>
      <c r="H162" s="8">
        <v>750000</v>
      </c>
      <c r="I162" s="8">
        <v>1795000</v>
      </c>
      <c r="J162" s="8">
        <v>192</v>
      </c>
      <c r="K162" s="9">
        <v>0.1167</v>
      </c>
      <c r="L162" s="8">
        <v>20.2</v>
      </c>
      <c r="M162" s="4" t="s">
        <v>772</v>
      </c>
      <c r="N162" s="4" t="s">
        <v>773</v>
      </c>
      <c r="O162" s="4" t="s">
        <v>774</v>
      </c>
    </row>
    <row r="163" spans="1:15">
      <c r="A163" s="7">
        <v>159</v>
      </c>
      <c r="B163" s="4" t="s">
        <v>775</v>
      </c>
      <c r="C163" s="4" t="s">
        <v>166</v>
      </c>
      <c r="D163" s="4" t="s">
        <v>135</v>
      </c>
      <c r="E163" s="4" t="s">
        <v>174</v>
      </c>
      <c r="F163" s="4" t="s">
        <v>137</v>
      </c>
      <c r="G163" s="7">
        <v>6950</v>
      </c>
      <c r="H163" s="8">
        <v>699000</v>
      </c>
      <c r="I163" s="8">
        <v>1383000</v>
      </c>
      <c r="J163" s="8">
        <v>199</v>
      </c>
      <c r="K163" s="9">
        <v>0.0931</v>
      </c>
      <c r="L163" s="8">
        <v>20.2</v>
      </c>
      <c r="M163" s="4" t="s">
        <v>776</v>
      </c>
      <c r="N163" s="4" t="s">
        <v>777</v>
      </c>
      <c r="O163" s="4" t="s">
        <v>778</v>
      </c>
    </row>
    <row r="164" spans="1:15">
      <c r="A164" s="7">
        <v>160</v>
      </c>
      <c r="B164" s="4" t="s">
        <v>779</v>
      </c>
      <c r="C164" s="4" t="s">
        <v>134</v>
      </c>
      <c r="D164" s="4" t="s">
        <v>135</v>
      </c>
      <c r="E164" s="4" t="s">
        <v>174</v>
      </c>
      <c r="F164" s="4" t="s">
        <v>137</v>
      </c>
      <c r="G164" s="7">
        <v>6000</v>
      </c>
      <c r="H164" s="8">
        <v>665000</v>
      </c>
      <c r="I164" s="8">
        <v>1800000</v>
      </c>
      <c r="J164" s="8">
        <v>300</v>
      </c>
      <c r="K164" s="9">
        <v>0.1223</v>
      </c>
      <c r="L164" s="8">
        <v>26.5</v>
      </c>
      <c r="M164" s="4" t="s">
        <v>780</v>
      </c>
      <c r="N164" s="4" t="s">
        <v>781</v>
      </c>
      <c r="O164" s="4" t="s">
        <v>782</v>
      </c>
    </row>
    <row r="165" spans="1:15">
      <c r="A165" s="7">
        <v>161</v>
      </c>
      <c r="B165" s="4" t="s">
        <v>783</v>
      </c>
      <c r="C165" s="4" t="s">
        <v>160</v>
      </c>
      <c r="D165" s="4" t="s">
        <v>500</v>
      </c>
      <c r="E165" s="4" t="s">
        <v>174</v>
      </c>
      <c r="F165" s="4" t="s">
        <v>137</v>
      </c>
      <c r="G165" s="7">
        <v>4335</v>
      </c>
      <c r="H165" s="8">
        <v>600000</v>
      </c>
      <c r="I165" s="8">
        <v>1691000</v>
      </c>
      <c r="J165" s="8">
        <v>390</v>
      </c>
      <c r="K165" s="9">
        <v>0.0709</v>
      </c>
      <c r="L165" s="8">
        <v>15.4</v>
      </c>
      <c r="M165" s="4" t="s">
        <v>784</v>
      </c>
      <c r="N165" s="4" t="s">
        <v>785</v>
      </c>
      <c r="O165" s="4" t="s">
        <v>786</v>
      </c>
    </row>
    <row r="166" spans="1:15">
      <c r="A166" s="7">
        <v>162</v>
      </c>
      <c r="B166" s="4" t="s">
        <v>787</v>
      </c>
      <c r="C166" s="4" t="s">
        <v>160</v>
      </c>
      <c r="D166" s="4" t="s">
        <v>361</v>
      </c>
      <c r="E166" s="4" t="s">
        <v>136</v>
      </c>
      <c r="F166" s="4" t="s">
        <v>137</v>
      </c>
      <c r="G166" s="7">
        <v>6749</v>
      </c>
      <c r="H166" s="8">
        <v>575000</v>
      </c>
      <c r="I166" s="8">
        <v>2079000</v>
      </c>
      <c r="J166" s="8">
        <v>308</v>
      </c>
      <c r="K166" s="9">
        <v>0.1152</v>
      </c>
      <c r="L166" s="8">
        <v>15.4</v>
      </c>
      <c r="M166" s="4" t="s">
        <v>788</v>
      </c>
      <c r="N166" s="4" t="s">
        <v>789</v>
      </c>
      <c r="O166" s="4" t="s">
        <v>790</v>
      </c>
    </row>
    <row r="167" spans="1:15">
      <c r="A167" s="7">
        <v>163</v>
      </c>
      <c r="B167" s="4" t="s">
        <v>791</v>
      </c>
      <c r="C167" s="4" t="s">
        <v>166</v>
      </c>
      <c r="D167" s="4" t="s">
        <v>500</v>
      </c>
      <c r="E167" s="4" t="s">
        <v>136</v>
      </c>
      <c r="F167" s="4" t="s">
        <v>137</v>
      </c>
      <c r="G167" s="7">
        <v>5268</v>
      </c>
      <c r="H167" s="8">
        <v>540000</v>
      </c>
      <c r="I167" s="8">
        <v>1370000</v>
      </c>
      <c r="J167" s="8">
        <v>260</v>
      </c>
      <c r="K167" s="9">
        <v>0.09130000000000001</v>
      </c>
      <c r="L167" s="8">
        <v>20.2</v>
      </c>
      <c r="M167" s="4" t="s">
        <v>792</v>
      </c>
      <c r="N167" s="4" t="s">
        <v>793</v>
      </c>
      <c r="O167" s="4" t="s">
        <v>794</v>
      </c>
    </row>
    <row r="168" spans="1:15">
      <c r="A168" s="7">
        <v>164</v>
      </c>
      <c r="B168" s="4" t="s">
        <v>795</v>
      </c>
      <c r="C168" s="4" t="s">
        <v>134</v>
      </c>
      <c r="D168" s="4" t="s">
        <v>230</v>
      </c>
      <c r="E168" s="4" t="s">
        <v>136</v>
      </c>
      <c r="F168" s="4" t="s">
        <v>137</v>
      </c>
      <c r="G168" s="7">
        <v>1938</v>
      </c>
      <c r="H168" s="8">
        <v>425000</v>
      </c>
      <c r="I168" s="8">
        <v>618000</v>
      </c>
      <c r="J168" s="8">
        <v>319</v>
      </c>
      <c r="K168" s="9">
        <v>0.0618</v>
      </c>
      <c r="L168" s="8">
        <v>26.5</v>
      </c>
      <c r="M168" s="4" t="s">
        <v>796</v>
      </c>
      <c r="N168" s="4" t="s">
        <v>797</v>
      </c>
      <c r="O168" s="4" t="s">
        <v>798</v>
      </c>
    </row>
    <row r="169" spans="1:15">
      <c r="A169" s="7">
        <v>165</v>
      </c>
      <c r="B169" s="4" t="s">
        <v>799</v>
      </c>
      <c r="C169" s="4" t="s">
        <v>134</v>
      </c>
      <c r="D169" s="4" t="s">
        <v>183</v>
      </c>
      <c r="E169" s="4" t="s">
        <v>136</v>
      </c>
      <c r="F169" s="4" t="s">
        <v>137</v>
      </c>
      <c r="G169" s="7">
        <v>1322</v>
      </c>
      <c r="H169" s="8">
        <v>423040</v>
      </c>
      <c r="I169" s="8">
        <v>1001000</v>
      </c>
      <c r="J169" s="8">
        <v>757</v>
      </c>
      <c r="K169" s="9">
        <v>0.0424</v>
      </c>
      <c r="L169" s="8">
        <v>26.5</v>
      </c>
      <c r="M169" s="4" t="s">
        <v>800</v>
      </c>
      <c r="N169" s="4" t="s">
        <v>801</v>
      </c>
      <c r="O169" s="4" t="s">
        <v>802</v>
      </c>
    </row>
    <row r="170" spans="1:15">
      <c r="A170" s="7">
        <v>166</v>
      </c>
      <c r="B170" s="4" t="s">
        <v>803</v>
      </c>
      <c r="C170" s="4" t="s">
        <v>134</v>
      </c>
      <c r="D170" s="4" t="s">
        <v>183</v>
      </c>
      <c r="E170" s="4" t="s">
        <v>136</v>
      </c>
      <c r="F170" s="4" t="s">
        <v>137</v>
      </c>
      <c r="G170" s="7">
        <v>1283</v>
      </c>
      <c r="H170" s="8">
        <v>416975</v>
      </c>
      <c r="I170" s="8">
        <v>987000</v>
      </c>
      <c r="J170" s="8">
        <v>769</v>
      </c>
      <c r="K170" s="9">
        <v>0.0417</v>
      </c>
      <c r="L170" s="8">
        <v>26.5</v>
      </c>
      <c r="M170" s="4" t="s">
        <v>804</v>
      </c>
      <c r="N170" s="4" t="s">
        <v>805</v>
      </c>
      <c r="O170" s="4" t="s">
        <v>806</v>
      </c>
    </row>
    <row r="171" spans="1:15">
      <c r="A171" s="7">
        <v>167</v>
      </c>
      <c r="B171" s="4" t="s">
        <v>807</v>
      </c>
      <c r="C171" s="4" t="s">
        <v>134</v>
      </c>
      <c r="D171" s="4" t="s">
        <v>183</v>
      </c>
      <c r="E171" s="4" t="s">
        <v>136</v>
      </c>
      <c r="F171" s="4" t="s">
        <v>137</v>
      </c>
      <c r="G171" s="7">
        <v>1071</v>
      </c>
      <c r="H171" s="8">
        <v>369495</v>
      </c>
      <c r="I171" s="8">
        <v>907000</v>
      </c>
      <c r="J171" s="8">
        <v>847</v>
      </c>
      <c r="K171" s="9">
        <v>0.0393</v>
      </c>
      <c r="L171" s="8">
        <v>26.5</v>
      </c>
      <c r="M171" s="4" t="s">
        <v>808</v>
      </c>
      <c r="N171" s="4" t="s">
        <v>809</v>
      </c>
      <c r="O171" s="4" t="s">
        <v>810</v>
      </c>
    </row>
    <row r="172" spans="1:15">
      <c r="A172" s="7">
        <v>168</v>
      </c>
      <c r="B172" s="4" t="s">
        <v>811</v>
      </c>
      <c r="C172" s="4" t="s">
        <v>134</v>
      </c>
      <c r="D172" s="4" t="s">
        <v>183</v>
      </c>
      <c r="E172" s="4" t="s">
        <v>136</v>
      </c>
      <c r="F172" s="4" t="s">
        <v>137</v>
      </c>
      <c r="G172" s="7">
        <v>1107</v>
      </c>
      <c r="H172" s="8">
        <v>359775</v>
      </c>
      <c r="I172" s="8">
        <v>921000</v>
      </c>
      <c r="J172" s="8">
        <v>832</v>
      </c>
      <c r="K172" s="9">
        <v>0.0417</v>
      </c>
      <c r="L172" s="8">
        <v>26.5</v>
      </c>
      <c r="M172" s="4" t="s">
        <v>812</v>
      </c>
      <c r="N172" s="4" t="s">
        <v>813</v>
      </c>
      <c r="O172" s="4" t="s">
        <v>814</v>
      </c>
    </row>
    <row r="173" spans="1:15">
      <c r="A173" s="7">
        <v>169</v>
      </c>
      <c r="B173" s="4" t="s">
        <v>795</v>
      </c>
      <c r="C173" s="4" t="s">
        <v>134</v>
      </c>
      <c r="D173" s="4" t="s">
        <v>230</v>
      </c>
      <c r="E173" s="4" t="s">
        <v>136</v>
      </c>
      <c r="F173" s="4" t="s">
        <v>137</v>
      </c>
      <c r="G173" s="7">
        <v>1938</v>
      </c>
      <c r="H173" s="8">
        <v>350000</v>
      </c>
      <c r="I173" s="8">
        <v>618000</v>
      </c>
      <c r="J173" s="8">
        <v>319</v>
      </c>
      <c r="K173" s="9">
        <v>0.075</v>
      </c>
      <c r="L173" s="8">
        <v>26.5</v>
      </c>
      <c r="M173" s="4" t="s">
        <v>796</v>
      </c>
      <c r="N173" s="4" t="s">
        <v>815</v>
      </c>
      <c r="O173" s="4" t="s">
        <v>816</v>
      </c>
    </row>
    <row r="174" spans="1:15">
      <c r="A174" s="7">
        <v>170</v>
      </c>
      <c r="B174" s="4" t="s">
        <v>817</v>
      </c>
      <c r="C174" s="4" t="s">
        <v>134</v>
      </c>
      <c r="D174" s="4" t="s">
        <v>230</v>
      </c>
      <c r="E174" s="4" t="s">
        <v>136</v>
      </c>
      <c r="F174" s="4" t="s">
        <v>137</v>
      </c>
      <c r="G174" s="7">
        <v>1938</v>
      </c>
      <c r="H174" s="8">
        <v>315000</v>
      </c>
      <c r="I174" s="8">
        <v>618000</v>
      </c>
      <c r="J174" s="8">
        <v>319</v>
      </c>
      <c r="K174" s="9">
        <v>0.0834</v>
      </c>
      <c r="L174" s="8">
        <v>26.5</v>
      </c>
      <c r="M174" s="4" t="s">
        <v>818</v>
      </c>
      <c r="N174" s="4" t="s">
        <v>819</v>
      </c>
      <c r="O174" s="4" t="s">
        <v>820</v>
      </c>
    </row>
    <row r="175" spans="1:15">
      <c r="A175" s="7">
        <v>171</v>
      </c>
      <c r="B175" s="4" t="s">
        <v>821</v>
      </c>
      <c r="C175" s="4" t="s">
        <v>134</v>
      </c>
      <c r="D175" s="4" t="s">
        <v>167</v>
      </c>
      <c r="E175" s="4" t="s">
        <v>174</v>
      </c>
      <c r="F175" s="4" t="s">
        <v>137</v>
      </c>
      <c r="G175" s="7">
        <v>1837</v>
      </c>
      <c r="H175" s="8">
        <v>192000</v>
      </c>
      <c r="I175" s="8">
        <v>1166000</v>
      </c>
      <c r="J175" s="8">
        <v>635</v>
      </c>
      <c r="K175" s="9">
        <v>0.1297</v>
      </c>
      <c r="L175" s="8">
        <v>26.5</v>
      </c>
      <c r="M175" s="4" t="s">
        <v>822</v>
      </c>
      <c r="N175" s="4" t="s">
        <v>823</v>
      </c>
      <c r="O175" s="4" t="s">
        <v>824</v>
      </c>
    </row>
    <row r="176" spans="1:15">
      <c r="A176" s="7">
        <v>172</v>
      </c>
      <c r="B176" s="4" t="s">
        <v>825</v>
      </c>
      <c r="C176" s="4" t="s">
        <v>193</v>
      </c>
      <c r="D176" s="4" t="s">
        <v>826</v>
      </c>
      <c r="E176" s="4" t="s">
        <v>136</v>
      </c>
      <c r="F176" s="4" t="s">
        <v>137</v>
      </c>
      <c r="G176" s="7">
        <v>401</v>
      </c>
      <c r="H176" s="8">
        <v>170000</v>
      </c>
      <c r="I176" s="8">
        <v>265000</v>
      </c>
      <c r="J176" s="8">
        <v>662</v>
      </c>
      <c r="K176" s="9">
        <v>0.0375</v>
      </c>
      <c r="L176" s="8">
        <v>17</v>
      </c>
      <c r="M176" s="4" t="s">
        <v>827</v>
      </c>
      <c r="N176" s="4" t="s">
        <v>828</v>
      </c>
      <c r="O176" s="4" t="s">
        <v>829</v>
      </c>
    </row>
    <row r="177" spans="1:15">
      <c r="A177" s="7">
        <v>173</v>
      </c>
      <c r="B177" s="4" t="s">
        <v>830</v>
      </c>
      <c r="C177" s="4" t="s">
        <v>134</v>
      </c>
      <c r="D177" s="4" t="s">
        <v>178</v>
      </c>
      <c r="E177" s="4" t="s">
        <v>831</v>
      </c>
      <c r="F177" s="4"/>
      <c r="G177" s="7">
        <v>47950</v>
      </c>
      <c r="H177" s="8">
        <v>10500000</v>
      </c>
      <c r="I177" s="8">
        <v>7528000</v>
      </c>
      <c r="J177" s="8">
        <v>157</v>
      </c>
      <c r="K177" s="9">
        <v>0.0619</v>
      </c>
      <c r="L177" s="8">
        <v>26.5</v>
      </c>
      <c r="M177" s="4" t="s">
        <v>832</v>
      </c>
      <c r="N177" s="4" t="s">
        <v>833</v>
      </c>
      <c r="O177" s="4" t="s">
        <v>834</v>
      </c>
    </row>
    <row r="178" spans="1:15">
      <c r="A178" s="7">
        <v>174</v>
      </c>
      <c r="B178" s="4" t="s">
        <v>835</v>
      </c>
      <c r="C178" s="4" t="s">
        <v>134</v>
      </c>
      <c r="D178" s="4" t="s">
        <v>243</v>
      </c>
      <c r="E178" s="4" t="s">
        <v>836</v>
      </c>
      <c r="F178" s="4"/>
      <c r="G178" s="7">
        <v>13525</v>
      </c>
      <c r="H178" s="8">
        <v>4900000</v>
      </c>
      <c r="I178" s="8">
        <v>3733000</v>
      </c>
      <c r="J178" s="8">
        <v>276</v>
      </c>
      <c r="K178" s="9">
        <v>0.0374</v>
      </c>
      <c r="L178" s="8">
        <v>26.5</v>
      </c>
      <c r="M178" s="4" t="s">
        <v>837</v>
      </c>
      <c r="N178" s="4" t="s">
        <v>838</v>
      </c>
      <c r="O178" s="4" t="s">
        <v>839</v>
      </c>
    </row>
    <row r="179" spans="1:15">
      <c r="A179" s="7">
        <v>175</v>
      </c>
      <c r="B179" s="4" t="s">
        <v>840</v>
      </c>
      <c r="C179" s="4" t="s">
        <v>134</v>
      </c>
      <c r="D179" s="4" t="s">
        <v>243</v>
      </c>
      <c r="E179" s="4" t="s">
        <v>836</v>
      </c>
      <c r="F179" s="4"/>
      <c r="G179" s="7">
        <v>16250</v>
      </c>
      <c r="H179" s="8">
        <v>4900000</v>
      </c>
      <c r="I179" s="8">
        <v>4062000</v>
      </c>
      <c r="J179" s="8">
        <v>250</v>
      </c>
      <c r="K179" s="9">
        <v>0.0449</v>
      </c>
      <c r="L179" s="8">
        <v>26.5</v>
      </c>
      <c r="M179" s="4" t="s">
        <v>841</v>
      </c>
      <c r="N179" s="4" t="s">
        <v>842</v>
      </c>
      <c r="O179" s="4" t="s">
        <v>843</v>
      </c>
    </row>
    <row r="180" spans="1:15">
      <c r="A180" s="7">
        <v>176</v>
      </c>
      <c r="B180" s="4" t="s">
        <v>844</v>
      </c>
      <c r="C180" s="4" t="s">
        <v>160</v>
      </c>
      <c r="D180" s="4" t="s">
        <v>845</v>
      </c>
      <c r="E180" s="4" t="s">
        <v>836</v>
      </c>
      <c r="F180" s="4"/>
      <c r="G180" s="7">
        <v>18898</v>
      </c>
      <c r="H180" s="8">
        <v>4000000</v>
      </c>
      <c r="I180" s="8">
        <v>3364000</v>
      </c>
      <c r="J180" s="8">
        <v>178</v>
      </c>
      <c r="K180" s="9">
        <v>0.0464</v>
      </c>
      <c r="L180" s="8">
        <v>15.4</v>
      </c>
      <c r="M180" s="4" t="s">
        <v>846</v>
      </c>
      <c r="N180" s="4" t="s">
        <v>847</v>
      </c>
      <c r="O180" s="4" t="s">
        <v>848</v>
      </c>
    </row>
    <row r="181" spans="1:15">
      <c r="A181" s="7">
        <v>177</v>
      </c>
      <c r="B181" s="4" t="s">
        <v>849</v>
      </c>
      <c r="C181" s="4" t="s">
        <v>160</v>
      </c>
      <c r="D181" s="4" t="s">
        <v>845</v>
      </c>
      <c r="E181" s="4" t="s">
        <v>836</v>
      </c>
      <c r="F181" s="4"/>
      <c r="G181" s="7">
        <v>18898</v>
      </c>
      <c r="H181" s="8">
        <v>4000000</v>
      </c>
      <c r="I181" s="8">
        <v>3364000</v>
      </c>
      <c r="J181" s="8">
        <v>178</v>
      </c>
      <c r="K181" s="9">
        <v>0.0464</v>
      </c>
      <c r="L181" s="8">
        <v>15.4</v>
      </c>
      <c r="M181" s="4" t="s">
        <v>850</v>
      </c>
      <c r="N181" s="4" t="s">
        <v>847</v>
      </c>
      <c r="O181" s="4" t="s">
        <v>848</v>
      </c>
    </row>
    <row r="182" spans="1:15">
      <c r="A182" s="7">
        <v>178</v>
      </c>
      <c r="B182" s="4" t="s">
        <v>851</v>
      </c>
      <c r="C182" s="4" t="s">
        <v>386</v>
      </c>
      <c r="D182" s="4" t="s">
        <v>143</v>
      </c>
      <c r="E182" s="4" t="s">
        <v>836</v>
      </c>
      <c r="F182" s="4"/>
      <c r="G182" s="7">
        <v>20250</v>
      </c>
      <c r="H182" s="8">
        <v>3995000</v>
      </c>
      <c r="I182" s="8">
        <v>3483000</v>
      </c>
      <c r="J182" s="8">
        <v>172</v>
      </c>
      <c r="K182" s="9">
        <v>0.0664</v>
      </c>
      <c r="L182" s="8">
        <v>7.3</v>
      </c>
      <c r="M182" s="4" t="s">
        <v>852</v>
      </c>
      <c r="N182" s="4" t="s">
        <v>853</v>
      </c>
      <c r="O182" s="4" t="s">
        <v>854</v>
      </c>
    </row>
    <row r="183" spans="1:15">
      <c r="A183" s="7">
        <v>179</v>
      </c>
      <c r="B183" s="4" t="s">
        <v>855</v>
      </c>
      <c r="C183" s="4" t="s">
        <v>160</v>
      </c>
      <c r="D183" s="4" t="s">
        <v>216</v>
      </c>
      <c r="E183" s="4" t="s">
        <v>836</v>
      </c>
      <c r="F183" s="4"/>
      <c r="G183" s="7">
        <v>6750</v>
      </c>
      <c r="H183" s="8">
        <v>3749000</v>
      </c>
      <c r="I183" s="8">
        <v>2754000</v>
      </c>
      <c r="J183" s="8">
        <v>408</v>
      </c>
      <c r="K183" s="10" t="s">
        <v>144</v>
      </c>
      <c r="L183" s="8">
        <v>15.4</v>
      </c>
      <c r="M183" s="4" t="s">
        <v>856</v>
      </c>
      <c r="N183" s="4" t="s">
        <v>857</v>
      </c>
      <c r="O183" s="4" t="s">
        <v>858</v>
      </c>
    </row>
    <row r="184" spans="1:15">
      <c r="A184" s="7">
        <v>180</v>
      </c>
      <c r="B184" s="4" t="s">
        <v>859</v>
      </c>
      <c r="C184" s="4" t="s">
        <v>166</v>
      </c>
      <c r="D184" s="4" t="s">
        <v>143</v>
      </c>
      <c r="E184" s="4" t="s">
        <v>836</v>
      </c>
      <c r="F184" s="4"/>
      <c r="G184" s="7">
        <v>11761</v>
      </c>
      <c r="H184" s="8">
        <v>2800000</v>
      </c>
      <c r="I184" s="8">
        <v>1929000</v>
      </c>
      <c r="J184" s="8">
        <v>164</v>
      </c>
      <c r="K184" s="9">
        <v>0.0393</v>
      </c>
      <c r="L184" s="8">
        <v>20.2</v>
      </c>
      <c r="M184" s="4" t="s">
        <v>860</v>
      </c>
      <c r="N184" s="4" t="s">
        <v>861</v>
      </c>
      <c r="O184" s="4" t="s">
        <v>862</v>
      </c>
    </row>
    <row r="185" spans="1:15">
      <c r="A185" s="7">
        <v>181</v>
      </c>
      <c r="B185" s="4" t="s">
        <v>863</v>
      </c>
      <c r="C185" s="4" t="s">
        <v>160</v>
      </c>
      <c r="D185" s="4" t="s">
        <v>135</v>
      </c>
      <c r="E185" s="4" t="s">
        <v>836</v>
      </c>
      <c r="F185" s="4"/>
      <c r="G185" s="7">
        <v>9566</v>
      </c>
      <c r="H185" s="8">
        <v>2500000</v>
      </c>
      <c r="I185" s="8">
        <v>2162000</v>
      </c>
      <c r="J185" s="8">
        <v>226</v>
      </c>
      <c r="K185" s="9">
        <v>0.0376</v>
      </c>
      <c r="L185" s="8">
        <v>15.4</v>
      </c>
      <c r="M185" s="4" t="s">
        <v>864</v>
      </c>
      <c r="N185" s="4" t="s">
        <v>865</v>
      </c>
      <c r="O185" s="4" t="s">
        <v>866</v>
      </c>
    </row>
    <row r="186" spans="1:15">
      <c r="A186" s="7">
        <v>182</v>
      </c>
      <c r="B186" s="4" t="s">
        <v>404</v>
      </c>
      <c r="C186" s="4" t="s">
        <v>160</v>
      </c>
      <c r="D186" s="4" t="s">
        <v>183</v>
      </c>
      <c r="E186" s="4" t="s">
        <v>836</v>
      </c>
      <c r="F186" s="4"/>
      <c r="G186" s="7">
        <v>10400</v>
      </c>
      <c r="H186" s="8">
        <v>2475000</v>
      </c>
      <c r="I186" s="8">
        <v>2538000</v>
      </c>
      <c r="J186" s="8">
        <v>244</v>
      </c>
      <c r="K186" s="9">
        <v>0.0412</v>
      </c>
      <c r="L186" s="8">
        <v>15.4</v>
      </c>
      <c r="M186" s="4" t="s">
        <v>867</v>
      </c>
      <c r="N186" s="4" t="s">
        <v>868</v>
      </c>
      <c r="O186" s="4" t="s">
        <v>869</v>
      </c>
    </row>
    <row r="187" spans="1:15">
      <c r="A187" s="7">
        <v>183</v>
      </c>
      <c r="B187" s="4" t="s">
        <v>870</v>
      </c>
      <c r="C187" s="4" t="s">
        <v>160</v>
      </c>
      <c r="D187" s="4" t="s">
        <v>250</v>
      </c>
      <c r="E187" s="4" t="s">
        <v>836</v>
      </c>
      <c r="F187" s="4"/>
      <c r="G187" s="7">
        <v>6633</v>
      </c>
      <c r="H187" s="8">
        <v>2149000</v>
      </c>
      <c r="I187" s="8">
        <v>2056000</v>
      </c>
      <c r="J187" s="8">
        <v>310</v>
      </c>
      <c r="K187" s="9">
        <v>0.0303</v>
      </c>
      <c r="L187" s="8">
        <v>15.4</v>
      </c>
      <c r="M187" s="4" t="s">
        <v>871</v>
      </c>
      <c r="N187" s="4" t="s">
        <v>872</v>
      </c>
      <c r="O187" s="4" t="s">
        <v>873</v>
      </c>
    </row>
    <row r="188" spans="1:15">
      <c r="A188" s="7">
        <v>184</v>
      </c>
      <c r="B188" s="4" t="s">
        <v>874</v>
      </c>
      <c r="C188" s="4" t="s">
        <v>193</v>
      </c>
      <c r="D188" s="4" t="s">
        <v>135</v>
      </c>
      <c r="E188" s="4" t="s">
        <v>836</v>
      </c>
      <c r="F188" s="4"/>
      <c r="G188" s="7">
        <v>9289</v>
      </c>
      <c r="H188" s="8">
        <v>2100000</v>
      </c>
      <c r="I188" s="8">
        <v>1022000</v>
      </c>
      <c r="J188" s="8">
        <v>110</v>
      </c>
      <c r="K188" s="9">
        <v>0.0703</v>
      </c>
      <c r="L188" s="8">
        <v>17</v>
      </c>
      <c r="M188" s="4" t="s">
        <v>875</v>
      </c>
      <c r="N188" s="4" t="s">
        <v>876</v>
      </c>
      <c r="O188" s="4" t="s">
        <v>877</v>
      </c>
    </row>
    <row r="189" spans="1:15">
      <c r="A189" s="7">
        <v>185</v>
      </c>
      <c r="B189" s="4" t="s">
        <v>878</v>
      </c>
      <c r="C189" s="4" t="s">
        <v>134</v>
      </c>
      <c r="D189" s="4" t="s">
        <v>188</v>
      </c>
      <c r="E189" s="4" t="s">
        <v>836</v>
      </c>
      <c r="F189" s="4"/>
      <c r="G189" s="7">
        <v>7503</v>
      </c>
      <c r="H189" s="8">
        <v>2100000</v>
      </c>
      <c r="I189" s="8">
        <v>2251000</v>
      </c>
      <c r="J189" s="8">
        <v>300</v>
      </c>
      <c r="K189" s="9">
        <v>0.0484</v>
      </c>
      <c r="L189" s="8">
        <v>26.5</v>
      </c>
      <c r="M189" s="4" t="s">
        <v>879</v>
      </c>
      <c r="N189" s="4" t="s">
        <v>880</v>
      </c>
      <c r="O189" s="4" t="s">
        <v>881</v>
      </c>
    </row>
    <row r="190" spans="1:15">
      <c r="A190" s="7">
        <v>186</v>
      </c>
      <c r="B190" s="4" t="s">
        <v>422</v>
      </c>
      <c r="C190" s="4" t="s">
        <v>423</v>
      </c>
      <c r="D190" s="4" t="s">
        <v>243</v>
      </c>
      <c r="E190" s="4" t="s">
        <v>836</v>
      </c>
      <c r="F190" s="4"/>
      <c r="G190" s="7">
        <v>6378</v>
      </c>
      <c r="H190" s="8">
        <v>1999000</v>
      </c>
      <c r="I190" s="8">
        <v>2628000</v>
      </c>
      <c r="J190" s="8">
        <v>412</v>
      </c>
      <c r="K190" s="9">
        <v>0.047</v>
      </c>
      <c r="L190" s="10" t="s">
        <v>144</v>
      </c>
      <c r="M190" s="4" t="s">
        <v>882</v>
      </c>
      <c r="N190" s="4" t="s">
        <v>883</v>
      </c>
      <c r="O190" s="4" t="s">
        <v>884</v>
      </c>
    </row>
    <row r="191" spans="1:15">
      <c r="A191" s="7">
        <v>187</v>
      </c>
      <c r="B191" s="4" t="s">
        <v>885</v>
      </c>
      <c r="C191" s="4" t="s">
        <v>166</v>
      </c>
      <c r="D191" s="4" t="s">
        <v>243</v>
      </c>
      <c r="E191" s="4" t="s">
        <v>831</v>
      </c>
      <c r="F191" s="4"/>
      <c r="G191" s="7">
        <v>6385</v>
      </c>
      <c r="H191" s="8">
        <v>1900000</v>
      </c>
      <c r="I191" s="8">
        <v>1884000</v>
      </c>
      <c r="J191" s="8">
        <v>295</v>
      </c>
      <c r="K191" s="9">
        <v>0.0315</v>
      </c>
      <c r="L191" s="8">
        <v>20.2</v>
      </c>
      <c r="M191" s="4" t="s">
        <v>886</v>
      </c>
      <c r="N191" s="4" t="s">
        <v>887</v>
      </c>
      <c r="O191" s="4" t="s">
        <v>888</v>
      </c>
    </row>
    <row r="192" spans="1:15">
      <c r="A192" s="7">
        <v>188</v>
      </c>
      <c r="B192" s="4" t="s">
        <v>356</v>
      </c>
      <c r="C192" s="4" t="s">
        <v>149</v>
      </c>
      <c r="D192" s="4" t="s">
        <v>161</v>
      </c>
      <c r="E192" s="4" t="s">
        <v>836</v>
      </c>
      <c r="F192" s="4"/>
      <c r="G192" s="7">
        <v>7000</v>
      </c>
      <c r="H192" s="8">
        <v>1799000</v>
      </c>
      <c r="I192" s="8">
        <v>1939000</v>
      </c>
      <c r="J192" s="8">
        <v>277</v>
      </c>
      <c r="K192" s="9">
        <v>0.0377</v>
      </c>
      <c r="L192" s="8">
        <v>19.4</v>
      </c>
      <c r="M192" s="4" t="s">
        <v>889</v>
      </c>
      <c r="N192" s="4" t="s">
        <v>890</v>
      </c>
      <c r="O192" s="4" t="s">
        <v>891</v>
      </c>
    </row>
    <row r="193" spans="1:15">
      <c r="A193" s="7">
        <v>189</v>
      </c>
      <c r="B193" s="4" t="s">
        <v>892</v>
      </c>
      <c r="C193" s="4" t="s">
        <v>160</v>
      </c>
      <c r="D193" s="4" t="s">
        <v>161</v>
      </c>
      <c r="E193" s="4" t="s">
        <v>836</v>
      </c>
      <c r="F193" s="4"/>
      <c r="G193" s="7">
        <v>8075</v>
      </c>
      <c r="H193" s="8">
        <v>1749000</v>
      </c>
      <c r="I193" s="8">
        <v>1801000</v>
      </c>
      <c r="J193" s="8">
        <v>223</v>
      </c>
      <c r="K193" s="9">
        <v>0.0453</v>
      </c>
      <c r="L193" s="8">
        <v>15.4</v>
      </c>
      <c r="M193" s="4" t="s">
        <v>893</v>
      </c>
      <c r="N193" s="4" t="s">
        <v>894</v>
      </c>
      <c r="O193" s="4" t="s">
        <v>895</v>
      </c>
    </row>
    <row r="194" spans="1:15">
      <c r="A194" s="7">
        <v>190</v>
      </c>
      <c r="B194" s="4" t="s">
        <v>896</v>
      </c>
      <c r="C194" s="4" t="s">
        <v>166</v>
      </c>
      <c r="D194" s="4" t="s">
        <v>230</v>
      </c>
      <c r="E194" s="4" t="s">
        <v>836</v>
      </c>
      <c r="F194" s="4"/>
      <c r="G194" s="7">
        <v>5200</v>
      </c>
      <c r="H194" s="8">
        <v>1040000</v>
      </c>
      <c r="I194" s="8">
        <v>702000</v>
      </c>
      <c r="J194" s="8">
        <v>135</v>
      </c>
      <c r="K194" s="9">
        <v>0.0468</v>
      </c>
      <c r="L194" s="8">
        <v>20.2</v>
      </c>
      <c r="M194" s="4" t="s">
        <v>897</v>
      </c>
      <c r="N194" s="4" t="s">
        <v>898</v>
      </c>
      <c r="O194" s="4" t="s">
        <v>899</v>
      </c>
    </row>
    <row r="195" spans="1:15">
      <c r="A195" s="7">
        <v>191</v>
      </c>
      <c r="B195" s="4" t="s">
        <v>900</v>
      </c>
      <c r="C195" s="4" t="s">
        <v>221</v>
      </c>
      <c r="D195" s="4" t="s">
        <v>178</v>
      </c>
      <c r="E195" s="4" t="s">
        <v>836</v>
      </c>
      <c r="F195" s="4"/>
      <c r="G195" s="7">
        <v>1200</v>
      </c>
      <c r="H195" s="8">
        <v>995000</v>
      </c>
      <c r="I195" s="8">
        <v>986000</v>
      </c>
      <c r="J195" s="8">
        <v>822</v>
      </c>
      <c r="K195" s="10" t="s">
        <v>144</v>
      </c>
      <c r="L195" s="8">
        <v>22.6</v>
      </c>
      <c r="M195" s="4" t="s">
        <v>901</v>
      </c>
      <c r="N195" s="4" t="s">
        <v>902</v>
      </c>
      <c r="O195" s="4" t="s">
        <v>903</v>
      </c>
    </row>
    <row r="196" spans="1:15">
      <c r="A196" s="7">
        <v>192</v>
      </c>
      <c r="B196" s="4" t="s">
        <v>688</v>
      </c>
      <c r="C196" s="4" t="s">
        <v>193</v>
      </c>
      <c r="D196" s="4" t="s">
        <v>135</v>
      </c>
      <c r="E196" s="4" t="s">
        <v>836</v>
      </c>
      <c r="F196" s="4"/>
      <c r="G196" s="7">
        <v>2400</v>
      </c>
      <c r="H196" s="8">
        <v>990000</v>
      </c>
      <c r="I196" s="8">
        <v>545000</v>
      </c>
      <c r="J196" s="8">
        <v>227</v>
      </c>
      <c r="K196" s="9">
        <v>0.0385</v>
      </c>
      <c r="L196" s="8">
        <v>17</v>
      </c>
      <c r="M196" s="4" t="s">
        <v>904</v>
      </c>
      <c r="N196" s="4" t="s">
        <v>905</v>
      </c>
      <c r="O196" s="4" t="s">
        <v>906</v>
      </c>
    </row>
    <row r="197" spans="1:15">
      <c r="A197" s="7">
        <v>193</v>
      </c>
      <c r="B197" s="4" t="s">
        <v>907</v>
      </c>
      <c r="C197" s="4" t="s">
        <v>172</v>
      </c>
      <c r="D197" s="4" t="s">
        <v>173</v>
      </c>
      <c r="E197" s="4" t="s">
        <v>836</v>
      </c>
      <c r="F197" s="4"/>
      <c r="G197" s="7">
        <v>1833</v>
      </c>
      <c r="H197" s="8">
        <v>710000</v>
      </c>
      <c r="I197" s="8">
        <v>757000</v>
      </c>
      <c r="J197" s="8">
        <v>413</v>
      </c>
      <c r="K197" s="9">
        <v>0.0426</v>
      </c>
      <c r="L197" s="8">
        <v>28</v>
      </c>
      <c r="M197" s="4" t="s">
        <v>908</v>
      </c>
      <c r="N197" s="4" t="s">
        <v>909</v>
      </c>
      <c r="O197" s="4" t="s">
        <v>910</v>
      </c>
    </row>
  </sheetData>
  <autoFilter ref="A4:O197"/>
  <mergeCells count="1">
    <mergeCell ref="A2:O2"/>
  </mergeCells>
  <conditionalFormatting sqref="F5:F197">
    <cfRule type="containsText" dxfId="0" priority="1" operator="containsText" text="YES">
      <formula>NOT(ISERROR(SEARCH("YES",F5)))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M1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4.7109375" customWidth="1"/>
    <col min="2" max="2" width="26.7109375" customWidth="1"/>
    <col min="3" max="3" width="24.7109375" customWidth="1"/>
    <col min="4" max="13" width="12.7109375" customWidth="1"/>
  </cols>
  <sheetData>
    <row r="1" spans="1:13">
      <c r="A1" s="1" t="s">
        <v>911</v>
      </c>
    </row>
    <row r="2" spans="1:13" ht="30" customHeight="1">
      <c r="A2" s="2" t="s">
        <v>912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3">
      <c r="A4" s="6" t="s">
        <v>913</v>
      </c>
      <c r="B4" s="6" t="s">
        <v>914</v>
      </c>
      <c r="C4" s="6" t="s">
        <v>915</v>
      </c>
      <c r="D4" s="6" t="s">
        <v>916</v>
      </c>
      <c r="E4" s="6" t="s">
        <v>917</v>
      </c>
      <c r="F4" s="6" t="s">
        <v>918</v>
      </c>
      <c r="G4" s="6" t="s">
        <v>71</v>
      </c>
      <c r="H4" s="6" t="s">
        <v>919</v>
      </c>
      <c r="I4" s="6" t="s">
        <v>920</v>
      </c>
      <c r="J4" s="6" t="s">
        <v>921</v>
      </c>
      <c r="K4" s="6" t="s">
        <v>922</v>
      </c>
      <c r="L4" s="6" t="s">
        <v>923</v>
      </c>
      <c r="M4" s="6" t="s">
        <v>924</v>
      </c>
    </row>
    <row r="5" spans="1:13">
      <c r="A5" s="4" t="s">
        <v>178</v>
      </c>
      <c r="B5" s="4" t="s">
        <v>925</v>
      </c>
      <c r="C5" s="4" t="s">
        <v>926</v>
      </c>
      <c r="D5" s="8">
        <v>268</v>
      </c>
      <c r="E5" s="8">
        <v>355</v>
      </c>
      <c r="F5" s="11">
        <v>47.3</v>
      </c>
      <c r="G5" s="8">
        <v>8.199999999999999</v>
      </c>
      <c r="H5" s="9">
        <v>0.0293</v>
      </c>
      <c r="I5" s="12">
        <v>18</v>
      </c>
      <c r="J5" s="12">
        <v>63.6</v>
      </c>
      <c r="K5" s="7">
        <v>1</v>
      </c>
      <c r="L5" s="7">
        <v>2</v>
      </c>
      <c r="M5" s="4" t="s">
        <v>927</v>
      </c>
    </row>
    <row r="6" spans="1:13">
      <c r="A6" s="4" t="s">
        <v>216</v>
      </c>
      <c r="B6" s="4" t="s">
        <v>928</v>
      </c>
      <c r="C6" s="4" t="s">
        <v>929</v>
      </c>
      <c r="D6" s="8">
        <v>253</v>
      </c>
      <c r="E6" s="8">
        <v>127</v>
      </c>
      <c r="F6" s="11">
        <v>39.1</v>
      </c>
      <c r="G6" s="10" t="s">
        <v>144</v>
      </c>
      <c r="H6" s="10" t="s">
        <v>144</v>
      </c>
      <c r="I6" s="10" t="s">
        <v>144</v>
      </c>
      <c r="J6" s="10" t="s">
        <v>144</v>
      </c>
      <c r="K6" s="7">
        <v>1</v>
      </c>
      <c r="L6" s="7">
        <v>3</v>
      </c>
      <c r="M6" s="4" t="s">
        <v>927</v>
      </c>
    </row>
    <row r="7" spans="1:13">
      <c r="A7" s="4" t="s">
        <v>243</v>
      </c>
      <c r="B7" s="4" t="s">
        <v>930</v>
      </c>
      <c r="C7" s="4" t="s">
        <v>931</v>
      </c>
      <c r="D7" s="8">
        <v>242</v>
      </c>
      <c r="E7" s="8">
        <v>175</v>
      </c>
      <c r="F7" s="11">
        <v>33</v>
      </c>
      <c r="G7" s="8">
        <v>23</v>
      </c>
      <c r="H7" s="9">
        <v>0.081</v>
      </c>
      <c r="I7" s="12">
        <v>18</v>
      </c>
      <c r="J7" s="12">
        <v>50</v>
      </c>
      <c r="K7" s="7">
        <v>0</v>
      </c>
      <c r="L7" s="7">
        <v>4</v>
      </c>
      <c r="M7" s="4" t="s">
        <v>927</v>
      </c>
    </row>
    <row r="8" spans="1:13">
      <c r="A8" s="4" t="s">
        <v>143</v>
      </c>
      <c r="B8" s="4" t="s">
        <v>932</v>
      </c>
      <c r="C8" s="4" t="s">
        <v>933</v>
      </c>
      <c r="D8" s="8">
        <v>186</v>
      </c>
      <c r="E8" s="8">
        <v>177</v>
      </c>
      <c r="F8" s="11">
        <v>2.2</v>
      </c>
      <c r="G8" s="8">
        <v>25.5</v>
      </c>
      <c r="H8" s="9">
        <v>0.179</v>
      </c>
      <c r="I8" s="12">
        <v>8.199999999999999</v>
      </c>
      <c r="J8" s="12">
        <v>68.59999999999999</v>
      </c>
      <c r="K8" s="7">
        <v>2</v>
      </c>
      <c r="L8" s="7">
        <v>3</v>
      </c>
      <c r="M8" s="4" t="s">
        <v>927</v>
      </c>
    </row>
    <row r="9" spans="1:13">
      <c r="A9" s="4" t="s">
        <v>300</v>
      </c>
      <c r="B9" s="4" t="s">
        <v>934</v>
      </c>
      <c r="C9" s="4" t="s">
        <v>935</v>
      </c>
      <c r="D9" s="8">
        <v>173</v>
      </c>
      <c r="E9" s="8">
        <v>184</v>
      </c>
      <c r="F9" s="11">
        <v>-4.9</v>
      </c>
      <c r="G9" s="8">
        <v>8.199999999999999</v>
      </c>
      <c r="H9" s="9">
        <v>0.0479</v>
      </c>
      <c r="I9" s="12">
        <v>4.5</v>
      </c>
      <c r="J9" s="12">
        <v>55.6</v>
      </c>
      <c r="K9" s="7">
        <v>0</v>
      </c>
      <c r="L9" s="7">
        <v>0</v>
      </c>
      <c r="M9" s="4" t="s">
        <v>927</v>
      </c>
    </row>
    <row r="10" spans="1:13">
      <c r="A10" s="4" t="s">
        <v>135</v>
      </c>
      <c r="B10" s="4" t="s">
        <v>936</v>
      </c>
      <c r="C10" s="4" t="s">
        <v>935</v>
      </c>
      <c r="D10" s="8">
        <v>170</v>
      </c>
      <c r="E10" s="8">
        <v>130</v>
      </c>
      <c r="F10" s="11">
        <v>-6.5</v>
      </c>
      <c r="G10" s="8">
        <v>11.4</v>
      </c>
      <c r="H10" s="9">
        <v>0.0848</v>
      </c>
      <c r="I10" s="12">
        <v>28.3</v>
      </c>
      <c r="J10" s="12">
        <v>74.09999999999999</v>
      </c>
      <c r="K10" s="7">
        <v>6</v>
      </c>
      <c r="L10" s="7">
        <v>3</v>
      </c>
      <c r="M10" s="4" t="s">
        <v>927</v>
      </c>
    </row>
    <row r="11" spans="1:13">
      <c r="A11" s="4" t="s">
        <v>161</v>
      </c>
      <c r="B11" s="4" t="s">
        <v>937</v>
      </c>
      <c r="C11" s="4" t="s">
        <v>938</v>
      </c>
      <c r="D11" s="8">
        <v>153</v>
      </c>
      <c r="E11" s="8">
        <v>144</v>
      </c>
      <c r="F11" s="11">
        <v>-15.9</v>
      </c>
      <c r="G11" s="8">
        <v>23.1</v>
      </c>
      <c r="H11" s="9">
        <v>0.1375</v>
      </c>
      <c r="I11" s="12">
        <v>22.5</v>
      </c>
      <c r="J11" s="12">
        <v>75</v>
      </c>
      <c r="K11" s="7">
        <v>2</v>
      </c>
      <c r="L11" s="7">
        <v>2</v>
      </c>
      <c r="M11" s="4" t="s">
        <v>927</v>
      </c>
    </row>
    <row r="12" spans="1:13">
      <c r="A12" s="4" t="s">
        <v>255</v>
      </c>
      <c r="B12" s="4" t="s">
        <v>939</v>
      </c>
      <c r="C12" s="4" t="s">
        <v>929</v>
      </c>
      <c r="D12" s="8">
        <v>126</v>
      </c>
      <c r="E12" s="8">
        <v>137</v>
      </c>
      <c r="F12" s="11">
        <v>-30.7</v>
      </c>
      <c r="G12" s="8">
        <v>20</v>
      </c>
      <c r="H12" s="9">
        <v>0.1446</v>
      </c>
      <c r="I12" s="10" t="s">
        <v>144</v>
      </c>
      <c r="J12" s="10" t="s">
        <v>144</v>
      </c>
      <c r="K12" s="7">
        <v>2</v>
      </c>
      <c r="L12" s="7">
        <v>0</v>
      </c>
      <c r="M12" s="4" t="s">
        <v>927</v>
      </c>
    </row>
    <row r="13" spans="1:13">
      <c r="A13" s="4" t="s">
        <v>230</v>
      </c>
      <c r="B13" s="4" t="s">
        <v>940</v>
      </c>
      <c r="C13" s="4" t="s">
        <v>941</v>
      </c>
      <c r="D13" s="8">
        <v>99</v>
      </c>
      <c r="E13" s="8">
        <v>132</v>
      </c>
      <c r="F13" s="11">
        <v>-45.6</v>
      </c>
      <c r="G13" s="8">
        <v>32</v>
      </c>
      <c r="H13" s="9">
        <v>0.1682</v>
      </c>
      <c r="I13" s="12">
        <v>4.5</v>
      </c>
      <c r="J13" s="12">
        <v>63.6</v>
      </c>
      <c r="K13" s="7">
        <v>0</v>
      </c>
      <c r="L13" s="7">
        <v>1</v>
      </c>
      <c r="M13" s="4" t="s">
        <v>927</v>
      </c>
    </row>
  </sheetData>
  <autoFilter ref="A4:M13"/>
  <mergeCells count="1">
    <mergeCell ref="A2:M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266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4" width="13.7109375" customWidth="1"/>
    <col min="5" max="10" width="12.7109375" customWidth="1"/>
  </cols>
  <sheetData>
    <row r="1" spans="1:10">
      <c r="A1" s="1" t="s">
        <v>942</v>
      </c>
    </row>
    <row r="2" spans="1:10" ht="30" customHeight="1">
      <c r="A2" s="2" t="s">
        <v>943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6" t="s">
        <v>120</v>
      </c>
      <c r="B4" s="6" t="s">
        <v>121</v>
      </c>
      <c r="C4" s="6" t="s">
        <v>122</v>
      </c>
      <c r="D4" s="6" t="s">
        <v>123</v>
      </c>
      <c r="E4" s="6" t="s">
        <v>944</v>
      </c>
      <c r="F4" s="6" t="s">
        <v>57</v>
      </c>
      <c r="G4" s="6" t="s">
        <v>59</v>
      </c>
      <c r="H4" s="6" t="s">
        <v>945</v>
      </c>
      <c r="I4" s="6" t="s">
        <v>946</v>
      </c>
      <c r="J4" s="6" t="s">
        <v>947</v>
      </c>
    </row>
    <row r="5" spans="1:10">
      <c r="A5" s="4" t="s">
        <v>948</v>
      </c>
      <c r="B5" s="4" t="s">
        <v>134</v>
      </c>
      <c r="C5" s="4" t="s">
        <v>352</v>
      </c>
      <c r="D5" s="4" t="s">
        <v>136</v>
      </c>
      <c r="E5" s="8">
        <v>299000</v>
      </c>
      <c r="F5" s="8">
        <v>30</v>
      </c>
      <c r="G5" s="8">
        <v>257</v>
      </c>
      <c r="H5" s="11">
        <v>756.6666666666666</v>
      </c>
      <c r="I5" s="8">
        <v>2288614</v>
      </c>
      <c r="J5" s="11">
        <v>-84.7</v>
      </c>
    </row>
    <row r="6" spans="1:10">
      <c r="A6" s="4" t="s">
        <v>821</v>
      </c>
      <c r="B6" s="4" t="s">
        <v>134</v>
      </c>
      <c r="C6" s="4" t="s">
        <v>167</v>
      </c>
      <c r="D6" s="4" t="s">
        <v>174</v>
      </c>
      <c r="E6" s="8">
        <v>192000</v>
      </c>
      <c r="F6" s="8">
        <v>105</v>
      </c>
      <c r="G6" s="8">
        <v>635</v>
      </c>
      <c r="H6" s="11">
        <v>504.7619047619048</v>
      </c>
      <c r="I6" s="8">
        <v>973610</v>
      </c>
      <c r="J6" s="11">
        <v>-46</v>
      </c>
    </row>
    <row r="7" spans="1:10">
      <c r="A7" s="4" t="s">
        <v>949</v>
      </c>
      <c r="B7" s="4" t="s">
        <v>149</v>
      </c>
      <c r="C7" s="4" t="s">
        <v>612</v>
      </c>
      <c r="D7" s="4" t="s">
        <v>136</v>
      </c>
      <c r="E7" s="8">
        <v>535000</v>
      </c>
      <c r="F7" s="8">
        <v>45</v>
      </c>
      <c r="G7" s="8">
        <v>264</v>
      </c>
      <c r="H7" s="11">
        <v>486.6666666666666</v>
      </c>
      <c r="I7" s="8">
        <v>2584200</v>
      </c>
      <c r="J7" s="11">
        <v>-70.8</v>
      </c>
    </row>
    <row r="8" spans="1:10">
      <c r="A8" s="4" t="s">
        <v>950</v>
      </c>
      <c r="B8" s="4" t="s">
        <v>134</v>
      </c>
      <c r="C8" s="4" t="s">
        <v>150</v>
      </c>
      <c r="D8" s="4" t="s">
        <v>174</v>
      </c>
      <c r="E8" s="8">
        <v>375000</v>
      </c>
      <c r="F8" s="8">
        <v>61</v>
      </c>
      <c r="G8" s="8">
        <v>334</v>
      </c>
      <c r="H8" s="11">
        <v>447.5409836065574</v>
      </c>
      <c r="I8" s="8">
        <v>1670760</v>
      </c>
      <c r="J8" s="11">
        <v>-68.3</v>
      </c>
    </row>
    <row r="9" spans="1:10">
      <c r="A9" s="4" t="s">
        <v>951</v>
      </c>
      <c r="B9" s="4" t="s">
        <v>134</v>
      </c>
      <c r="C9" s="4" t="s">
        <v>183</v>
      </c>
      <c r="D9" s="4" t="s">
        <v>136</v>
      </c>
      <c r="E9" s="8">
        <v>482625</v>
      </c>
      <c r="F9" s="8">
        <v>58</v>
      </c>
      <c r="G9" s="8">
        <v>283</v>
      </c>
      <c r="H9" s="11">
        <v>387.9310344827586</v>
      </c>
      <c r="I9" s="8">
        <v>1885725</v>
      </c>
      <c r="J9" s="11">
        <v>-70.3</v>
      </c>
    </row>
    <row r="10" spans="1:10">
      <c r="A10" s="4" t="s">
        <v>952</v>
      </c>
      <c r="B10" s="4" t="s">
        <v>134</v>
      </c>
      <c r="C10" s="4" t="s">
        <v>183</v>
      </c>
      <c r="D10" s="4" t="s">
        <v>136</v>
      </c>
      <c r="E10" s="8">
        <v>491250</v>
      </c>
      <c r="F10" s="8">
        <v>59</v>
      </c>
      <c r="G10" s="8">
        <v>283</v>
      </c>
      <c r="H10" s="11">
        <v>379.6610169491525</v>
      </c>
      <c r="I10" s="8">
        <v>1877344</v>
      </c>
      <c r="J10" s="11">
        <v>-69.7</v>
      </c>
    </row>
    <row r="11" spans="1:10">
      <c r="A11" s="4" t="s">
        <v>953</v>
      </c>
      <c r="B11" s="4" t="s">
        <v>134</v>
      </c>
      <c r="C11" s="4" t="s">
        <v>477</v>
      </c>
      <c r="D11" s="4" t="s">
        <v>136</v>
      </c>
      <c r="E11" s="8">
        <v>549900</v>
      </c>
      <c r="F11" s="8">
        <v>60</v>
      </c>
      <c r="G11" s="8">
        <v>271</v>
      </c>
      <c r="H11" s="11">
        <v>351.6666666666667</v>
      </c>
      <c r="I11" s="8">
        <v>1927274</v>
      </c>
      <c r="J11" s="11">
        <v>-68.90000000000001</v>
      </c>
    </row>
    <row r="12" spans="1:10">
      <c r="A12" s="4" t="s">
        <v>954</v>
      </c>
      <c r="B12" s="4" t="s">
        <v>193</v>
      </c>
      <c r="C12" s="4" t="s">
        <v>183</v>
      </c>
      <c r="D12" s="4" t="s">
        <v>836</v>
      </c>
      <c r="E12" s="8">
        <v>320000</v>
      </c>
      <c r="F12" s="8">
        <v>24</v>
      </c>
      <c r="G12" s="8">
        <v>103</v>
      </c>
      <c r="H12" s="11">
        <v>329.1666666666667</v>
      </c>
      <c r="I12" s="8">
        <v>1047777</v>
      </c>
      <c r="J12" s="11">
        <v>-87.90000000000001</v>
      </c>
    </row>
    <row r="13" spans="1:10">
      <c r="A13" s="4" t="s">
        <v>954</v>
      </c>
      <c r="B13" s="4" t="s">
        <v>193</v>
      </c>
      <c r="C13" s="4" t="s">
        <v>183</v>
      </c>
      <c r="D13" s="4" t="s">
        <v>174</v>
      </c>
      <c r="E13" s="8">
        <v>350000</v>
      </c>
      <c r="F13" s="8">
        <v>26</v>
      </c>
      <c r="G13" s="8">
        <v>103</v>
      </c>
      <c r="H13" s="11">
        <v>296.1538461538462</v>
      </c>
      <c r="I13" s="8">
        <v>1021251</v>
      </c>
      <c r="J13" s="11">
        <v>-86.7</v>
      </c>
    </row>
    <row r="14" spans="1:10">
      <c r="A14" s="4" t="s">
        <v>955</v>
      </c>
      <c r="B14" s="4" t="s">
        <v>149</v>
      </c>
      <c r="C14" s="4" t="s">
        <v>956</v>
      </c>
      <c r="D14" s="4" t="s">
        <v>174</v>
      </c>
      <c r="E14" s="8">
        <v>1295000</v>
      </c>
      <c r="F14" s="8">
        <v>40</v>
      </c>
      <c r="G14" s="8">
        <v>154</v>
      </c>
      <c r="H14" s="11">
        <v>285</v>
      </c>
      <c r="I14" s="8">
        <v>3690636</v>
      </c>
      <c r="J14" s="11">
        <v>-74.2</v>
      </c>
    </row>
    <row r="15" spans="1:10">
      <c r="A15" s="4" t="s">
        <v>957</v>
      </c>
      <c r="B15" s="4" t="s">
        <v>134</v>
      </c>
      <c r="C15" s="4" t="s">
        <v>143</v>
      </c>
      <c r="D15" s="4" t="s">
        <v>136</v>
      </c>
      <c r="E15" s="8">
        <v>525000</v>
      </c>
      <c r="F15" s="8">
        <v>88</v>
      </c>
      <c r="G15" s="8">
        <v>328</v>
      </c>
      <c r="H15" s="11">
        <v>272.7272727272727</v>
      </c>
      <c r="I15" s="8">
        <v>1438080</v>
      </c>
      <c r="J15" s="11">
        <v>-54.7</v>
      </c>
    </row>
    <row r="16" spans="1:10">
      <c r="A16" s="4" t="s">
        <v>787</v>
      </c>
      <c r="B16" s="4" t="s">
        <v>160</v>
      </c>
      <c r="C16" s="4" t="s">
        <v>361</v>
      </c>
      <c r="D16" s="4" t="s">
        <v>136</v>
      </c>
      <c r="E16" s="8">
        <v>575000</v>
      </c>
      <c r="F16" s="8">
        <v>85</v>
      </c>
      <c r="G16" s="8">
        <v>308</v>
      </c>
      <c r="H16" s="11">
        <v>262.3529411764706</v>
      </c>
      <c r="I16" s="8">
        <v>1505027</v>
      </c>
      <c r="J16" s="11">
        <v>-52.3</v>
      </c>
    </row>
    <row r="17" spans="1:10">
      <c r="A17" s="4" t="s">
        <v>775</v>
      </c>
      <c r="B17" s="4" t="s">
        <v>134</v>
      </c>
      <c r="C17" s="4" t="s">
        <v>135</v>
      </c>
      <c r="D17" s="4" t="s">
        <v>174</v>
      </c>
      <c r="E17" s="8">
        <v>549000</v>
      </c>
      <c r="F17" s="8">
        <v>79</v>
      </c>
      <c r="G17" s="8">
        <v>278</v>
      </c>
      <c r="H17" s="11">
        <v>251.8987341772152</v>
      </c>
      <c r="I17" s="8">
        <v>1383050</v>
      </c>
      <c r="J17" s="11">
        <v>-59.2</v>
      </c>
    </row>
    <row r="18" spans="1:10">
      <c r="A18" s="4" t="s">
        <v>775</v>
      </c>
      <c r="B18" s="4" t="s">
        <v>134</v>
      </c>
      <c r="C18" s="4" t="s">
        <v>135</v>
      </c>
      <c r="D18" s="4" t="s">
        <v>136</v>
      </c>
      <c r="E18" s="8">
        <v>599000</v>
      </c>
      <c r="F18" s="8">
        <v>86</v>
      </c>
      <c r="G18" s="8">
        <v>278</v>
      </c>
      <c r="H18" s="11">
        <v>223.2558139534884</v>
      </c>
      <c r="I18" s="8">
        <v>1334400</v>
      </c>
      <c r="J18" s="11">
        <v>-55.5</v>
      </c>
    </row>
    <row r="19" spans="1:10">
      <c r="A19" s="4" t="s">
        <v>753</v>
      </c>
      <c r="B19" s="4" t="s">
        <v>134</v>
      </c>
      <c r="C19" s="4" t="s">
        <v>183</v>
      </c>
      <c r="D19" s="4" t="s">
        <v>136</v>
      </c>
      <c r="E19" s="8">
        <v>830625</v>
      </c>
      <c r="F19" s="8">
        <v>99</v>
      </c>
      <c r="G19" s="8">
        <v>283</v>
      </c>
      <c r="H19" s="11">
        <v>185.8585858585859</v>
      </c>
      <c r="I19" s="8">
        <v>1542104</v>
      </c>
      <c r="J19" s="11">
        <v>-48.8</v>
      </c>
    </row>
    <row r="20" spans="1:10">
      <c r="A20" s="4" t="s">
        <v>783</v>
      </c>
      <c r="B20" s="4" t="s">
        <v>160</v>
      </c>
      <c r="C20" s="4" t="s">
        <v>500</v>
      </c>
      <c r="D20" s="4" t="s">
        <v>174</v>
      </c>
      <c r="E20" s="8">
        <v>600000</v>
      </c>
      <c r="F20" s="8">
        <v>138</v>
      </c>
      <c r="G20" s="8">
        <v>390</v>
      </c>
      <c r="H20" s="11">
        <v>182.6086956521739</v>
      </c>
      <c r="I20" s="8">
        <v>1092420</v>
      </c>
      <c r="J20" s="11">
        <v>-22.4</v>
      </c>
    </row>
    <row r="21" spans="1:10">
      <c r="A21" s="4" t="s">
        <v>659</v>
      </c>
      <c r="B21" s="4" t="s">
        <v>160</v>
      </c>
      <c r="C21" s="4" t="s">
        <v>216</v>
      </c>
      <c r="D21" s="4" t="s">
        <v>831</v>
      </c>
      <c r="E21" s="8">
        <v>975000</v>
      </c>
      <c r="F21" s="8">
        <v>144</v>
      </c>
      <c r="G21" s="8">
        <v>406</v>
      </c>
      <c r="H21" s="11">
        <v>181.9444444444445</v>
      </c>
      <c r="I21" s="8">
        <v>1768500</v>
      </c>
      <c r="J21" s="11">
        <v>-19</v>
      </c>
    </row>
    <row r="22" spans="1:10">
      <c r="A22" s="4" t="s">
        <v>731</v>
      </c>
      <c r="B22" s="4" t="s">
        <v>149</v>
      </c>
      <c r="C22" s="4" t="s">
        <v>732</v>
      </c>
      <c r="D22" s="4" t="s">
        <v>136</v>
      </c>
      <c r="E22" s="8">
        <v>875000</v>
      </c>
      <c r="F22" s="8">
        <v>130</v>
      </c>
      <c r="G22" s="8">
        <v>354</v>
      </c>
      <c r="H22" s="11">
        <v>172.3076923076923</v>
      </c>
      <c r="I22" s="8">
        <v>1512000</v>
      </c>
      <c r="J22" s="11">
        <v>-16.4</v>
      </c>
    </row>
    <row r="23" spans="1:10">
      <c r="A23" s="4" t="s">
        <v>779</v>
      </c>
      <c r="B23" s="4" t="s">
        <v>134</v>
      </c>
      <c r="C23" s="4" t="s">
        <v>135</v>
      </c>
      <c r="D23" s="4" t="s">
        <v>174</v>
      </c>
      <c r="E23" s="8">
        <v>665000</v>
      </c>
      <c r="F23" s="8">
        <v>111</v>
      </c>
      <c r="G23" s="8">
        <v>300</v>
      </c>
      <c r="H23" s="11">
        <v>170.2702702702703</v>
      </c>
      <c r="I23" s="8">
        <v>1134000</v>
      </c>
      <c r="J23" s="11">
        <v>-42.8</v>
      </c>
    </row>
    <row r="24" spans="1:10">
      <c r="A24" s="4" t="s">
        <v>636</v>
      </c>
      <c r="B24" s="4" t="s">
        <v>149</v>
      </c>
      <c r="C24" s="4" t="s">
        <v>612</v>
      </c>
      <c r="D24" s="4" t="s">
        <v>136</v>
      </c>
      <c r="E24" s="8">
        <v>1200000</v>
      </c>
      <c r="F24" s="8">
        <v>102</v>
      </c>
      <c r="G24" s="8">
        <v>265</v>
      </c>
      <c r="H24" s="11">
        <v>159.8039215686275</v>
      </c>
      <c r="I24" s="8">
        <v>1923400</v>
      </c>
      <c r="J24" s="11">
        <v>-34.4</v>
      </c>
    </row>
    <row r="25" spans="1:10">
      <c r="A25" s="4" t="s">
        <v>715</v>
      </c>
      <c r="B25" s="4" t="s">
        <v>160</v>
      </c>
      <c r="C25" s="4" t="s">
        <v>143</v>
      </c>
      <c r="D25" s="4" t="s">
        <v>136</v>
      </c>
      <c r="E25" s="8">
        <v>930000</v>
      </c>
      <c r="F25" s="8">
        <v>95</v>
      </c>
      <c r="G25" s="8">
        <v>245</v>
      </c>
      <c r="H25" s="11">
        <v>157.8947368421053</v>
      </c>
      <c r="I25" s="8">
        <v>1463850</v>
      </c>
      <c r="J25" s="11">
        <v>-46.6</v>
      </c>
    </row>
    <row r="26" spans="1:10">
      <c r="A26" s="4" t="s">
        <v>811</v>
      </c>
      <c r="B26" s="4" t="s">
        <v>134</v>
      </c>
      <c r="C26" s="4" t="s">
        <v>183</v>
      </c>
      <c r="D26" s="4" t="s">
        <v>136</v>
      </c>
      <c r="E26" s="8">
        <v>359775</v>
      </c>
      <c r="F26" s="8">
        <v>325</v>
      </c>
      <c r="G26" s="8">
        <v>832</v>
      </c>
      <c r="H26" s="11">
        <v>156</v>
      </c>
      <c r="I26" s="8">
        <v>561249</v>
      </c>
      <c r="J26" s="11">
        <v>67.90000000000001</v>
      </c>
    </row>
    <row r="27" spans="1:10">
      <c r="A27" s="4" t="s">
        <v>791</v>
      </c>
      <c r="B27" s="4" t="s">
        <v>166</v>
      </c>
      <c r="C27" s="4" t="s">
        <v>500</v>
      </c>
      <c r="D27" s="4" t="s">
        <v>136</v>
      </c>
      <c r="E27" s="8">
        <v>540000</v>
      </c>
      <c r="F27" s="8">
        <v>103</v>
      </c>
      <c r="G27" s="8">
        <v>260</v>
      </c>
      <c r="H27" s="11">
        <v>152.4271844660194</v>
      </c>
      <c r="I27" s="8">
        <v>827076</v>
      </c>
      <c r="J27" s="11">
        <v>-26.1</v>
      </c>
    </row>
    <row r="28" spans="1:10">
      <c r="A28" s="4" t="s">
        <v>807</v>
      </c>
      <c r="B28" s="4" t="s">
        <v>134</v>
      </c>
      <c r="C28" s="4" t="s">
        <v>183</v>
      </c>
      <c r="D28" s="4" t="s">
        <v>136</v>
      </c>
      <c r="E28" s="8">
        <v>369495</v>
      </c>
      <c r="F28" s="8">
        <v>345</v>
      </c>
      <c r="G28" s="8">
        <v>847</v>
      </c>
      <c r="H28" s="11">
        <v>145.5072463768116</v>
      </c>
      <c r="I28" s="8">
        <v>537642</v>
      </c>
      <c r="J28" s="11">
        <v>78.2</v>
      </c>
    </row>
    <row r="29" spans="1:10">
      <c r="A29" s="4" t="s">
        <v>711</v>
      </c>
      <c r="B29" s="4" t="s">
        <v>166</v>
      </c>
      <c r="C29" s="4" t="s">
        <v>167</v>
      </c>
      <c r="D29" s="4" t="s">
        <v>831</v>
      </c>
      <c r="E29" s="8">
        <v>799900</v>
      </c>
      <c r="F29" s="8">
        <v>72</v>
      </c>
      <c r="G29" s="8">
        <v>175</v>
      </c>
      <c r="H29" s="11">
        <v>143.0555555555555</v>
      </c>
      <c r="I29" s="8">
        <v>1147008</v>
      </c>
      <c r="J29" s="11">
        <v>-48.2</v>
      </c>
    </row>
    <row r="30" spans="1:10">
      <c r="A30" s="4" t="s">
        <v>698</v>
      </c>
      <c r="B30" s="4" t="s">
        <v>149</v>
      </c>
      <c r="C30" s="4" t="s">
        <v>699</v>
      </c>
      <c r="D30" s="4" t="s">
        <v>174</v>
      </c>
      <c r="E30" s="8">
        <v>985000</v>
      </c>
      <c r="F30" s="8">
        <v>146</v>
      </c>
      <c r="G30" s="8">
        <v>354</v>
      </c>
      <c r="H30" s="11">
        <v>142.4657534246575</v>
      </c>
      <c r="I30" s="8">
        <v>1404000</v>
      </c>
      <c r="J30" s="11">
        <v>-5.9</v>
      </c>
    </row>
    <row r="31" spans="1:10">
      <c r="A31" s="4" t="s">
        <v>611</v>
      </c>
      <c r="B31" s="4" t="s">
        <v>149</v>
      </c>
      <c r="C31" s="4" t="s">
        <v>612</v>
      </c>
      <c r="D31" s="4" t="s">
        <v>136</v>
      </c>
      <c r="E31" s="8">
        <v>1300000</v>
      </c>
      <c r="F31" s="8">
        <v>110</v>
      </c>
      <c r="G31" s="8">
        <v>265</v>
      </c>
      <c r="H31" s="11">
        <v>140.9090909090909</v>
      </c>
      <c r="I31" s="8">
        <v>1829000</v>
      </c>
      <c r="J31" s="11">
        <v>-28.9</v>
      </c>
    </row>
    <row r="32" spans="1:10">
      <c r="A32" s="4" t="s">
        <v>771</v>
      </c>
      <c r="B32" s="4" t="s">
        <v>166</v>
      </c>
      <c r="C32" s="4" t="s">
        <v>361</v>
      </c>
      <c r="D32" s="4" t="s">
        <v>136</v>
      </c>
      <c r="E32" s="8">
        <v>750000</v>
      </c>
      <c r="F32" s="8">
        <v>80</v>
      </c>
      <c r="G32" s="8">
        <v>192</v>
      </c>
      <c r="H32" s="11">
        <v>140</v>
      </c>
      <c r="I32" s="8">
        <v>1047312</v>
      </c>
      <c r="J32" s="11">
        <v>-42.2</v>
      </c>
    </row>
    <row r="33" spans="1:10">
      <c r="A33" s="4" t="s">
        <v>803</v>
      </c>
      <c r="B33" s="4" t="s">
        <v>134</v>
      </c>
      <c r="C33" s="4" t="s">
        <v>183</v>
      </c>
      <c r="D33" s="4" t="s">
        <v>136</v>
      </c>
      <c r="E33" s="8">
        <v>416975</v>
      </c>
      <c r="F33" s="8">
        <v>325</v>
      </c>
      <c r="G33" s="8">
        <v>769</v>
      </c>
      <c r="H33" s="11">
        <v>136.6153846153846</v>
      </c>
      <c r="I33" s="8">
        <v>569652</v>
      </c>
      <c r="J33" s="11">
        <v>67.90000000000001</v>
      </c>
    </row>
    <row r="34" spans="1:10">
      <c r="A34" s="4" t="s">
        <v>799</v>
      </c>
      <c r="B34" s="4" t="s">
        <v>134</v>
      </c>
      <c r="C34" s="4" t="s">
        <v>183</v>
      </c>
      <c r="D34" s="4" t="s">
        <v>136</v>
      </c>
      <c r="E34" s="8">
        <v>423040</v>
      </c>
      <c r="F34" s="8">
        <v>320</v>
      </c>
      <c r="G34" s="8">
        <v>757</v>
      </c>
      <c r="H34" s="11">
        <v>136.5625</v>
      </c>
      <c r="I34" s="8">
        <v>577714</v>
      </c>
      <c r="J34" s="11">
        <v>65.3</v>
      </c>
    </row>
    <row r="35" spans="1:10">
      <c r="A35" s="4" t="s">
        <v>727</v>
      </c>
      <c r="B35" s="4" t="s">
        <v>160</v>
      </c>
      <c r="C35" s="4" t="s">
        <v>143</v>
      </c>
      <c r="D35" s="4" t="s">
        <v>174</v>
      </c>
      <c r="E35" s="8">
        <v>890000</v>
      </c>
      <c r="F35" s="8">
        <v>132</v>
      </c>
      <c r="G35" s="8">
        <v>298</v>
      </c>
      <c r="H35" s="11">
        <v>125.7575757575758</v>
      </c>
      <c r="I35" s="8">
        <v>1120666</v>
      </c>
      <c r="J35" s="11">
        <v>-26.1</v>
      </c>
    </row>
    <row r="36" spans="1:10">
      <c r="A36" s="4" t="s">
        <v>958</v>
      </c>
      <c r="B36" s="4" t="s">
        <v>160</v>
      </c>
      <c r="C36" s="4" t="s">
        <v>290</v>
      </c>
      <c r="D36" s="4" t="s">
        <v>836</v>
      </c>
      <c r="E36" s="8">
        <v>1300000</v>
      </c>
      <c r="F36" s="8">
        <v>94</v>
      </c>
      <c r="G36" s="8">
        <v>210</v>
      </c>
      <c r="H36" s="11">
        <v>123.4042553191489</v>
      </c>
      <c r="I36" s="8">
        <v>1600800</v>
      </c>
      <c r="J36" s="11">
        <v>-47.2</v>
      </c>
    </row>
    <row r="37" spans="1:10">
      <c r="A37" s="4" t="s">
        <v>959</v>
      </c>
      <c r="B37" s="4" t="s">
        <v>134</v>
      </c>
      <c r="C37" s="4" t="s">
        <v>135</v>
      </c>
      <c r="D37" s="4" t="s">
        <v>836</v>
      </c>
      <c r="E37" s="8">
        <v>875000</v>
      </c>
      <c r="F37" s="8">
        <v>128</v>
      </c>
      <c r="G37" s="8">
        <v>280</v>
      </c>
      <c r="H37" s="11">
        <v>118.75</v>
      </c>
      <c r="I37" s="8">
        <v>1039680</v>
      </c>
      <c r="J37" s="11">
        <v>-33.9</v>
      </c>
    </row>
    <row r="38" spans="1:10">
      <c r="A38" s="4" t="s">
        <v>663</v>
      </c>
      <c r="B38" s="4" t="s">
        <v>134</v>
      </c>
      <c r="C38" s="4" t="s">
        <v>183</v>
      </c>
      <c r="D38" s="4" t="s">
        <v>136</v>
      </c>
      <c r="E38" s="8">
        <v>1098960</v>
      </c>
      <c r="F38" s="8">
        <v>131</v>
      </c>
      <c r="G38" s="8">
        <v>283</v>
      </c>
      <c r="H38" s="11">
        <v>116.0305343511451</v>
      </c>
      <c r="I38" s="8">
        <v>1273912</v>
      </c>
      <c r="J38" s="11">
        <v>-32.3</v>
      </c>
    </row>
    <row r="39" spans="1:10">
      <c r="A39" s="4" t="s">
        <v>694</v>
      </c>
      <c r="B39" s="4" t="s">
        <v>134</v>
      </c>
      <c r="C39" s="4" t="s">
        <v>173</v>
      </c>
      <c r="D39" s="4" t="s">
        <v>136</v>
      </c>
      <c r="E39" s="8">
        <v>990000</v>
      </c>
      <c r="F39" s="8">
        <v>157</v>
      </c>
      <c r="G39" s="8">
        <v>329</v>
      </c>
      <c r="H39" s="11">
        <v>109.5541401273885</v>
      </c>
      <c r="I39" s="8">
        <v>1087900</v>
      </c>
      <c r="J39" s="11">
        <v>-19.2</v>
      </c>
    </row>
    <row r="40" spans="1:10">
      <c r="A40" s="4" t="s">
        <v>719</v>
      </c>
      <c r="B40" s="4" t="s">
        <v>134</v>
      </c>
      <c r="C40" s="4" t="s">
        <v>135</v>
      </c>
      <c r="D40" s="4" t="s">
        <v>174</v>
      </c>
      <c r="E40" s="8">
        <v>929000</v>
      </c>
      <c r="F40" s="8">
        <v>133</v>
      </c>
      <c r="G40" s="8">
        <v>276</v>
      </c>
      <c r="H40" s="11">
        <v>107.5187969924812</v>
      </c>
      <c r="I40" s="8">
        <v>1001000</v>
      </c>
      <c r="J40" s="11">
        <v>-31.4</v>
      </c>
    </row>
    <row r="41" spans="1:10">
      <c r="A41" s="4" t="s">
        <v>599</v>
      </c>
      <c r="B41" s="4" t="s">
        <v>160</v>
      </c>
      <c r="C41" s="4" t="s">
        <v>143</v>
      </c>
      <c r="D41" s="4" t="s">
        <v>136</v>
      </c>
      <c r="E41" s="8">
        <v>1350000</v>
      </c>
      <c r="F41" s="8">
        <v>100</v>
      </c>
      <c r="G41" s="8">
        <v>206</v>
      </c>
      <c r="H41" s="11">
        <v>106</v>
      </c>
      <c r="I41" s="8">
        <v>1431424</v>
      </c>
      <c r="J41" s="11">
        <v>-44</v>
      </c>
    </row>
    <row r="42" spans="1:10">
      <c r="A42" s="4" t="s">
        <v>711</v>
      </c>
      <c r="B42" s="4" t="s">
        <v>166</v>
      </c>
      <c r="C42" s="4" t="s">
        <v>167</v>
      </c>
      <c r="D42" s="4" t="s">
        <v>136</v>
      </c>
      <c r="E42" s="8">
        <v>949900</v>
      </c>
      <c r="F42" s="8">
        <v>85</v>
      </c>
      <c r="G42" s="8">
        <v>175</v>
      </c>
      <c r="H42" s="11">
        <v>105.8823529411764</v>
      </c>
      <c r="I42" s="8">
        <v>1002240</v>
      </c>
      <c r="J42" s="11">
        <v>-38.5</v>
      </c>
    </row>
    <row r="43" spans="1:10">
      <c r="A43" s="4" t="s">
        <v>640</v>
      </c>
      <c r="B43" s="4" t="s">
        <v>134</v>
      </c>
      <c r="C43" s="4" t="s">
        <v>167</v>
      </c>
      <c r="D43" s="4" t="s">
        <v>136</v>
      </c>
      <c r="E43" s="8">
        <v>1200000</v>
      </c>
      <c r="F43" s="8">
        <v>144</v>
      </c>
      <c r="G43" s="8">
        <v>285</v>
      </c>
      <c r="H43" s="11">
        <v>97.91666666666667</v>
      </c>
      <c r="I43" s="8">
        <v>1174953</v>
      </c>
      <c r="J43" s="11">
        <v>-25.6</v>
      </c>
    </row>
    <row r="44" spans="1:10">
      <c r="A44" s="4" t="s">
        <v>775</v>
      </c>
      <c r="B44" s="4" t="s">
        <v>166</v>
      </c>
      <c r="C44" s="4" t="s">
        <v>135</v>
      </c>
      <c r="D44" s="4" t="s">
        <v>174</v>
      </c>
      <c r="E44" s="8">
        <v>699000</v>
      </c>
      <c r="F44" s="8">
        <v>101</v>
      </c>
      <c r="G44" s="8">
        <v>199</v>
      </c>
      <c r="H44" s="11">
        <v>97.02970297029702</v>
      </c>
      <c r="I44" s="8">
        <v>681100</v>
      </c>
      <c r="J44" s="11">
        <v>-27.5</v>
      </c>
    </row>
    <row r="45" spans="1:10">
      <c r="A45" s="4" t="s">
        <v>568</v>
      </c>
      <c r="B45" s="4" t="s">
        <v>160</v>
      </c>
      <c r="C45" s="4" t="s">
        <v>178</v>
      </c>
      <c r="D45" s="4" t="s">
        <v>174</v>
      </c>
      <c r="E45" s="8">
        <v>1490000</v>
      </c>
      <c r="F45" s="8">
        <v>214</v>
      </c>
      <c r="G45" s="8">
        <v>421</v>
      </c>
      <c r="H45" s="11">
        <v>96.72897196261682</v>
      </c>
      <c r="I45" s="8">
        <v>1444239</v>
      </c>
      <c r="J45" s="11">
        <v>19.7</v>
      </c>
    </row>
    <row r="46" spans="1:10">
      <c r="A46" s="4" t="s">
        <v>817</v>
      </c>
      <c r="B46" s="4" t="s">
        <v>134</v>
      </c>
      <c r="C46" s="4" t="s">
        <v>230</v>
      </c>
      <c r="D46" s="4" t="s">
        <v>136</v>
      </c>
      <c r="E46" s="8">
        <v>315000</v>
      </c>
      <c r="F46" s="8">
        <v>163</v>
      </c>
      <c r="G46" s="8">
        <v>319</v>
      </c>
      <c r="H46" s="11">
        <v>95.70552147239265</v>
      </c>
      <c r="I46" s="8">
        <v>302328</v>
      </c>
      <c r="J46" s="11">
        <v>-16</v>
      </c>
    </row>
    <row r="47" spans="1:10">
      <c r="A47" s="4" t="s">
        <v>525</v>
      </c>
      <c r="B47" s="4" t="s">
        <v>160</v>
      </c>
      <c r="C47" s="4" t="s">
        <v>143</v>
      </c>
      <c r="D47" s="4" t="s">
        <v>136</v>
      </c>
      <c r="E47" s="8">
        <v>1750000</v>
      </c>
      <c r="F47" s="8">
        <v>86</v>
      </c>
      <c r="G47" s="8">
        <v>166</v>
      </c>
      <c r="H47" s="11">
        <v>93.0232558139535</v>
      </c>
      <c r="I47" s="8">
        <v>1620480</v>
      </c>
      <c r="J47" s="11">
        <v>-51.6</v>
      </c>
    </row>
    <row r="48" spans="1:10">
      <c r="A48" s="4" t="s">
        <v>485</v>
      </c>
      <c r="B48" s="4" t="s">
        <v>149</v>
      </c>
      <c r="C48" s="4" t="s">
        <v>486</v>
      </c>
      <c r="D48" s="4" t="s">
        <v>136</v>
      </c>
      <c r="E48" s="8">
        <v>1900000</v>
      </c>
      <c r="F48" s="8">
        <v>115</v>
      </c>
      <c r="G48" s="8">
        <v>220</v>
      </c>
      <c r="H48" s="11">
        <v>91.30434782608697</v>
      </c>
      <c r="I48" s="8">
        <v>1732500</v>
      </c>
      <c r="J48" s="11">
        <v>-25.7</v>
      </c>
    </row>
    <row r="49" spans="1:10">
      <c r="A49" s="4" t="s">
        <v>703</v>
      </c>
      <c r="B49" s="4" t="s">
        <v>160</v>
      </c>
      <c r="C49" s="4" t="s">
        <v>300</v>
      </c>
      <c r="D49" s="4" t="s">
        <v>174</v>
      </c>
      <c r="E49" s="8">
        <v>954000</v>
      </c>
      <c r="F49" s="8">
        <v>150</v>
      </c>
      <c r="G49" s="8">
        <v>285</v>
      </c>
      <c r="H49" s="11">
        <v>89.99999999999999</v>
      </c>
      <c r="I49" s="8">
        <v>860625</v>
      </c>
      <c r="J49" s="11">
        <v>-16.1</v>
      </c>
    </row>
    <row r="50" spans="1:10">
      <c r="A50" s="4" t="s">
        <v>749</v>
      </c>
      <c r="B50" s="4" t="s">
        <v>166</v>
      </c>
      <c r="C50" s="4" t="s">
        <v>173</v>
      </c>
      <c r="D50" s="4" t="s">
        <v>136</v>
      </c>
      <c r="E50" s="8">
        <v>849000</v>
      </c>
      <c r="F50" s="8">
        <v>115</v>
      </c>
      <c r="G50" s="8">
        <v>217</v>
      </c>
      <c r="H50" s="11">
        <v>88.69565217391305</v>
      </c>
      <c r="I50" s="8">
        <v>752760</v>
      </c>
      <c r="J50" s="11">
        <v>-17</v>
      </c>
    </row>
    <row r="51" spans="1:10">
      <c r="A51" s="4" t="s">
        <v>476</v>
      </c>
      <c r="B51" s="4" t="s">
        <v>149</v>
      </c>
      <c r="C51" s="4" t="s">
        <v>477</v>
      </c>
      <c r="D51" s="4" t="s">
        <v>174</v>
      </c>
      <c r="E51" s="8">
        <v>1950000</v>
      </c>
      <c r="F51" s="8">
        <v>116</v>
      </c>
      <c r="G51" s="8">
        <v>217</v>
      </c>
      <c r="H51" s="11">
        <v>87.06896551724137</v>
      </c>
      <c r="I51" s="8">
        <v>1704375</v>
      </c>
      <c r="J51" s="11">
        <v>-25.5</v>
      </c>
    </row>
    <row r="52" spans="1:10">
      <c r="A52" s="4" t="s">
        <v>740</v>
      </c>
      <c r="B52" s="4" t="s">
        <v>149</v>
      </c>
      <c r="C52" s="4" t="s">
        <v>255</v>
      </c>
      <c r="D52" s="4" t="s">
        <v>136</v>
      </c>
      <c r="E52" s="8">
        <v>850000</v>
      </c>
      <c r="F52" s="8">
        <v>126</v>
      </c>
      <c r="G52" s="8">
        <v>231</v>
      </c>
      <c r="H52" s="11">
        <v>83.33333333333333</v>
      </c>
      <c r="I52" s="8">
        <v>708750</v>
      </c>
      <c r="J52" s="11">
        <v>-18.8</v>
      </c>
    </row>
    <row r="53" spans="1:10">
      <c r="A53" s="4" t="s">
        <v>616</v>
      </c>
      <c r="B53" s="4" t="s">
        <v>160</v>
      </c>
      <c r="C53" s="4" t="s">
        <v>143</v>
      </c>
      <c r="D53" s="4" t="s">
        <v>136</v>
      </c>
      <c r="E53" s="8">
        <v>1299000</v>
      </c>
      <c r="F53" s="8">
        <v>137</v>
      </c>
      <c r="G53" s="8">
        <v>249</v>
      </c>
      <c r="H53" s="11">
        <v>81.75182481751824</v>
      </c>
      <c r="I53" s="8">
        <v>1060192</v>
      </c>
      <c r="J53" s="11">
        <v>-23.1</v>
      </c>
    </row>
    <row r="54" spans="1:10">
      <c r="A54" s="4" t="s">
        <v>603</v>
      </c>
      <c r="B54" s="4" t="s">
        <v>160</v>
      </c>
      <c r="C54" s="4" t="s">
        <v>143</v>
      </c>
      <c r="D54" s="4" t="s">
        <v>136</v>
      </c>
      <c r="E54" s="8">
        <v>1349999</v>
      </c>
      <c r="F54" s="8">
        <v>133</v>
      </c>
      <c r="G54" s="8">
        <v>240</v>
      </c>
      <c r="H54" s="11">
        <v>80.45112781954886</v>
      </c>
      <c r="I54" s="8">
        <v>1083589</v>
      </c>
      <c r="J54" s="11">
        <v>-25.3</v>
      </c>
    </row>
    <row r="55" spans="1:10">
      <c r="A55" s="4" t="s">
        <v>960</v>
      </c>
      <c r="B55" s="4" t="s">
        <v>134</v>
      </c>
      <c r="C55" s="4" t="s">
        <v>161</v>
      </c>
      <c r="D55" s="4" t="s">
        <v>831</v>
      </c>
      <c r="E55" s="8">
        <v>975000</v>
      </c>
      <c r="F55" s="8">
        <v>139</v>
      </c>
      <c r="G55" s="8">
        <v>249</v>
      </c>
      <c r="H55" s="11">
        <v>79.13669064748201</v>
      </c>
      <c r="I55" s="8">
        <v>770000</v>
      </c>
      <c r="J55" s="11">
        <v>-28.1</v>
      </c>
    </row>
    <row r="56" spans="1:10">
      <c r="A56" s="4" t="s">
        <v>707</v>
      </c>
      <c r="B56" s="4" t="s">
        <v>160</v>
      </c>
      <c r="C56" s="4" t="s">
        <v>161</v>
      </c>
      <c r="D56" s="4" t="s">
        <v>305</v>
      </c>
      <c r="E56" s="8">
        <v>950000</v>
      </c>
      <c r="F56" s="8">
        <v>134</v>
      </c>
      <c r="G56" s="8">
        <v>240</v>
      </c>
      <c r="H56" s="11">
        <v>79.10447761194031</v>
      </c>
      <c r="I56" s="8">
        <v>749420</v>
      </c>
      <c r="J56" s="11">
        <v>-24.7</v>
      </c>
    </row>
    <row r="57" spans="1:10">
      <c r="A57" s="4" t="s">
        <v>550</v>
      </c>
      <c r="B57" s="4" t="s">
        <v>134</v>
      </c>
      <c r="C57" s="4" t="s">
        <v>183</v>
      </c>
      <c r="D57" s="4" t="s">
        <v>136</v>
      </c>
      <c r="E57" s="8">
        <v>1600000</v>
      </c>
      <c r="F57" s="8">
        <v>129</v>
      </c>
      <c r="G57" s="8">
        <v>230</v>
      </c>
      <c r="H57" s="11">
        <v>78.29457364341086</v>
      </c>
      <c r="I57" s="8">
        <v>1252198</v>
      </c>
      <c r="J57" s="11">
        <v>-33.3</v>
      </c>
    </row>
    <row r="58" spans="1:10">
      <c r="A58" s="4" t="s">
        <v>499</v>
      </c>
      <c r="B58" s="4" t="s">
        <v>134</v>
      </c>
      <c r="C58" s="4" t="s">
        <v>500</v>
      </c>
      <c r="D58" s="4" t="s">
        <v>136</v>
      </c>
      <c r="E58" s="8">
        <v>1890000</v>
      </c>
      <c r="F58" s="8">
        <v>110</v>
      </c>
      <c r="G58" s="8">
        <v>194</v>
      </c>
      <c r="H58" s="11">
        <v>76.36363636363637</v>
      </c>
      <c r="I58" s="8">
        <v>1437324</v>
      </c>
      <c r="J58" s="11">
        <v>-42.9</v>
      </c>
    </row>
    <row r="59" spans="1:10">
      <c r="A59" s="4" t="s">
        <v>795</v>
      </c>
      <c r="B59" s="4" t="s">
        <v>134</v>
      </c>
      <c r="C59" s="4" t="s">
        <v>230</v>
      </c>
      <c r="D59" s="4" t="s">
        <v>136</v>
      </c>
      <c r="E59" s="8">
        <v>350000</v>
      </c>
      <c r="F59" s="8">
        <v>181</v>
      </c>
      <c r="G59" s="8">
        <v>319</v>
      </c>
      <c r="H59" s="11">
        <v>76.24309392265194</v>
      </c>
      <c r="I59" s="8">
        <v>267444</v>
      </c>
      <c r="J59" s="11">
        <v>-6.7</v>
      </c>
    </row>
    <row r="60" spans="1:10">
      <c r="A60" s="4" t="s">
        <v>360</v>
      </c>
      <c r="B60" s="4" t="s">
        <v>160</v>
      </c>
      <c r="C60" s="4" t="s">
        <v>361</v>
      </c>
      <c r="D60" s="4" t="s">
        <v>136</v>
      </c>
      <c r="E60" s="8">
        <v>2750000</v>
      </c>
      <c r="F60" s="8">
        <v>68</v>
      </c>
      <c r="G60" s="8">
        <v>119</v>
      </c>
      <c r="H60" s="11">
        <v>75</v>
      </c>
      <c r="I60" s="8">
        <v>2049996</v>
      </c>
      <c r="J60" s="11">
        <v>-61.7</v>
      </c>
    </row>
    <row r="61" spans="1:10">
      <c r="A61" s="4" t="s">
        <v>961</v>
      </c>
      <c r="B61" s="4" t="s">
        <v>172</v>
      </c>
      <c r="C61" s="4" t="s">
        <v>143</v>
      </c>
      <c r="D61" s="4" t="s">
        <v>836</v>
      </c>
      <c r="E61" s="8">
        <v>750000</v>
      </c>
      <c r="F61" s="8">
        <v>120</v>
      </c>
      <c r="G61" s="8">
        <v>209</v>
      </c>
      <c r="H61" s="11">
        <v>74.16666666666667</v>
      </c>
      <c r="I61" s="8">
        <v>556072</v>
      </c>
      <c r="J61" s="11">
        <v>-50.9</v>
      </c>
    </row>
    <row r="62" spans="1:10">
      <c r="A62" s="4" t="s">
        <v>447</v>
      </c>
      <c r="B62" s="4" t="s">
        <v>160</v>
      </c>
      <c r="C62" s="4" t="s">
        <v>216</v>
      </c>
      <c r="D62" s="4" t="s">
        <v>831</v>
      </c>
      <c r="E62" s="8">
        <v>1900000</v>
      </c>
      <c r="F62" s="8">
        <v>188</v>
      </c>
      <c r="G62" s="8">
        <v>327</v>
      </c>
      <c r="H62" s="11">
        <v>73.93617021276594</v>
      </c>
      <c r="I62" s="8">
        <v>1407514</v>
      </c>
      <c r="J62" s="11">
        <v>5.2</v>
      </c>
    </row>
    <row r="63" spans="1:10">
      <c r="A63" s="4" t="s">
        <v>517</v>
      </c>
      <c r="B63" s="4" t="s">
        <v>149</v>
      </c>
      <c r="C63" s="4" t="s">
        <v>194</v>
      </c>
      <c r="D63" s="4" t="s">
        <v>136</v>
      </c>
      <c r="E63" s="8">
        <v>1800000</v>
      </c>
      <c r="F63" s="8">
        <v>153</v>
      </c>
      <c r="G63" s="8">
        <v>263</v>
      </c>
      <c r="H63" s="11">
        <v>71.89542483660132</v>
      </c>
      <c r="I63" s="8">
        <v>1290960</v>
      </c>
      <c r="J63" s="11">
        <v>-1.1</v>
      </c>
    </row>
    <row r="64" spans="1:10">
      <c r="A64" s="4" t="s">
        <v>578</v>
      </c>
      <c r="B64" s="4" t="s">
        <v>160</v>
      </c>
      <c r="C64" s="4" t="s">
        <v>579</v>
      </c>
      <c r="D64" s="4" t="s">
        <v>174</v>
      </c>
      <c r="E64" s="8">
        <v>1400000</v>
      </c>
      <c r="F64" s="8">
        <v>153</v>
      </c>
      <c r="G64" s="8">
        <v>262</v>
      </c>
      <c r="H64" s="11">
        <v>71.24183006535947</v>
      </c>
      <c r="I64" s="8">
        <v>999203</v>
      </c>
      <c r="J64" s="11">
        <v>-14.4</v>
      </c>
    </row>
    <row r="65" spans="1:10">
      <c r="A65" s="4" t="s">
        <v>546</v>
      </c>
      <c r="B65" s="4" t="s">
        <v>149</v>
      </c>
      <c r="C65" s="4" t="s">
        <v>255</v>
      </c>
      <c r="D65" s="4" t="s">
        <v>174</v>
      </c>
      <c r="E65" s="8">
        <v>1400000</v>
      </c>
      <c r="F65" s="8">
        <v>83</v>
      </c>
      <c r="G65" s="8">
        <v>142</v>
      </c>
      <c r="H65" s="11">
        <v>71.08433734939759</v>
      </c>
      <c r="I65" s="8">
        <v>995625</v>
      </c>
      <c r="J65" s="11">
        <v>-46.5</v>
      </c>
    </row>
    <row r="66" spans="1:10">
      <c r="A66" s="4" t="s">
        <v>464</v>
      </c>
      <c r="B66" s="4" t="s">
        <v>134</v>
      </c>
      <c r="C66" s="4" t="s">
        <v>361</v>
      </c>
      <c r="D66" s="4" t="s">
        <v>136</v>
      </c>
      <c r="E66" s="8">
        <v>1990000</v>
      </c>
      <c r="F66" s="8">
        <v>110</v>
      </c>
      <c r="G66" s="8">
        <v>188</v>
      </c>
      <c r="H66" s="11">
        <v>70.90909090909091</v>
      </c>
      <c r="I66" s="8">
        <v>1411800</v>
      </c>
      <c r="J66" s="11">
        <v>-43.2</v>
      </c>
    </row>
    <row r="67" spans="1:10">
      <c r="A67" s="4" t="s">
        <v>534</v>
      </c>
      <c r="B67" s="4" t="s">
        <v>134</v>
      </c>
      <c r="C67" s="4" t="s">
        <v>143</v>
      </c>
      <c r="D67" s="4" t="s">
        <v>136</v>
      </c>
      <c r="E67" s="8">
        <v>1700000</v>
      </c>
      <c r="F67" s="8">
        <v>133</v>
      </c>
      <c r="G67" s="8">
        <v>220</v>
      </c>
      <c r="H67" s="11">
        <v>65.41353383458646</v>
      </c>
      <c r="I67" s="8">
        <v>1110903</v>
      </c>
      <c r="J67" s="11">
        <v>-31.2</v>
      </c>
    </row>
    <row r="68" spans="1:10">
      <c r="A68" s="4" t="s">
        <v>521</v>
      </c>
      <c r="B68" s="4" t="s">
        <v>160</v>
      </c>
      <c r="C68" s="4" t="s">
        <v>178</v>
      </c>
      <c r="D68" s="4" t="s">
        <v>136</v>
      </c>
      <c r="E68" s="8">
        <v>1799000</v>
      </c>
      <c r="F68" s="8">
        <v>258</v>
      </c>
      <c r="G68" s="8">
        <v>421</v>
      </c>
      <c r="H68" s="11">
        <v>63.17829457364341</v>
      </c>
      <c r="I68" s="8">
        <v>1137251</v>
      </c>
      <c r="J68" s="11">
        <v>44.5</v>
      </c>
    </row>
    <row r="69" spans="1:10">
      <c r="A69" s="4" t="s">
        <v>564</v>
      </c>
      <c r="B69" s="4" t="s">
        <v>160</v>
      </c>
      <c r="C69" s="4" t="s">
        <v>250</v>
      </c>
      <c r="D69" s="4" t="s">
        <v>136</v>
      </c>
      <c r="E69" s="8">
        <v>1500000</v>
      </c>
      <c r="F69" s="8">
        <v>157</v>
      </c>
      <c r="G69" s="8">
        <v>255</v>
      </c>
      <c r="H69" s="11">
        <v>62.4203821656051</v>
      </c>
      <c r="I69" s="8">
        <v>937174</v>
      </c>
      <c r="J69" s="11">
        <v>-12.1</v>
      </c>
    </row>
    <row r="70" spans="1:10">
      <c r="A70" s="4" t="s">
        <v>564</v>
      </c>
      <c r="B70" s="4" t="s">
        <v>160</v>
      </c>
      <c r="C70" s="4" t="s">
        <v>250</v>
      </c>
      <c r="D70" s="4" t="s">
        <v>136</v>
      </c>
      <c r="E70" s="8">
        <v>1500000</v>
      </c>
      <c r="F70" s="8">
        <v>157</v>
      </c>
      <c r="G70" s="8">
        <v>255</v>
      </c>
      <c r="H70" s="11">
        <v>62.4203821656051</v>
      </c>
      <c r="I70" s="8">
        <v>937174</v>
      </c>
      <c r="J70" s="11">
        <v>-12.1</v>
      </c>
    </row>
    <row r="71" spans="1:10">
      <c r="A71" s="4" t="s">
        <v>447</v>
      </c>
      <c r="B71" s="4" t="s">
        <v>160</v>
      </c>
      <c r="C71" s="4" t="s">
        <v>216</v>
      </c>
      <c r="D71" s="4" t="s">
        <v>136</v>
      </c>
      <c r="E71" s="8">
        <v>2049000</v>
      </c>
      <c r="F71" s="8">
        <v>202</v>
      </c>
      <c r="G71" s="8">
        <v>327</v>
      </c>
      <c r="H71" s="11">
        <v>61.88118811881189</v>
      </c>
      <c r="I71" s="8">
        <v>1265750</v>
      </c>
      <c r="J71" s="11">
        <v>13.4</v>
      </c>
    </row>
    <row r="72" spans="1:10">
      <c r="A72" s="4" t="s">
        <v>736</v>
      </c>
      <c r="B72" s="4" t="s">
        <v>149</v>
      </c>
      <c r="C72" s="4" t="s">
        <v>173</v>
      </c>
      <c r="D72" s="4" t="s">
        <v>136</v>
      </c>
      <c r="E72" s="8">
        <v>850000</v>
      </c>
      <c r="F72" s="8">
        <v>425</v>
      </c>
      <c r="G72" s="8">
        <v>680</v>
      </c>
      <c r="H72" s="11">
        <v>60.00000000000001</v>
      </c>
      <c r="I72" s="8">
        <v>510000</v>
      </c>
      <c r="J72" s="11">
        <v>174.1</v>
      </c>
    </row>
    <row r="73" spans="1:10">
      <c r="A73" s="4" t="s">
        <v>439</v>
      </c>
      <c r="B73" s="4" t="s">
        <v>160</v>
      </c>
      <c r="C73" s="4" t="s">
        <v>216</v>
      </c>
      <c r="D73" s="4" t="s">
        <v>136</v>
      </c>
      <c r="E73" s="8">
        <v>2079000</v>
      </c>
      <c r="F73" s="8">
        <v>205</v>
      </c>
      <c r="G73" s="8">
        <v>327</v>
      </c>
      <c r="H73" s="11">
        <v>59.51219512195123</v>
      </c>
      <c r="I73" s="8">
        <v>1235372</v>
      </c>
      <c r="J73" s="11">
        <v>15.1</v>
      </c>
    </row>
    <row r="74" spans="1:10">
      <c r="A74" s="4" t="s">
        <v>508</v>
      </c>
      <c r="B74" s="4" t="s">
        <v>160</v>
      </c>
      <c r="C74" s="4" t="s">
        <v>509</v>
      </c>
      <c r="D74" s="4" t="s">
        <v>174</v>
      </c>
      <c r="E74" s="8">
        <v>1800000</v>
      </c>
      <c r="F74" s="8">
        <v>134</v>
      </c>
      <c r="G74" s="8">
        <v>213</v>
      </c>
      <c r="H74" s="11">
        <v>58.95522388059702</v>
      </c>
      <c r="I74" s="8">
        <v>1058758</v>
      </c>
      <c r="J74" s="11">
        <v>-24.7</v>
      </c>
    </row>
    <row r="75" spans="1:10">
      <c r="A75" s="4" t="s">
        <v>962</v>
      </c>
      <c r="B75" s="4" t="s">
        <v>134</v>
      </c>
      <c r="C75" s="4" t="s">
        <v>135</v>
      </c>
      <c r="D75" s="4" t="s">
        <v>836</v>
      </c>
      <c r="E75" s="8">
        <v>2350000</v>
      </c>
      <c r="F75" s="8">
        <v>84</v>
      </c>
      <c r="G75" s="8">
        <v>132</v>
      </c>
      <c r="H75" s="11">
        <v>57.14285714285714</v>
      </c>
      <c r="I75" s="8">
        <v>1338144</v>
      </c>
      <c r="J75" s="11">
        <v>-56.5</v>
      </c>
    </row>
    <row r="76" spans="1:10">
      <c r="A76" s="4" t="s">
        <v>825</v>
      </c>
      <c r="B76" s="4" t="s">
        <v>193</v>
      </c>
      <c r="C76" s="4" t="s">
        <v>826</v>
      </c>
      <c r="D76" s="4" t="s">
        <v>136</v>
      </c>
      <c r="E76" s="8">
        <v>170000</v>
      </c>
      <c r="F76" s="8">
        <v>424</v>
      </c>
      <c r="G76" s="8">
        <v>662</v>
      </c>
      <c r="H76" s="11">
        <v>56.13207547169812</v>
      </c>
      <c r="I76" s="8">
        <v>95438</v>
      </c>
      <c r="J76" s="11">
        <v>113.4</v>
      </c>
    </row>
    <row r="77" spans="1:10">
      <c r="A77" s="4" t="s">
        <v>963</v>
      </c>
      <c r="B77" s="4" t="s">
        <v>166</v>
      </c>
      <c r="C77" s="4" t="s">
        <v>135</v>
      </c>
      <c r="D77" s="4" t="s">
        <v>836</v>
      </c>
      <c r="E77" s="8">
        <v>1100000</v>
      </c>
      <c r="F77" s="8">
        <v>100</v>
      </c>
      <c r="G77" s="8">
        <v>156</v>
      </c>
      <c r="H77" s="11">
        <v>56.00000000000001</v>
      </c>
      <c r="I77" s="8">
        <v>613424</v>
      </c>
      <c r="J77" s="11">
        <v>-27.6</v>
      </c>
    </row>
    <row r="78" spans="1:10">
      <c r="A78" s="4" t="s">
        <v>744</v>
      </c>
      <c r="B78" s="4" t="s">
        <v>166</v>
      </c>
      <c r="C78" s="4" t="s">
        <v>135</v>
      </c>
      <c r="D78" s="4" t="s">
        <v>745</v>
      </c>
      <c r="E78" s="8">
        <v>850000</v>
      </c>
      <c r="F78" s="8">
        <v>136</v>
      </c>
      <c r="G78" s="8">
        <v>210</v>
      </c>
      <c r="H78" s="11">
        <v>54.41176470588236</v>
      </c>
      <c r="I78" s="8">
        <v>462500</v>
      </c>
      <c r="J78" s="11">
        <v>-1.9</v>
      </c>
    </row>
    <row r="79" spans="1:10">
      <c r="A79" s="4" t="s">
        <v>560</v>
      </c>
      <c r="B79" s="4" t="s">
        <v>160</v>
      </c>
      <c r="C79" s="4" t="s">
        <v>143</v>
      </c>
      <c r="D79" s="4" t="s">
        <v>136</v>
      </c>
      <c r="E79" s="8">
        <v>1500000</v>
      </c>
      <c r="F79" s="8">
        <v>164</v>
      </c>
      <c r="G79" s="8">
        <v>253</v>
      </c>
      <c r="H79" s="11">
        <v>54.26829268292683</v>
      </c>
      <c r="I79" s="8">
        <v>815863</v>
      </c>
      <c r="J79" s="11">
        <v>-8.300000000000001</v>
      </c>
    </row>
    <row r="80" spans="1:10">
      <c r="A80" s="4" t="s">
        <v>964</v>
      </c>
      <c r="B80" s="4" t="s">
        <v>134</v>
      </c>
      <c r="C80" s="4" t="s">
        <v>161</v>
      </c>
      <c r="D80" s="4" t="s">
        <v>836</v>
      </c>
      <c r="E80" s="8">
        <v>1900000</v>
      </c>
      <c r="F80" s="8">
        <v>92</v>
      </c>
      <c r="G80" s="8">
        <v>140</v>
      </c>
      <c r="H80" s="11">
        <v>52.17391304347827</v>
      </c>
      <c r="I80" s="8">
        <v>989472</v>
      </c>
      <c r="J80" s="11">
        <v>-52.4</v>
      </c>
    </row>
    <row r="81" spans="1:10">
      <c r="A81" s="4" t="s">
        <v>504</v>
      </c>
      <c r="B81" s="4" t="s">
        <v>160</v>
      </c>
      <c r="C81" s="4" t="s">
        <v>135</v>
      </c>
      <c r="D81" s="4" t="s">
        <v>965</v>
      </c>
      <c r="E81" s="8">
        <v>1750000</v>
      </c>
      <c r="F81" s="8">
        <v>122</v>
      </c>
      <c r="G81" s="8">
        <v>183</v>
      </c>
      <c r="H81" s="11">
        <v>50</v>
      </c>
      <c r="I81" s="8">
        <v>872239</v>
      </c>
      <c r="J81" s="11">
        <v>-31.4</v>
      </c>
    </row>
    <row r="82" spans="1:10">
      <c r="A82" s="4" t="s">
        <v>546</v>
      </c>
      <c r="B82" s="4" t="s">
        <v>149</v>
      </c>
      <c r="C82" s="4" t="s">
        <v>255</v>
      </c>
      <c r="D82" s="4" t="s">
        <v>136</v>
      </c>
      <c r="E82" s="8">
        <v>1600000</v>
      </c>
      <c r="F82" s="8">
        <v>95</v>
      </c>
      <c r="G82" s="8">
        <v>142</v>
      </c>
      <c r="H82" s="11">
        <v>49.47368421052632</v>
      </c>
      <c r="I82" s="8">
        <v>793125</v>
      </c>
      <c r="J82" s="11">
        <v>-38.8</v>
      </c>
    </row>
    <row r="83" spans="1:10">
      <c r="A83" s="4" t="s">
        <v>966</v>
      </c>
      <c r="B83" s="4" t="s">
        <v>160</v>
      </c>
      <c r="C83" s="4" t="s">
        <v>243</v>
      </c>
      <c r="D83" s="4" t="s">
        <v>836</v>
      </c>
      <c r="E83" s="8">
        <v>2399000</v>
      </c>
      <c r="F83" s="8">
        <v>184</v>
      </c>
      <c r="G83" s="8">
        <v>273</v>
      </c>
      <c r="H83" s="11">
        <v>48.36956521739131</v>
      </c>
      <c r="I83" s="8">
        <v>1157979</v>
      </c>
      <c r="J83" s="11">
        <v>3.3</v>
      </c>
    </row>
    <row r="84" spans="1:10">
      <c r="A84" s="4" t="s">
        <v>504</v>
      </c>
      <c r="B84" s="4" t="s">
        <v>134</v>
      </c>
      <c r="C84" s="4" t="s">
        <v>135</v>
      </c>
      <c r="D84" s="4" t="s">
        <v>136</v>
      </c>
      <c r="E84" s="8">
        <v>1850000</v>
      </c>
      <c r="F84" s="8">
        <v>129</v>
      </c>
      <c r="G84" s="8">
        <v>189</v>
      </c>
      <c r="H84" s="11">
        <v>46.51162790697674</v>
      </c>
      <c r="I84" s="8">
        <v>857940</v>
      </c>
      <c r="J84" s="11">
        <v>-33.2</v>
      </c>
    </row>
    <row r="85" spans="1:10">
      <c r="A85" s="4" t="s">
        <v>795</v>
      </c>
      <c r="B85" s="4" t="s">
        <v>134</v>
      </c>
      <c r="C85" s="4" t="s">
        <v>230</v>
      </c>
      <c r="D85" s="4" t="s">
        <v>136</v>
      </c>
      <c r="E85" s="8">
        <v>425000</v>
      </c>
      <c r="F85" s="8">
        <v>219</v>
      </c>
      <c r="G85" s="8">
        <v>319</v>
      </c>
      <c r="H85" s="11">
        <v>45.662100456621</v>
      </c>
      <c r="I85" s="8">
        <v>193800</v>
      </c>
      <c r="J85" s="11">
        <v>13.3</v>
      </c>
    </row>
    <row r="86" spans="1:10">
      <c r="A86" s="4" t="s">
        <v>435</v>
      </c>
      <c r="B86" s="4" t="s">
        <v>160</v>
      </c>
      <c r="C86" s="4" t="s">
        <v>161</v>
      </c>
      <c r="D86" s="4" t="s">
        <v>174</v>
      </c>
      <c r="E86" s="8">
        <v>1599900</v>
      </c>
      <c r="F86" s="8">
        <v>114</v>
      </c>
      <c r="G86" s="8">
        <v>166</v>
      </c>
      <c r="H86" s="11">
        <v>45.61403508771931</v>
      </c>
      <c r="I86" s="8">
        <v>728000</v>
      </c>
      <c r="J86" s="11">
        <v>-36</v>
      </c>
    </row>
    <row r="87" spans="1:10">
      <c r="A87" s="4" t="s">
        <v>620</v>
      </c>
      <c r="B87" s="4" t="s">
        <v>160</v>
      </c>
      <c r="C87" s="4" t="s">
        <v>161</v>
      </c>
      <c r="D87" s="4" t="s">
        <v>305</v>
      </c>
      <c r="E87" s="8">
        <v>1280000</v>
      </c>
      <c r="F87" s="8">
        <v>148</v>
      </c>
      <c r="G87" s="8">
        <v>215</v>
      </c>
      <c r="H87" s="11">
        <v>45.27027027027026</v>
      </c>
      <c r="I87" s="8">
        <v>579684</v>
      </c>
      <c r="J87" s="11">
        <v>-17.1</v>
      </c>
    </row>
    <row r="88" spans="1:10">
      <c r="A88" s="4" t="s">
        <v>591</v>
      </c>
      <c r="B88" s="4" t="s">
        <v>134</v>
      </c>
      <c r="C88" s="4" t="s">
        <v>300</v>
      </c>
      <c r="D88" s="4" t="s">
        <v>136</v>
      </c>
      <c r="E88" s="8">
        <v>1395000</v>
      </c>
      <c r="F88" s="8">
        <v>192</v>
      </c>
      <c r="G88" s="8">
        <v>276</v>
      </c>
      <c r="H88" s="11">
        <v>43.75</v>
      </c>
      <c r="I88" s="8">
        <v>609000</v>
      </c>
      <c r="J88" s="11">
        <v>-0.6</v>
      </c>
    </row>
    <row r="89" spans="1:10">
      <c r="A89" s="4" t="s">
        <v>673</v>
      </c>
      <c r="B89" s="4" t="s">
        <v>134</v>
      </c>
      <c r="C89" s="4" t="s">
        <v>183</v>
      </c>
      <c r="D89" s="4" t="s">
        <v>136</v>
      </c>
      <c r="E89" s="8">
        <v>1079325</v>
      </c>
      <c r="F89" s="8">
        <v>325</v>
      </c>
      <c r="G89" s="8">
        <v>464</v>
      </c>
      <c r="H89" s="11">
        <v>42.76923076923076</v>
      </c>
      <c r="I89" s="8">
        <v>461619</v>
      </c>
      <c r="J89" s="11">
        <v>67.90000000000001</v>
      </c>
    </row>
    <row r="90" spans="1:10">
      <c r="A90" s="4" t="s">
        <v>647</v>
      </c>
      <c r="B90" s="4" t="s">
        <v>172</v>
      </c>
      <c r="C90" s="4" t="s">
        <v>361</v>
      </c>
      <c r="D90" s="4" t="s">
        <v>136</v>
      </c>
      <c r="E90" s="8">
        <v>1200000</v>
      </c>
      <c r="F90" s="8">
        <v>117</v>
      </c>
      <c r="G90" s="8">
        <v>166</v>
      </c>
      <c r="H90" s="11">
        <v>41.88034188034189</v>
      </c>
      <c r="I90" s="8">
        <v>500437</v>
      </c>
      <c r="J90" s="11">
        <v>-51.9</v>
      </c>
    </row>
    <row r="91" spans="1:10">
      <c r="A91" s="4" t="s">
        <v>632</v>
      </c>
      <c r="B91" s="4" t="s">
        <v>166</v>
      </c>
      <c r="C91" s="4" t="s">
        <v>143</v>
      </c>
      <c r="D91" s="4" t="s">
        <v>136</v>
      </c>
      <c r="E91" s="8">
        <v>1200000</v>
      </c>
      <c r="F91" s="8">
        <v>136</v>
      </c>
      <c r="G91" s="8">
        <v>192</v>
      </c>
      <c r="H91" s="11">
        <v>41.1764705882353</v>
      </c>
      <c r="I91" s="8">
        <v>492688</v>
      </c>
      <c r="J91" s="11">
        <v>-1.6</v>
      </c>
    </row>
    <row r="92" spans="1:10">
      <c r="A92" s="4" t="s">
        <v>632</v>
      </c>
      <c r="B92" s="4" t="s">
        <v>166</v>
      </c>
      <c r="C92" s="4" t="s">
        <v>143</v>
      </c>
      <c r="D92" s="4" t="s">
        <v>136</v>
      </c>
      <c r="E92" s="8">
        <v>1200000</v>
      </c>
      <c r="F92" s="8">
        <v>136</v>
      </c>
      <c r="G92" s="8">
        <v>192</v>
      </c>
      <c r="H92" s="11">
        <v>41.1764705882353</v>
      </c>
      <c r="I92" s="8">
        <v>492688</v>
      </c>
      <c r="J92" s="11">
        <v>-1.6</v>
      </c>
    </row>
    <row r="93" spans="1:10">
      <c r="A93" s="4" t="s">
        <v>542</v>
      </c>
      <c r="B93" s="4" t="s">
        <v>160</v>
      </c>
      <c r="C93" s="4" t="s">
        <v>161</v>
      </c>
      <c r="D93" s="4" t="s">
        <v>136</v>
      </c>
      <c r="E93" s="8">
        <v>1699000</v>
      </c>
      <c r="F93" s="8">
        <v>123</v>
      </c>
      <c r="G93" s="8">
        <v>168</v>
      </c>
      <c r="H93" s="11">
        <v>36.58536585365854</v>
      </c>
      <c r="I93" s="8">
        <v>621090</v>
      </c>
      <c r="J93" s="11">
        <v>-31</v>
      </c>
    </row>
    <row r="94" spans="1:10">
      <c r="A94" s="4" t="s">
        <v>967</v>
      </c>
      <c r="B94" s="4" t="s">
        <v>149</v>
      </c>
      <c r="C94" s="4" t="s">
        <v>255</v>
      </c>
      <c r="D94" s="4" t="s">
        <v>836</v>
      </c>
      <c r="E94" s="8">
        <v>1750000</v>
      </c>
      <c r="F94" s="8">
        <v>104</v>
      </c>
      <c r="G94" s="8">
        <v>142</v>
      </c>
      <c r="H94" s="11">
        <v>36.53846153846154</v>
      </c>
      <c r="I94" s="8">
        <v>641250</v>
      </c>
      <c r="J94" s="11">
        <v>-33.1</v>
      </c>
    </row>
    <row r="95" spans="1:10">
      <c r="A95" s="4" t="s">
        <v>556</v>
      </c>
      <c r="B95" s="4" t="s">
        <v>160</v>
      </c>
      <c r="C95" s="4" t="s">
        <v>395</v>
      </c>
      <c r="D95" s="4" t="s">
        <v>136</v>
      </c>
      <c r="E95" s="8">
        <v>1500000</v>
      </c>
      <c r="F95" s="8">
        <v>233</v>
      </c>
      <c r="G95" s="8">
        <v>315</v>
      </c>
      <c r="H95" s="11">
        <v>35.1931330472103</v>
      </c>
      <c r="I95" s="8">
        <v>528080</v>
      </c>
      <c r="J95" s="11">
        <v>30.5</v>
      </c>
    </row>
    <row r="96" spans="1:10">
      <c r="A96" s="4" t="s">
        <v>343</v>
      </c>
      <c r="B96" s="4" t="s">
        <v>134</v>
      </c>
      <c r="C96" s="4" t="s">
        <v>243</v>
      </c>
      <c r="D96" s="4" t="s">
        <v>136</v>
      </c>
      <c r="E96" s="8">
        <v>2850000</v>
      </c>
      <c r="F96" s="8">
        <v>197</v>
      </c>
      <c r="G96" s="8">
        <v>266</v>
      </c>
      <c r="H96" s="11">
        <v>35.0253807106599</v>
      </c>
      <c r="I96" s="8">
        <v>999879</v>
      </c>
      <c r="J96" s="11">
        <v>1.6</v>
      </c>
    </row>
    <row r="97" spans="1:10">
      <c r="A97" s="4" t="s">
        <v>968</v>
      </c>
      <c r="B97" s="4" t="s">
        <v>142</v>
      </c>
      <c r="C97" s="4" t="s">
        <v>178</v>
      </c>
      <c r="D97" s="4" t="s">
        <v>836</v>
      </c>
      <c r="E97" s="8">
        <v>6000000</v>
      </c>
      <c r="F97" s="8">
        <v>280</v>
      </c>
      <c r="G97" s="8">
        <v>373</v>
      </c>
      <c r="H97" s="11">
        <v>33.21428571428571</v>
      </c>
      <c r="I97" s="8">
        <v>1994850</v>
      </c>
      <c r="J97" s="11">
        <v>-10.6</v>
      </c>
    </row>
    <row r="98" spans="1:10">
      <c r="A98" s="4" t="s">
        <v>607</v>
      </c>
      <c r="B98" s="4" t="s">
        <v>160</v>
      </c>
      <c r="C98" s="4" t="s">
        <v>255</v>
      </c>
      <c r="D98" s="4" t="s">
        <v>136</v>
      </c>
      <c r="E98" s="8">
        <v>1300000</v>
      </c>
      <c r="F98" s="8">
        <v>115</v>
      </c>
      <c r="G98" s="8">
        <v>153</v>
      </c>
      <c r="H98" s="11">
        <v>33.04347826086958</v>
      </c>
      <c r="I98" s="8">
        <v>429400</v>
      </c>
      <c r="J98" s="11">
        <v>-35.5</v>
      </c>
    </row>
    <row r="99" spans="1:10">
      <c r="A99" s="4" t="s">
        <v>757</v>
      </c>
      <c r="B99" s="4" t="s">
        <v>134</v>
      </c>
      <c r="C99" s="4" t="s">
        <v>250</v>
      </c>
      <c r="D99" s="4" t="s">
        <v>136</v>
      </c>
      <c r="E99" s="8">
        <v>824250</v>
      </c>
      <c r="F99" s="8">
        <v>526</v>
      </c>
      <c r="G99" s="8">
        <v>695</v>
      </c>
      <c r="H99" s="11">
        <v>32.12927756653991</v>
      </c>
      <c r="I99" s="8">
        <v>264992</v>
      </c>
      <c r="J99" s="11">
        <v>171.5</v>
      </c>
    </row>
    <row r="100" spans="1:10">
      <c r="A100" s="4" t="s">
        <v>677</v>
      </c>
      <c r="B100" s="4" t="s">
        <v>172</v>
      </c>
      <c r="C100" s="4" t="s">
        <v>678</v>
      </c>
      <c r="D100" s="4" t="s">
        <v>136</v>
      </c>
      <c r="E100" s="8">
        <v>1050000</v>
      </c>
      <c r="F100" s="8">
        <v>156</v>
      </c>
      <c r="G100" s="8">
        <v>206</v>
      </c>
      <c r="H100" s="11">
        <v>32.05128205128205</v>
      </c>
      <c r="I100" s="8">
        <v>337550</v>
      </c>
      <c r="J100" s="11">
        <v>-36.4</v>
      </c>
    </row>
    <row r="101" spans="1:10">
      <c r="A101" s="4" t="s">
        <v>677</v>
      </c>
      <c r="B101" s="4" t="s">
        <v>172</v>
      </c>
      <c r="C101" s="4" t="s">
        <v>678</v>
      </c>
      <c r="D101" s="4" t="s">
        <v>836</v>
      </c>
      <c r="E101" s="8">
        <v>1050000</v>
      </c>
      <c r="F101" s="8">
        <v>156</v>
      </c>
      <c r="G101" s="8">
        <v>206</v>
      </c>
      <c r="H101" s="11">
        <v>32.05128205128205</v>
      </c>
      <c r="I101" s="8">
        <v>337550</v>
      </c>
      <c r="J101" s="11">
        <v>-36.4</v>
      </c>
    </row>
    <row r="102" spans="1:10">
      <c r="A102" s="4" t="s">
        <v>677</v>
      </c>
      <c r="B102" s="4" t="s">
        <v>172</v>
      </c>
      <c r="C102" s="4" t="s">
        <v>678</v>
      </c>
      <c r="D102" s="4" t="s">
        <v>836</v>
      </c>
      <c r="E102" s="8">
        <v>1050000</v>
      </c>
      <c r="F102" s="8">
        <v>156</v>
      </c>
      <c r="G102" s="8">
        <v>206</v>
      </c>
      <c r="H102" s="11">
        <v>32.05128205128205</v>
      </c>
      <c r="I102" s="8">
        <v>337550</v>
      </c>
      <c r="J102" s="11">
        <v>-36.4</v>
      </c>
    </row>
    <row r="103" spans="1:10">
      <c r="A103" s="4" t="s">
        <v>234</v>
      </c>
      <c r="B103" s="4" t="s">
        <v>142</v>
      </c>
      <c r="C103" s="4" t="s">
        <v>188</v>
      </c>
      <c r="D103" s="4" t="s">
        <v>136</v>
      </c>
      <c r="E103" s="8">
        <v>4200000</v>
      </c>
      <c r="F103" s="8">
        <v>210</v>
      </c>
      <c r="G103" s="8">
        <v>277</v>
      </c>
      <c r="H103" s="11">
        <v>31.9047619047619</v>
      </c>
      <c r="I103" s="8">
        <v>1340268</v>
      </c>
      <c r="J103" s="11">
        <v>-32.9</v>
      </c>
    </row>
    <row r="104" spans="1:10">
      <c r="A104" s="4" t="s">
        <v>765</v>
      </c>
      <c r="B104" s="4" t="s">
        <v>193</v>
      </c>
      <c r="C104" s="4" t="s">
        <v>766</v>
      </c>
      <c r="D104" s="4" t="s">
        <v>136</v>
      </c>
      <c r="E104" s="8">
        <v>750000</v>
      </c>
      <c r="F104" s="8">
        <v>113</v>
      </c>
      <c r="G104" s="8">
        <v>149</v>
      </c>
      <c r="H104" s="11">
        <v>31.85840707964602</v>
      </c>
      <c r="I104" s="8">
        <v>238464</v>
      </c>
      <c r="J104" s="11">
        <v>-43</v>
      </c>
    </row>
    <row r="105" spans="1:10">
      <c r="A105" s="4" t="s">
        <v>765</v>
      </c>
      <c r="B105" s="4" t="s">
        <v>193</v>
      </c>
      <c r="C105" s="4" t="s">
        <v>770</v>
      </c>
      <c r="D105" s="4" t="s">
        <v>136</v>
      </c>
      <c r="E105" s="8">
        <v>750000</v>
      </c>
      <c r="F105" s="8">
        <v>113</v>
      </c>
      <c r="G105" s="8">
        <v>149</v>
      </c>
      <c r="H105" s="11">
        <v>31.85840707964602</v>
      </c>
      <c r="I105" s="8">
        <v>238464</v>
      </c>
      <c r="J105" s="11">
        <v>-43</v>
      </c>
    </row>
    <row r="106" spans="1:10">
      <c r="A106" s="4" t="s">
        <v>422</v>
      </c>
      <c r="B106" s="4" t="s">
        <v>423</v>
      </c>
      <c r="C106" s="4" t="s">
        <v>243</v>
      </c>
      <c r="D106" s="4" t="s">
        <v>836</v>
      </c>
      <c r="E106" s="8">
        <v>1999000</v>
      </c>
      <c r="F106" s="8">
        <v>313</v>
      </c>
      <c r="G106" s="8">
        <v>412</v>
      </c>
      <c r="H106" s="11">
        <v>31.62939297124601</v>
      </c>
      <c r="I106" s="8">
        <v>631422</v>
      </c>
      <c r="J106" s="11">
        <v>49</v>
      </c>
    </row>
    <row r="107" spans="1:10">
      <c r="A107" s="4" t="s">
        <v>969</v>
      </c>
      <c r="B107" s="4" t="s">
        <v>166</v>
      </c>
      <c r="C107" s="4" t="s">
        <v>135</v>
      </c>
      <c r="D107" s="4" t="s">
        <v>836</v>
      </c>
      <c r="E107" s="8">
        <v>1150000</v>
      </c>
      <c r="F107" s="8">
        <v>138</v>
      </c>
      <c r="G107" s="8">
        <v>181</v>
      </c>
      <c r="H107" s="11">
        <v>31.15942028985508</v>
      </c>
      <c r="I107" s="8">
        <v>357545</v>
      </c>
      <c r="J107" s="11">
        <v>-0.3</v>
      </c>
    </row>
    <row r="108" spans="1:10">
      <c r="A108" s="4" t="s">
        <v>659</v>
      </c>
      <c r="B108" s="4" t="s">
        <v>160</v>
      </c>
      <c r="C108" s="4" t="s">
        <v>255</v>
      </c>
      <c r="D108" s="4" t="s">
        <v>136</v>
      </c>
      <c r="E108" s="8">
        <v>1039000</v>
      </c>
      <c r="F108" s="8">
        <v>154</v>
      </c>
      <c r="G108" s="8">
        <v>201</v>
      </c>
      <c r="H108" s="11">
        <v>30.51948051948052</v>
      </c>
      <c r="I108" s="8">
        <v>317250</v>
      </c>
      <c r="J108" s="11">
        <v>-13.7</v>
      </c>
    </row>
    <row r="109" spans="1:10">
      <c r="A109" s="4" t="s">
        <v>431</v>
      </c>
      <c r="B109" s="4" t="s">
        <v>160</v>
      </c>
      <c r="C109" s="4" t="s">
        <v>361</v>
      </c>
      <c r="D109" s="4" t="s">
        <v>136</v>
      </c>
      <c r="E109" s="8">
        <v>2179449</v>
      </c>
      <c r="F109" s="8">
        <v>165</v>
      </c>
      <c r="G109" s="8">
        <v>215</v>
      </c>
      <c r="H109" s="11">
        <v>30.3030303030303</v>
      </c>
      <c r="I109" s="8">
        <v>661000</v>
      </c>
      <c r="J109" s="11">
        <v>-7.6</v>
      </c>
    </row>
    <row r="110" spans="1:10">
      <c r="A110" s="4" t="s">
        <v>513</v>
      </c>
      <c r="B110" s="4" t="s">
        <v>160</v>
      </c>
      <c r="C110" s="4" t="s">
        <v>143</v>
      </c>
      <c r="D110" s="4" t="s">
        <v>136</v>
      </c>
      <c r="E110" s="8">
        <v>1800000</v>
      </c>
      <c r="F110" s="8">
        <v>196</v>
      </c>
      <c r="G110" s="8">
        <v>253</v>
      </c>
      <c r="H110" s="11">
        <v>29.08163265306123</v>
      </c>
      <c r="I110" s="8">
        <v>522519</v>
      </c>
      <c r="J110" s="11">
        <v>10</v>
      </c>
    </row>
    <row r="111" spans="1:10">
      <c r="A111" s="4" t="s">
        <v>538</v>
      </c>
      <c r="B111" s="4" t="s">
        <v>134</v>
      </c>
      <c r="C111" s="4" t="s">
        <v>143</v>
      </c>
      <c r="D111" s="4" t="s">
        <v>136</v>
      </c>
      <c r="E111" s="8">
        <v>1700000</v>
      </c>
      <c r="F111" s="8">
        <v>227</v>
      </c>
      <c r="G111" s="8">
        <v>291</v>
      </c>
      <c r="H111" s="11">
        <v>28.19383259911894</v>
      </c>
      <c r="I111" s="8">
        <v>479808</v>
      </c>
      <c r="J111" s="11">
        <v>17.1</v>
      </c>
    </row>
    <row r="112" spans="1:10">
      <c r="A112" s="4" t="s">
        <v>412</v>
      </c>
      <c r="B112" s="4" t="s">
        <v>134</v>
      </c>
      <c r="C112" s="4" t="s">
        <v>250</v>
      </c>
      <c r="D112" s="4" t="s">
        <v>136</v>
      </c>
      <c r="E112" s="8">
        <v>2295000</v>
      </c>
      <c r="F112" s="8">
        <v>175</v>
      </c>
      <c r="G112" s="8">
        <v>223</v>
      </c>
      <c r="H112" s="11">
        <v>27.42857142857142</v>
      </c>
      <c r="I112" s="8">
        <v>629136</v>
      </c>
      <c r="J112" s="11">
        <v>-9.6</v>
      </c>
    </row>
    <row r="113" spans="1:10">
      <c r="A113" s="4" t="s">
        <v>970</v>
      </c>
      <c r="B113" s="4" t="s">
        <v>134</v>
      </c>
      <c r="C113" s="4" t="s">
        <v>173</v>
      </c>
      <c r="D113" s="4" t="s">
        <v>831</v>
      </c>
      <c r="E113" s="8">
        <v>2900000</v>
      </c>
      <c r="F113" s="8">
        <v>135</v>
      </c>
      <c r="G113" s="8">
        <v>172</v>
      </c>
      <c r="H113" s="11">
        <v>27.40740740740741</v>
      </c>
      <c r="I113" s="8">
        <v>793650</v>
      </c>
      <c r="J113" s="11">
        <v>-30.2</v>
      </c>
    </row>
    <row r="114" spans="1:10">
      <c r="A114" s="4" t="s">
        <v>971</v>
      </c>
      <c r="B114" s="4" t="s">
        <v>166</v>
      </c>
      <c r="C114" s="4" t="s">
        <v>255</v>
      </c>
      <c r="D114" s="4" t="s">
        <v>836</v>
      </c>
      <c r="E114" s="8">
        <v>675000</v>
      </c>
      <c r="F114" s="8">
        <v>144</v>
      </c>
      <c r="G114" s="8">
        <v>181</v>
      </c>
      <c r="H114" s="11">
        <v>25.69444444444444</v>
      </c>
      <c r="I114" s="8">
        <v>173160</v>
      </c>
      <c r="J114" s="11">
        <v>4</v>
      </c>
    </row>
    <row r="115" spans="1:10">
      <c r="A115" s="4" t="s">
        <v>972</v>
      </c>
      <c r="B115" s="4" t="s">
        <v>160</v>
      </c>
      <c r="C115" s="4" t="s">
        <v>732</v>
      </c>
      <c r="D115" s="4" t="s">
        <v>836</v>
      </c>
      <c r="E115" s="8">
        <v>1999000</v>
      </c>
      <c r="F115" s="8">
        <v>199</v>
      </c>
      <c r="G115" s="8">
        <v>249</v>
      </c>
      <c r="H115" s="11">
        <v>25.12562814070352</v>
      </c>
      <c r="I115" s="8">
        <v>503050</v>
      </c>
      <c r="J115" s="11">
        <v>11.4</v>
      </c>
    </row>
    <row r="116" spans="1:10">
      <c r="A116" s="4" t="s">
        <v>390</v>
      </c>
      <c r="B116" s="4" t="s">
        <v>134</v>
      </c>
      <c r="C116" s="4" t="s">
        <v>352</v>
      </c>
      <c r="D116" s="4" t="s">
        <v>136</v>
      </c>
      <c r="E116" s="8">
        <v>2500000</v>
      </c>
      <c r="F116" s="8">
        <v>167</v>
      </c>
      <c r="G116" s="8">
        <v>208</v>
      </c>
      <c r="H116" s="11">
        <v>24.55089820359282</v>
      </c>
      <c r="I116" s="8">
        <v>615123</v>
      </c>
      <c r="J116" s="11">
        <v>-13.9</v>
      </c>
    </row>
    <row r="117" spans="1:10">
      <c r="A117" s="4" t="s">
        <v>572</v>
      </c>
      <c r="B117" s="4" t="s">
        <v>160</v>
      </c>
      <c r="C117" s="4" t="s">
        <v>255</v>
      </c>
      <c r="D117" s="4" t="s">
        <v>136</v>
      </c>
      <c r="E117" s="8">
        <v>1425000</v>
      </c>
      <c r="F117" s="8">
        <v>120</v>
      </c>
      <c r="G117" s="8">
        <v>149</v>
      </c>
      <c r="H117" s="11">
        <v>24.16666666666667</v>
      </c>
      <c r="I117" s="8">
        <v>344085</v>
      </c>
      <c r="J117" s="11">
        <v>-32.7</v>
      </c>
    </row>
    <row r="118" spans="1:10">
      <c r="A118" s="4" t="s">
        <v>659</v>
      </c>
      <c r="B118" s="4" t="s">
        <v>160</v>
      </c>
      <c r="C118" s="4" t="s">
        <v>255</v>
      </c>
      <c r="D118" s="4" t="s">
        <v>136</v>
      </c>
      <c r="E118" s="8">
        <v>1095000</v>
      </c>
      <c r="F118" s="8">
        <v>162</v>
      </c>
      <c r="G118" s="8">
        <v>201</v>
      </c>
      <c r="H118" s="11">
        <v>24.07407407407407</v>
      </c>
      <c r="I118" s="8">
        <v>263250</v>
      </c>
      <c r="J118" s="11">
        <v>-9.1</v>
      </c>
    </row>
    <row r="119" spans="1:10">
      <c r="A119" s="4" t="s">
        <v>234</v>
      </c>
      <c r="B119" s="4" t="s">
        <v>142</v>
      </c>
      <c r="C119" s="4" t="s">
        <v>188</v>
      </c>
      <c r="D119" s="4" t="s">
        <v>136</v>
      </c>
      <c r="E119" s="8">
        <v>4500000</v>
      </c>
      <c r="F119" s="8">
        <v>225</v>
      </c>
      <c r="G119" s="8">
        <v>277</v>
      </c>
      <c r="H119" s="11">
        <v>23.1111111111111</v>
      </c>
      <c r="I119" s="8">
        <v>1040208</v>
      </c>
      <c r="J119" s="11">
        <v>-28.1</v>
      </c>
    </row>
    <row r="120" spans="1:10">
      <c r="A120" s="4" t="s">
        <v>669</v>
      </c>
      <c r="B120" s="4" t="s">
        <v>166</v>
      </c>
      <c r="C120" s="4" t="s">
        <v>300</v>
      </c>
      <c r="D120" s="4" t="s">
        <v>136</v>
      </c>
      <c r="E120" s="8">
        <v>1090000</v>
      </c>
      <c r="F120" s="8">
        <v>174</v>
      </c>
      <c r="G120" s="8">
        <v>214</v>
      </c>
      <c r="H120" s="11">
        <v>22.98850574712643</v>
      </c>
      <c r="I120" s="8">
        <v>250000</v>
      </c>
      <c r="J120" s="11">
        <v>25.8</v>
      </c>
    </row>
    <row r="121" spans="1:10">
      <c r="A121" s="4" t="s">
        <v>491</v>
      </c>
      <c r="B121" s="4" t="s">
        <v>160</v>
      </c>
      <c r="C121" s="4" t="s">
        <v>161</v>
      </c>
      <c r="D121" s="4" t="s">
        <v>136</v>
      </c>
      <c r="E121" s="8">
        <v>1895000</v>
      </c>
      <c r="F121" s="8">
        <v>137</v>
      </c>
      <c r="G121" s="8">
        <v>168</v>
      </c>
      <c r="H121" s="11">
        <v>22.62773722627738</v>
      </c>
      <c r="I121" s="8">
        <v>427862</v>
      </c>
      <c r="J121" s="11">
        <v>-23.1</v>
      </c>
    </row>
    <row r="122" spans="1:10">
      <c r="A122" s="4" t="s">
        <v>472</v>
      </c>
      <c r="B122" s="4" t="s">
        <v>160</v>
      </c>
      <c r="C122" s="4" t="s">
        <v>361</v>
      </c>
      <c r="D122" s="4" t="s">
        <v>174</v>
      </c>
      <c r="E122" s="8">
        <v>1950000</v>
      </c>
      <c r="F122" s="8">
        <v>229</v>
      </c>
      <c r="G122" s="8">
        <v>272</v>
      </c>
      <c r="H122" s="11">
        <v>18.77729257641922</v>
      </c>
      <c r="I122" s="8">
        <v>366274</v>
      </c>
      <c r="J122" s="11">
        <v>28.3</v>
      </c>
    </row>
    <row r="123" spans="1:10">
      <c r="A123" s="4" t="s">
        <v>973</v>
      </c>
      <c r="B123" s="4" t="s">
        <v>160</v>
      </c>
      <c r="C123" s="4" t="s">
        <v>255</v>
      </c>
      <c r="D123" s="4" t="s">
        <v>836</v>
      </c>
      <c r="E123" s="8">
        <v>1399990</v>
      </c>
      <c r="F123" s="8">
        <v>138</v>
      </c>
      <c r="G123" s="8">
        <v>162</v>
      </c>
      <c r="H123" s="11">
        <v>17.3913043478261</v>
      </c>
      <c r="I123" s="8">
        <v>243000</v>
      </c>
      <c r="J123" s="11">
        <v>-22.5</v>
      </c>
    </row>
    <row r="124" spans="1:10">
      <c r="A124" s="4" t="s">
        <v>651</v>
      </c>
      <c r="B124" s="4" t="s">
        <v>193</v>
      </c>
      <c r="C124" s="4" t="s">
        <v>178</v>
      </c>
      <c r="D124" s="4" t="s">
        <v>136</v>
      </c>
      <c r="E124" s="8">
        <v>1195000</v>
      </c>
      <c r="F124" s="8">
        <v>177</v>
      </c>
      <c r="G124" s="8">
        <v>206</v>
      </c>
      <c r="H124" s="11">
        <v>16.38418079096045</v>
      </c>
      <c r="I124" s="8">
        <v>195721</v>
      </c>
      <c r="J124" s="11">
        <v>-10.9</v>
      </c>
    </row>
    <row r="125" spans="1:10">
      <c r="A125" s="4" t="s">
        <v>275</v>
      </c>
      <c r="B125" s="4" t="s">
        <v>134</v>
      </c>
      <c r="C125" s="4" t="s">
        <v>143</v>
      </c>
      <c r="D125" s="4" t="s">
        <v>136</v>
      </c>
      <c r="E125" s="8">
        <v>3600000</v>
      </c>
      <c r="F125" s="8">
        <v>120</v>
      </c>
      <c r="G125" s="8">
        <v>139</v>
      </c>
      <c r="H125" s="11">
        <v>15.83333333333334</v>
      </c>
      <c r="I125" s="8">
        <v>571767</v>
      </c>
      <c r="J125" s="11">
        <v>-38.2</v>
      </c>
    </row>
    <row r="126" spans="1:10">
      <c r="A126" s="4" t="s">
        <v>659</v>
      </c>
      <c r="B126" s="4" t="s">
        <v>160</v>
      </c>
      <c r="C126" s="4" t="s">
        <v>255</v>
      </c>
      <c r="D126" s="4" t="s">
        <v>136</v>
      </c>
      <c r="E126" s="8">
        <v>1175000</v>
      </c>
      <c r="F126" s="8">
        <v>174</v>
      </c>
      <c r="G126" s="8">
        <v>201</v>
      </c>
      <c r="H126" s="11">
        <v>15.51724137931034</v>
      </c>
      <c r="I126" s="8">
        <v>182250</v>
      </c>
      <c r="J126" s="11">
        <v>-2.4</v>
      </c>
    </row>
    <row r="127" spans="1:10">
      <c r="A127" s="4" t="s">
        <v>974</v>
      </c>
      <c r="B127" s="4" t="s">
        <v>160</v>
      </c>
      <c r="C127" s="4" t="s">
        <v>361</v>
      </c>
      <c r="D127" s="4" t="s">
        <v>836</v>
      </c>
      <c r="E127" s="8">
        <v>2499999</v>
      </c>
      <c r="F127" s="8">
        <v>185</v>
      </c>
      <c r="G127" s="8">
        <v>212</v>
      </c>
      <c r="H127" s="11">
        <v>14.5945945945946</v>
      </c>
      <c r="I127" s="8">
        <v>364770</v>
      </c>
      <c r="J127" s="11">
        <v>3.7</v>
      </c>
    </row>
    <row r="128" spans="1:10">
      <c r="A128" s="4" t="s">
        <v>628</v>
      </c>
      <c r="B128" s="4" t="s">
        <v>166</v>
      </c>
      <c r="C128" s="4" t="s">
        <v>135</v>
      </c>
      <c r="D128" s="4" t="s">
        <v>136</v>
      </c>
      <c r="E128" s="8">
        <v>1250000</v>
      </c>
      <c r="F128" s="8">
        <v>169</v>
      </c>
      <c r="G128" s="8">
        <v>192</v>
      </c>
      <c r="H128" s="11">
        <v>13.6094674556213</v>
      </c>
      <c r="I128" s="8">
        <v>170039</v>
      </c>
      <c r="J128" s="11">
        <v>21.9</v>
      </c>
    </row>
    <row r="129" spans="1:10">
      <c r="A129" s="4" t="s">
        <v>369</v>
      </c>
      <c r="B129" s="4" t="s">
        <v>160</v>
      </c>
      <c r="C129" s="4" t="s">
        <v>250</v>
      </c>
      <c r="D129" s="4" t="s">
        <v>136</v>
      </c>
      <c r="E129" s="8">
        <v>2734375</v>
      </c>
      <c r="F129" s="8">
        <v>175</v>
      </c>
      <c r="G129" s="8">
        <v>197</v>
      </c>
      <c r="H129" s="11">
        <v>12.57142857142857</v>
      </c>
      <c r="I129" s="8">
        <v>343750</v>
      </c>
      <c r="J129" s="11">
        <v>-1.9</v>
      </c>
    </row>
    <row r="130" spans="1:10">
      <c r="A130" s="4" t="s">
        <v>399</v>
      </c>
      <c r="B130" s="4" t="s">
        <v>134</v>
      </c>
      <c r="C130" s="4" t="s">
        <v>400</v>
      </c>
      <c r="D130" s="4" t="s">
        <v>174</v>
      </c>
      <c r="E130" s="8">
        <v>2499000</v>
      </c>
      <c r="F130" s="8">
        <v>209</v>
      </c>
      <c r="G130" s="8">
        <v>235</v>
      </c>
      <c r="H130" s="11">
        <v>12.44019138755981</v>
      </c>
      <c r="I130" s="8">
        <v>310700</v>
      </c>
      <c r="J130" s="11">
        <v>8</v>
      </c>
    </row>
    <row r="131" spans="1:10">
      <c r="A131" s="4" t="s">
        <v>455</v>
      </c>
      <c r="B131" s="4" t="s">
        <v>160</v>
      </c>
      <c r="C131" s="4" t="s">
        <v>143</v>
      </c>
      <c r="D131" s="4" t="s">
        <v>136</v>
      </c>
      <c r="E131" s="8">
        <v>2000000</v>
      </c>
      <c r="F131" s="8">
        <v>234</v>
      </c>
      <c r="G131" s="8">
        <v>263</v>
      </c>
      <c r="H131" s="11">
        <v>12.39316239316239</v>
      </c>
      <c r="I131" s="8">
        <v>247660</v>
      </c>
      <c r="J131" s="11">
        <v>31.3</v>
      </c>
    </row>
    <row r="132" spans="1:10">
      <c r="A132" s="4" t="s">
        <v>187</v>
      </c>
      <c r="B132" s="4" t="s">
        <v>142</v>
      </c>
      <c r="C132" s="4" t="s">
        <v>188</v>
      </c>
      <c r="D132" s="4" t="s">
        <v>136</v>
      </c>
      <c r="E132" s="8">
        <v>6000000</v>
      </c>
      <c r="F132" s="8">
        <v>201</v>
      </c>
      <c r="G132" s="8">
        <v>224</v>
      </c>
      <c r="H132" s="11">
        <v>11.44278606965175</v>
      </c>
      <c r="I132" s="8">
        <v>686895</v>
      </c>
      <c r="J132" s="11">
        <v>-35.8</v>
      </c>
    </row>
    <row r="133" spans="1:10">
      <c r="A133" s="4" t="s">
        <v>723</v>
      </c>
      <c r="B133" s="4" t="s">
        <v>193</v>
      </c>
      <c r="C133" s="4" t="s">
        <v>135</v>
      </c>
      <c r="D133" s="4" t="s">
        <v>836</v>
      </c>
      <c r="E133" s="8">
        <v>799000</v>
      </c>
      <c r="F133" s="8">
        <v>117</v>
      </c>
      <c r="G133" s="8">
        <v>130</v>
      </c>
      <c r="H133" s="11">
        <v>11.11111111111112</v>
      </c>
      <c r="I133" s="8">
        <v>88920</v>
      </c>
      <c r="J133" s="11">
        <v>-41.2</v>
      </c>
    </row>
    <row r="134" spans="1:10">
      <c r="A134" s="4" t="s">
        <v>435</v>
      </c>
      <c r="B134" s="4" t="s">
        <v>160</v>
      </c>
      <c r="C134" s="4" t="s">
        <v>161</v>
      </c>
      <c r="D134" s="4" t="s">
        <v>136</v>
      </c>
      <c r="E134" s="8">
        <v>2100000</v>
      </c>
      <c r="F134" s="8">
        <v>150</v>
      </c>
      <c r="G134" s="8">
        <v>166</v>
      </c>
      <c r="H134" s="11">
        <v>10.66666666666667</v>
      </c>
      <c r="I134" s="8">
        <v>224000</v>
      </c>
      <c r="J134" s="11">
        <v>-15.9</v>
      </c>
    </row>
    <row r="135" spans="1:10">
      <c r="A135" s="4" t="s">
        <v>655</v>
      </c>
      <c r="B135" s="4" t="s">
        <v>134</v>
      </c>
      <c r="C135" s="4" t="s">
        <v>150</v>
      </c>
      <c r="D135" s="4" t="s">
        <v>136</v>
      </c>
      <c r="E135" s="8">
        <v>1180000</v>
      </c>
      <c r="F135" s="8">
        <v>520</v>
      </c>
      <c r="G135" s="8">
        <v>570</v>
      </c>
      <c r="H135" s="11">
        <v>9.615384615384626</v>
      </c>
      <c r="I135" s="8">
        <v>113400</v>
      </c>
      <c r="J135" s="11">
        <v>168.7</v>
      </c>
    </row>
    <row r="136" spans="1:10">
      <c r="A136" s="4" t="s">
        <v>975</v>
      </c>
      <c r="B136" s="4" t="s">
        <v>166</v>
      </c>
      <c r="C136" s="4" t="s">
        <v>178</v>
      </c>
      <c r="D136" s="4" t="s">
        <v>836</v>
      </c>
      <c r="E136" s="8">
        <v>4250000</v>
      </c>
      <c r="F136" s="8">
        <v>126</v>
      </c>
      <c r="G136" s="8">
        <v>136</v>
      </c>
      <c r="H136" s="11">
        <v>7.936507936507931</v>
      </c>
      <c r="I136" s="8">
        <v>337230</v>
      </c>
      <c r="J136" s="11">
        <v>-9.1</v>
      </c>
    </row>
    <row r="137" spans="1:10">
      <c r="A137" s="4" t="s">
        <v>356</v>
      </c>
      <c r="B137" s="4" t="s">
        <v>149</v>
      </c>
      <c r="C137" s="4" t="s">
        <v>161</v>
      </c>
      <c r="D137" s="4" t="s">
        <v>836</v>
      </c>
      <c r="E137" s="8">
        <v>1799000</v>
      </c>
      <c r="F137" s="8">
        <v>257</v>
      </c>
      <c r="G137" s="8">
        <v>277</v>
      </c>
      <c r="H137" s="11">
        <v>7.78210116731517</v>
      </c>
      <c r="I137" s="8">
        <v>140000</v>
      </c>
      <c r="J137" s="11">
        <v>65.8</v>
      </c>
    </row>
    <row r="138" spans="1:10">
      <c r="A138" s="4" t="s">
        <v>304</v>
      </c>
      <c r="B138" s="4" t="s">
        <v>149</v>
      </c>
      <c r="C138" s="4" t="s">
        <v>300</v>
      </c>
      <c r="D138" s="4" t="s">
        <v>305</v>
      </c>
      <c r="E138" s="8">
        <v>3395000</v>
      </c>
      <c r="F138" s="8">
        <v>163</v>
      </c>
      <c r="G138" s="8">
        <v>175</v>
      </c>
      <c r="H138" s="11">
        <v>7.361963190184051</v>
      </c>
      <c r="I138" s="8">
        <v>249924</v>
      </c>
      <c r="J138" s="11">
        <v>5.1</v>
      </c>
    </row>
    <row r="139" spans="1:10">
      <c r="A139" s="4" t="s">
        <v>878</v>
      </c>
      <c r="B139" s="4" t="s">
        <v>134</v>
      </c>
      <c r="C139" s="4" t="s">
        <v>188</v>
      </c>
      <c r="D139" s="4" t="s">
        <v>836</v>
      </c>
      <c r="E139" s="8">
        <v>2100000</v>
      </c>
      <c r="F139" s="8">
        <v>280</v>
      </c>
      <c r="G139" s="8">
        <v>300</v>
      </c>
      <c r="H139" s="11">
        <v>7.14285714285714</v>
      </c>
      <c r="I139" s="8">
        <v>150060</v>
      </c>
      <c r="J139" s="11">
        <v>44.6</v>
      </c>
    </row>
    <row r="140" spans="1:10">
      <c r="A140" s="4" t="s">
        <v>761</v>
      </c>
      <c r="B140" s="4" t="s">
        <v>166</v>
      </c>
      <c r="C140" s="4" t="s">
        <v>255</v>
      </c>
      <c r="D140" s="4" t="s">
        <v>174</v>
      </c>
      <c r="E140" s="8">
        <v>775000</v>
      </c>
      <c r="F140" s="8">
        <v>174</v>
      </c>
      <c r="G140" s="8">
        <v>186</v>
      </c>
      <c r="H140" s="11">
        <v>6.896551724137923</v>
      </c>
      <c r="I140" s="8">
        <v>53556</v>
      </c>
      <c r="J140" s="11">
        <v>25.2</v>
      </c>
    </row>
    <row r="141" spans="1:10">
      <c r="A141" s="4" t="s">
        <v>907</v>
      </c>
      <c r="B141" s="4" t="s">
        <v>172</v>
      </c>
      <c r="C141" s="4" t="s">
        <v>173</v>
      </c>
      <c r="D141" s="4" t="s">
        <v>836</v>
      </c>
      <c r="E141" s="8">
        <v>710000</v>
      </c>
      <c r="F141" s="8">
        <v>387</v>
      </c>
      <c r="G141" s="8">
        <v>413</v>
      </c>
      <c r="H141" s="11">
        <v>6.718346253229979</v>
      </c>
      <c r="I141" s="8">
        <v>47658</v>
      </c>
      <c r="J141" s="11">
        <v>58.4</v>
      </c>
    </row>
    <row r="142" spans="1:10">
      <c r="A142" s="4" t="s">
        <v>404</v>
      </c>
      <c r="B142" s="4" t="s">
        <v>134</v>
      </c>
      <c r="C142" s="4" t="s">
        <v>183</v>
      </c>
      <c r="D142" s="4" t="s">
        <v>136</v>
      </c>
      <c r="E142" s="8">
        <v>2475000</v>
      </c>
      <c r="F142" s="8">
        <v>238</v>
      </c>
      <c r="G142" s="8">
        <v>252</v>
      </c>
      <c r="H142" s="11">
        <v>5.882352941176472</v>
      </c>
      <c r="I142" s="8">
        <v>145600</v>
      </c>
      <c r="J142" s="11">
        <v>22.9</v>
      </c>
    </row>
    <row r="143" spans="1:10">
      <c r="A143" s="4" t="s">
        <v>304</v>
      </c>
      <c r="B143" s="4" t="s">
        <v>149</v>
      </c>
      <c r="C143" s="4" t="s">
        <v>300</v>
      </c>
      <c r="D143" s="4" t="s">
        <v>836</v>
      </c>
      <c r="E143" s="8">
        <v>3495000</v>
      </c>
      <c r="F143" s="8">
        <v>168</v>
      </c>
      <c r="G143" s="8">
        <v>175</v>
      </c>
      <c r="H143" s="11">
        <v>4.166666666666674</v>
      </c>
      <c r="I143" s="8">
        <v>145789</v>
      </c>
      <c r="J143" s="11">
        <v>8.199999999999999</v>
      </c>
    </row>
    <row r="144" spans="1:10">
      <c r="A144" s="4" t="s">
        <v>309</v>
      </c>
      <c r="B144" s="4" t="s">
        <v>134</v>
      </c>
      <c r="C144" s="4" t="s">
        <v>250</v>
      </c>
      <c r="D144" s="4" t="s">
        <v>136</v>
      </c>
      <c r="E144" s="8">
        <v>3368750</v>
      </c>
      <c r="F144" s="8">
        <v>175</v>
      </c>
      <c r="G144" s="8">
        <v>182</v>
      </c>
      <c r="H144" s="11">
        <v>4.000000000000004</v>
      </c>
      <c r="I144" s="8">
        <v>134750</v>
      </c>
      <c r="J144" s="11">
        <v>-9.6</v>
      </c>
    </row>
    <row r="145" spans="1:10">
      <c r="A145" s="4" t="s">
        <v>892</v>
      </c>
      <c r="B145" s="4" t="s">
        <v>160</v>
      </c>
      <c r="C145" s="4" t="s">
        <v>161</v>
      </c>
      <c r="D145" s="4" t="s">
        <v>836</v>
      </c>
      <c r="E145" s="8">
        <v>1749000</v>
      </c>
      <c r="F145" s="8">
        <v>217</v>
      </c>
      <c r="G145" s="8">
        <v>223</v>
      </c>
      <c r="H145" s="11">
        <v>2.764976958525356</v>
      </c>
      <c r="I145" s="8">
        <v>48450</v>
      </c>
      <c r="J145" s="11">
        <v>21.4</v>
      </c>
    </row>
    <row r="146" spans="1:10">
      <c r="A146" s="4" t="s">
        <v>404</v>
      </c>
      <c r="B146" s="4" t="s">
        <v>160</v>
      </c>
      <c r="C146" s="4" t="s">
        <v>183</v>
      </c>
      <c r="D146" s="4" t="s">
        <v>836</v>
      </c>
      <c r="E146" s="8">
        <v>2475000</v>
      </c>
      <c r="F146" s="8">
        <v>238</v>
      </c>
      <c r="G146" s="8">
        <v>244</v>
      </c>
      <c r="H146" s="11">
        <v>2.521008403361336</v>
      </c>
      <c r="I146" s="8">
        <v>62400</v>
      </c>
      <c r="J146" s="11">
        <v>33.4</v>
      </c>
    </row>
    <row r="147" spans="1:10">
      <c r="A147" s="4" t="s">
        <v>495</v>
      </c>
      <c r="B147" s="4" t="s">
        <v>134</v>
      </c>
      <c r="C147" s="4" t="s">
        <v>143</v>
      </c>
      <c r="D147" s="4" t="s">
        <v>174</v>
      </c>
      <c r="E147" s="8">
        <v>1890000</v>
      </c>
      <c r="F147" s="8">
        <v>334</v>
      </c>
      <c r="G147" s="8">
        <v>340</v>
      </c>
      <c r="H147" s="11">
        <v>1.796407185628746</v>
      </c>
      <c r="I147" s="8">
        <v>33984</v>
      </c>
      <c r="J147" s="11">
        <v>72.40000000000001</v>
      </c>
    </row>
    <row r="148" spans="1:10">
      <c r="A148" s="4" t="s">
        <v>468</v>
      </c>
      <c r="B148" s="4" t="s">
        <v>172</v>
      </c>
      <c r="C148" s="4" t="s">
        <v>183</v>
      </c>
      <c r="D148" s="4" t="s">
        <v>136</v>
      </c>
      <c r="E148" s="8">
        <v>1990000</v>
      </c>
      <c r="F148" s="8">
        <v>133</v>
      </c>
      <c r="G148" s="8">
        <v>135</v>
      </c>
      <c r="H148" s="11">
        <v>1.503759398496252</v>
      </c>
      <c r="I148" s="8">
        <v>30000</v>
      </c>
      <c r="J148" s="11">
        <v>-45.7</v>
      </c>
    </row>
    <row r="149" spans="1:10">
      <c r="A149" s="4" t="s">
        <v>313</v>
      </c>
      <c r="B149" s="4" t="s">
        <v>160</v>
      </c>
      <c r="C149" s="4" t="s">
        <v>183</v>
      </c>
      <c r="D149" s="4" t="s">
        <v>136</v>
      </c>
      <c r="E149" s="8">
        <v>2850000</v>
      </c>
      <c r="F149" s="8">
        <v>209</v>
      </c>
      <c r="G149" s="8">
        <v>211</v>
      </c>
      <c r="H149" s="11">
        <v>0.9569377990430672</v>
      </c>
      <c r="I149" s="8">
        <v>27300</v>
      </c>
      <c r="J149" s="11">
        <v>17</v>
      </c>
    </row>
    <row r="150" spans="1:10">
      <c r="A150" s="4" t="s">
        <v>443</v>
      </c>
      <c r="B150" s="4" t="s">
        <v>172</v>
      </c>
      <c r="C150" s="4" t="s">
        <v>143</v>
      </c>
      <c r="D150" s="4" t="s">
        <v>136</v>
      </c>
      <c r="E150" s="8">
        <v>2050000</v>
      </c>
      <c r="F150" s="8">
        <v>123</v>
      </c>
      <c r="G150" s="8">
        <v>123</v>
      </c>
      <c r="H150" s="11">
        <v>0</v>
      </c>
      <c r="I150" s="8">
        <v>0</v>
      </c>
      <c r="J150" s="11">
        <v>-49.9</v>
      </c>
    </row>
    <row r="151" spans="1:10">
      <c r="A151" s="4" t="s">
        <v>976</v>
      </c>
      <c r="B151" s="4" t="s">
        <v>134</v>
      </c>
      <c r="C151" s="4" t="s">
        <v>135</v>
      </c>
      <c r="D151" s="4" t="s">
        <v>836</v>
      </c>
      <c r="E151" s="8">
        <v>2695000</v>
      </c>
      <c r="F151" s="8">
        <v>192</v>
      </c>
      <c r="G151" s="8">
        <v>192</v>
      </c>
      <c r="H151" s="11">
        <v>0</v>
      </c>
      <c r="I151" s="8">
        <v>0</v>
      </c>
      <c r="J151" s="11">
        <v>-0.6</v>
      </c>
    </row>
    <row r="152" spans="1:10">
      <c r="A152" s="4" t="s">
        <v>900</v>
      </c>
      <c r="B152" s="4" t="s">
        <v>221</v>
      </c>
      <c r="C152" s="4" t="s">
        <v>178</v>
      </c>
      <c r="D152" s="4" t="s">
        <v>836</v>
      </c>
      <c r="E152" s="8">
        <v>995000</v>
      </c>
      <c r="F152" s="8">
        <v>829</v>
      </c>
      <c r="G152" s="8">
        <v>822</v>
      </c>
      <c r="H152" s="11">
        <v>-0.8443908323281013</v>
      </c>
      <c r="I152" s="8">
        <v>-8400</v>
      </c>
      <c r="J152" s="11">
        <v>126.8</v>
      </c>
    </row>
    <row r="153" spans="1:10">
      <c r="A153" s="4" t="s">
        <v>381</v>
      </c>
      <c r="B153" s="4" t="s">
        <v>134</v>
      </c>
      <c r="C153" s="4" t="s">
        <v>243</v>
      </c>
      <c r="D153" s="4" t="s">
        <v>136</v>
      </c>
      <c r="E153" s="8">
        <v>1900000</v>
      </c>
      <c r="F153" s="8">
        <v>607</v>
      </c>
      <c r="G153" s="8">
        <v>601</v>
      </c>
      <c r="H153" s="11">
        <v>-0.9884678747940745</v>
      </c>
      <c r="I153" s="8">
        <v>-18780</v>
      </c>
      <c r="J153" s="11">
        <v>213.5</v>
      </c>
    </row>
    <row r="154" spans="1:10">
      <c r="A154" s="4" t="s">
        <v>885</v>
      </c>
      <c r="B154" s="4" t="s">
        <v>166</v>
      </c>
      <c r="C154" s="4" t="s">
        <v>243</v>
      </c>
      <c r="D154" s="4" t="s">
        <v>831</v>
      </c>
      <c r="E154" s="8">
        <v>1900000</v>
      </c>
      <c r="F154" s="8">
        <v>298</v>
      </c>
      <c r="G154" s="8">
        <v>295</v>
      </c>
      <c r="H154" s="11">
        <v>-1.006711409395977</v>
      </c>
      <c r="I154" s="8">
        <v>-19155</v>
      </c>
      <c r="J154" s="11">
        <v>114.6</v>
      </c>
    </row>
    <row r="155" spans="1:10">
      <c r="A155" s="4" t="s">
        <v>723</v>
      </c>
      <c r="B155" s="4" t="s">
        <v>193</v>
      </c>
      <c r="C155" s="4" t="s">
        <v>135</v>
      </c>
      <c r="D155" s="4" t="s">
        <v>136</v>
      </c>
      <c r="E155" s="8">
        <v>899999</v>
      </c>
      <c r="F155" s="8">
        <v>132</v>
      </c>
      <c r="G155" s="8">
        <v>130</v>
      </c>
      <c r="H155" s="11">
        <v>-1.515151515151514</v>
      </c>
      <c r="I155" s="8">
        <v>-13680</v>
      </c>
      <c r="J155" s="11">
        <v>-33.8</v>
      </c>
    </row>
    <row r="156" spans="1:10">
      <c r="A156" s="4" t="s">
        <v>587</v>
      </c>
      <c r="B156" s="4" t="s">
        <v>134</v>
      </c>
      <c r="C156" s="4" t="s">
        <v>255</v>
      </c>
      <c r="D156" s="4" t="s">
        <v>136</v>
      </c>
      <c r="E156" s="8">
        <v>1399000</v>
      </c>
      <c r="F156" s="8">
        <v>225</v>
      </c>
      <c r="G156" s="8">
        <v>217</v>
      </c>
      <c r="H156" s="11">
        <v>-3.555555555555556</v>
      </c>
      <c r="I156" s="8">
        <v>-49800</v>
      </c>
      <c r="J156" s="11">
        <v>16.1</v>
      </c>
    </row>
    <row r="157" spans="1:10">
      <c r="A157" s="4" t="s">
        <v>870</v>
      </c>
      <c r="B157" s="4" t="s">
        <v>160</v>
      </c>
      <c r="C157" s="4" t="s">
        <v>250</v>
      </c>
      <c r="D157" s="4" t="s">
        <v>836</v>
      </c>
      <c r="E157" s="8">
        <v>2149000</v>
      </c>
      <c r="F157" s="8">
        <v>324</v>
      </c>
      <c r="G157" s="8">
        <v>310</v>
      </c>
      <c r="H157" s="11">
        <v>-4.320987654320985</v>
      </c>
      <c r="I157" s="8">
        <v>-92862</v>
      </c>
      <c r="J157" s="11">
        <v>81.59999999999999</v>
      </c>
    </row>
    <row r="158" spans="1:10">
      <c r="A158" s="4" t="s">
        <v>977</v>
      </c>
      <c r="B158" s="4" t="s">
        <v>172</v>
      </c>
      <c r="C158" s="4" t="s">
        <v>243</v>
      </c>
      <c r="D158" s="4" t="s">
        <v>836</v>
      </c>
      <c r="E158" s="8">
        <v>1999000</v>
      </c>
      <c r="F158" s="8">
        <v>247</v>
      </c>
      <c r="G158" s="8">
        <v>235</v>
      </c>
      <c r="H158" s="11">
        <v>-4.858299595141702</v>
      </c>
      <c r="I158" s="8">
        <v>-97296</v>
      </c>
      <c r="J158" s="11">
        <v>0.8</v>
      </c>
    </row>
    <row r="159" spans="1:10">
      <c r="A159" s="4" t="s">
        <v>422</v>
      </c>
      <c r="B159" s="4" t="s">
        <v>423</v>
      </c>
      <c r="C159" s="4" t="s">
        <v>167</v>
      </c>
      <c r="D159" s="4" t="s">
        <v>305</v>
      </c>
      <c r="E159" s="8">
        <v>2198672</v>
      </c>
      <c r="F159" s="8">
        <v>345</v>
      </c>
      <c r="G159" s="8">
        <v>328</v>
      </c>
      <c r="H159" s="11">
        <v>-4.927536231884055</v>
      </c>
      <c r="I159" s="8">
        <v>-108426</v>
      </c>
      <c r="J159" s="11">
        <v>63.9</v>
      </c>
    </row>
    <row r="160" spans="1:10">
      <c r="A160" s="4" t="s">
        <v>211</v>
      </c>
      <c r="B160" s="4" t="s">
        <v>160</v>
      </c>
      <c r="C160" s="4" t="s">
        <v>178</v>
      </c>
      <c r="D160" s="4" t="s">
        <v>136</v>
      </c>
      <c r="E160" s="8">
        <v>5295000</v>
      </c>
      <c r="F160" s="8">
        <v>264</v>
      </c>
      <c r="G160" s="8">
        <v>241</v>
      </c>
      <c r="H160" s="11">
        <v>-8.712121212121215</v>
      </c>
      <c r="I160" s="8">
        <v>-460460</v>
      </c>
      <c r="J160" s="11">
        <v>48.2</v>
      </c>
    </row>
    <row r="161" spans="1:10">
      <c r="A161" s="4" t="s">
        <v>632</v>
      </c>
      <c r="B161" s="4" t="s">
        <v>193</v>
      </c>
      <c r="C161" s="4" t="s">
        <v>143</v>
      </c>
      <c r="D161" s="4" t="s">
        <v>174</v>
      </c>
      <c r="E161" s="8">
        <v>1200000</v>
      </c>
      <c r="F161" s="8">
        <v>136</v>
      </c>
      <c r="G161" s="8">
        <v>124</v>
      </c>
      <c r="H161" s="11">
        <v>-8.823529411764708</v>
      </c>
      <c r="I161" s="8">
        <v>-105576</v>
      </c>
      <c r="J161" s="11">
        <v>-31.4</v>
      </c>
    </row>
    <row r="162" spans="1:10">
      <c r="A162" s="4" t="s">
        <v>333</v>
      </c>
      <c r="B162" s="4" t="s">
        <v>149</v>
      </c>
      <c r="C162" s="4" t="s">
        <v>161</v>
      </c>
      <c r="D162" s="4" t="s">
        <v>174</v>
      </c>
      <c r="E162" s="8">
        <v>2975000</v>
      </c>
      <c r="F162" s="8">
        <v>213</v>
      </c>
      <c r="G162" s="8">
        <v>192</v>
      </c>
      <c r="H162" s="11">
        <v>-9.859154929577462</v>
      </c>
      <c r="I162" s="8">
        <v>-292971</v>
      </c>
      <c r="J162" s="11">
        <v>37.5</v>
      </c>
    </row>
    <row r="163" spans="1:10">
      <c r="A163" s="4" t="s">
        <v>978</v>
      </c>
      <c r="B163" s="4" t="s">
        <v>142</v>
      </c>
      <c r="C163" s="4" t="s">
        <v>143</v>
      </c>
      <c r="D163" s="4" t="s">
        <v>836</v>
      </c>
      <c r="E163" s="8">
        <v>7995000</v>
      </c>
      <c r="F163" s="8">
        <v>220</v>
      </c>
      <c r="G163" s="8">
        <v>195</v>
      </c>
      <c r="H163" s="11">
        <v>-11.36363636363637</v>
      </c>
      <c r="I163" s="8">
        <v>-910175</v>
      </c>
      <c r="J163" s="11">
        <v>-29.8</v>
      </c>
    </row>
    <row r="164" spans="1:10">
      <c r="A164" s="4" t="s">
        <v>979</v>
      </c>
      <c r="B164" s="4" t="s">
        <v>160</v>
      </c>
      <c r="C164" s="4" t="s">
        <v>161</v>
      </c>
      <c r="D164" s="4" t="s">
        <v>836</v>
      </c>
      <c r="E164" s="8">
        <v>2940000</v>
      </c>
      <c r="F164" s="8">
        <v>168</v>
      </c>
      <c r="G164" s="8">
        <v>148</v>
      </c>
      <c r="H164" s="11">
        <v>-11.90476190476191</v>
      </c>
      <c r="I164" s="8">
        <v>-350000</v>
      </c>
      <c r="J164" s="11">
        <v>-5.8</v>
      </c>
    </row>
    <row r="165" spans="1:10">
      <c r="A165" s="4" t="s">
        <v>321</v>
      </c>
      <c r="B165" s="4" t="s">
        <v>172</v>
      </c>
      <c r="C165" s="4" t="s">
        <v>143</v>
      </c>
      <c r="D165" s="4" t="s">
        <v>174</v>
      </c>
      <c r="E165" s="8">
        <v>3200000</v>
      </c>
      <c r="F165" s="8">
        <v>98</v>
      </c>
      <c r="G165" s="8">
        <v>86</v>
      </c>
      <c r="H165" s="11">
        <v>-12.24489795918368</v>
      </c>
      <c r="I165" s="8">
        <v>-392892</v>
      </c>
      <c r="J165" s="11">
        <v>-60</v>
      </c>
    </row>
    <row r="166" spans="1:10">
      <c r="A166" s="4" t="s">
        <v>851</v>
      </c>
      <c r="B166" s="4" t="s">
        <v>386</v>
      </c>
      <c r="C166" s="4" t="s">
        <v>143</v>
      </c>
      <c r="D166" s="4" t="s">
        <v>836</v>
      </c>
      <c r="E166" s="8">
        <v>3995000</v>
      </c>
      <c r="F166" s="8">
        <v>197</v>
      </c>
      <c r="G166" s="8">
        <v>172</v>
      </c>
      <c r="H166" s="11">
        <v>-12.69035532994924</v>
      </c>
      <c r="I166" s="8">
        <v>-506250</v>
      </c>
      <c r="J166" s="11">
        <v>13</v>
      </c>
    </row>
    <row r="167" spans="1:10">
      <c r="A167" s="4" t="s">
        <v>682</v>
      </c>
      <c r="B167" s="4" t="s">
        <v>134</v>
      </c>
      <c r="C167" s="4" t="s">
        <v>135</v>
      </c>
      <c r="D167" s="4" t="s">
        <v>136</v>
      </c>
      <c r="E167" s="8">
        <v>1049000</v>
      </c>
      <c r="F167" s="8">
        <v>743</v>
      </c>
      <c r="G167" s="8">
        <v>646</v>
      </c>
      <c r="H167" s="11">
        <v>-13.05518169582772</v>
      </c>
      <c r="I167" s="8">
        <v>-136964</v>
      </c>
      <c r="J167" s="11">
        <v>283.7</v>
      </c>
    </row>
    <row r="168" spans="1:10">
      <c r="A168" s="4" t="s">
        <v>267</v>
      </c>
      <c r="B168" s="4" t="s">
        <v>134</v>
      </c>
      <c r="C168" s="4" t="s">
        <v>188</v>
      </c>
      <c r="D168" s="4" t="s">
        <v>136</v>
      </c>
      <c r="E168" s="8">
        <v>3600000</v>
      </c>
      <c r="F168" s="8">
        <v>240</v>
      </c>
      <c r="G168" s="8">
        <v>208</v>
      </c>
      <c r="H168" s="11">
        <v>-13.33333333333333</v>
      </c>
      <c r="I168" s="8">
        <v>-480000</v>
      </c>
      <c r="J168" s="11">
        <v>24</v>
      </c>
    </row>
    <row r="169" spans="1:10">
      <c r="A169" s="4" t="s">
        <v>863</v>
      </c>
      <c r="B169" s="4" t="s">
        <v>160</v>
      </c>
      <c r="C169" s="4" t="s">
        <v>135</v>
      </c>
      <c r="D169" s="4" t="s">
        <v>836</v>
      </c>
      <c r="E169" s="8">
        <v>2500000</v>
      </c>
      <c r="F169" s="8">
        <v>261</v>
      </c>
      <c r="G169" s="8">
        <v>226</v>
      </c>
      <c r="H169" s="11">
        <v>-13.40996168582376</v>
      </c>
      <c r="I169" s="8">
        <v>-334810</v>
      </c>
      <c r="J169" s="11">
        <v>46.5</v>
      </c>
    </row>
    <row r="170" spans="1:10">
      <c r="A170" s="4" t="s">
        <v>313</v>
      </c>
      <c r="B170" s="4" t="s">
        <v>160</v>
      </c>
      <c r="C170" s="4" t="s">
        <v>183</v>
      </c>
      <c r="D170" s="4" t="s">
        <v>136</v>
      </c>
      <c r="E170" s="8">
        <v>3349000</v>
      </c>
      <c r="F170" s="8">
        <v>245</v>
      </c>
      <c r="G170" s="8">
        <v>211</v>
      </c>
      <c r="H170" s="11">
        <v>-13.87755102040816</v>
      </c>
      <c r="I170" s="8">
        <v>-464100</v>
      </c>
      <c r="J170" s="11">
        <v>37.5</v>
      </c>
    </row>
    <row r="171" spans="1:10">
      <c r="A171" s="4" t="s">
        <v>329</v>
      </c>
      <c r="B171" s="4" t="s">
        <v>160</v>
      </c>
      <c r="C171" s="4" t="s">
        <v>161</v>
      </c>
      <c r="D171" s="4" t="s">
        <v>174</v>
      </c>
      <c r="E171" s="8">
        <v>2999990</v>
      </c>
      <c r="F171" s="8">
        <v>171</v>
      </c>
      <c r="G171" s="8">
        <v>147</v>
      </c>
      <c r="H171" s="11">
        <v>-14.03508771929824</v>
      </c>
      <c r="I171" s="8">
        <v>-420000</v>
      </c>
      <c r="J171" s="11">
        <v>-3.9</v>
      </c>
    </row>
    <row r="172" spans="1:10">
      <c r="A172" s="4" t="s">
        <v>215</v>
      </c>
      <c r="B172" s="4" t="s">
        <v>134</v>
      </c>
      <c r="C172" s="4" t="s">
        <v>216</v>
      </c>
      <c r="D172" s="4" t="s">
        <v>136</v>
      </c>
      <c r="E172" s="8">
        <v>5000000</v>
      </c>
      <c r="F172" s="8">
        <v>314</v>
      </c>
      <c r="G172" s="8">
        <v>265</v>
      </c>
      <c r="H172" s="11">
        <v>-15.60509554140127</v>
      </c>
      <c r="I172" s="8">
        <v>-780913</v>
      </c>
      <c r="J172" s="11">
        <v>62.1</v>
      </c>
    </row>
    <row r="173" spans="1:10">
      <c r="A173" s="4" t="s">
        <v>849</v>
      </c>
      <c r="B173" s="4" t="s">
        <v>160</v>
      </c>
      <c r="C173" s="4" t="s">
        <v>845</v>
      </c>
      <c r="D173" s="4" t="s">
        <v>836</v>
      </c>
      <c r="E173" s="8">
        <v>4000000</v>
      </c>
      <c r="F173" s="8">
        <v>212</v>
      </c>
      <c r="G173" s="8">
        <v>178</v>
      </c>
      <c r="H173" s="11">
        <v>-16.0377358490566</v>
      </c>
      <c r="I173" s="8">
        <v>-642532</v>
      </c>
      <c r="J173" s="11">
        <v>18.6</v>
      </c>
    </row>
    <row r="174" spans="1:10">
      <c r="A174" s="4" t="s">
        <v>844</v>
      </c>
      <c r="B174" s="4" t="s">
        <v>160</v>
      </c>
      <c r="C174" s="4" t="s">
        <v>845</v>
      </c>
      <c r="D174" s="4" t="s">
        <v>836</v>
      </c>
      <c r="E174" s="8">
        <v>4000000</v>
      </c>
      <c r="F174" s="8">
        <v>212</v>
      </c>
      <c r="G174" s="8">
        <v>178</v>
      </c>
      <c r="H174" s="11">
        <v>-16.0377358490566</v>
      </c>
      <c r="I174" s="8">
        <v>-642532</v>
      </c>
      <c r="J174" s="11">
        <v>18.6</v>
      </c>
    </row>
    <row r="175" spans="1:10">
      <c r="A175" s="4" t="s">
        <v>840</v>
      </c>
      <c r="B175" s="4" t="s">
        <v>134</v>
      </c>
      <c r="C175" s="4" t="s">
        <v>243</v>
      </c>
      <c r="D175" s="4" t="s">
        <v>836</v>
      </c>
      <c r="E175" s="8">
        <v>4900000</v>
      </c>
      <c r="F175" s="8">
        <v>302</v>
      </c>
      <c r="G175" s="8">
        <v>250</v>
      </c>
      <c r="H175" s="11">
        <v>-17.21854304635762</v>
      </c>
      <c r="I175" s="8">
        <v>-845000</v>
      </c>
      <c r="J175" s="11">
        <v>55.8</v>
      </c>
    </row>
    <row r="176" spans="1:10">
      <c r="A176" s="4" t="s">
        <v>267</v>
      </c>
      <c r="B176" s="4" t="s">
        <v>134</v>
      </c>
      <c r="C176" s="4" t="s">
        <v>188</v>
      </c>
      <c r="D176" s="4" t="s">
        <v>136</v>
      </c>
      <c r="E176" s="8">
        <v>3800000</v>
      </c>
      <c r="F176" s="8">
        <v>253</v>
      </c>
      <c r="G176" s="8">
        <v>208</v>
      </c>
      <c r="H176" s="11">
        <v>-17.78656126482213</v>
      </c>
      <c r="I176" s="8">
        <v>-675000</v>
      </c>
      <c r="J176" s="11">
        <v>30.9</v>
      </c>
    </row>
    <row r="177" spans="1:10">
      <c r="A177" s="4" t="s">
        <v>285</v>
      </c>
      <c r="B177" s="4" t="s">
        <v>134</v>
      </c>
      <c r="C177" s="4" t="s">
        <v>183</v>
      </c>
      <c r="D177" s="4" t="s">
        <v>136</v>
      </c>
      <c r="E177" s="8">
        <v>3520180</v>
      </c>
      <c r="F177" s="8">
        <v>284</v>
      </c>
      <c r="G177" s="8">
        <v>230</v>
      </c>
      <c r="H177" s="11">
        <v>-19.01408450704225</v>
      </c>
      <c r="I177" s="8">
        <v>-669492</v>
      </c>
      <c r="J177" s="11">
        <v>46.7</v>
      </c>
    </row>
    <row r="178" spans="1:10">
      <c r="A178" s="4" t="s">
        <v>259</v>
      </c>
      <c r="B178" s="4" t="s">
        <v>149</v>
      </c>
      <c r="C178" s="4" t="s">
        <v>143</v>
      </c>
      <c r="D178" s="4" t="s">
        <v>136</v>
      </c>
      <c r="E178" s="8">
        <v>3900000</v>
      </c>
      <c r="F178" s="8">
        <v>300</v>
      </c>
      <c r="G178" s="8">
        <v>242</v>
      </c>
      <c r="H178" s="11">
        <v>-19.33333333333334</v>
      </c>
      <c r="I178" s="8">
        <v>-754000</v>
      </c>
      <c r="J178" s="11">
        <v>93.5</v>
      </c>
    </row>
    <row r="179" spans="1:10">
      <c r="A179" s="4" t="s">
        <v>242</v>
      </c>
      <c r="B179" s="4" t="s">
        <v>134</v>
      </c>
      <c r="C179" s="4" t="s">
        <v>243</v>
      </c>
      <c r="D179" s="4" t="s">
        <v>174</v>
      </c>
      <c r="E179" s="8">
        <v>4250000</v>
      </c>
      <c r="F179" s="8">
        <v>381</v>
      </c>
      <c r="G179" s="8">
        <v>306</v>
      </c>
      <c r="H179" s="11">
        <v>-19.68503937007874</v>
      </c>
      <c r="I179" s="8">
        <v>-836700</v>
      </c>
      <c r="J179" s="11">
        <v>96.8</v>
      </c>
    </row>
    <row r="180" spans="1:10">
      <c r="A180" s="4" t="s">
        <v>595</v>
      </c>
      <c r="B180" s="4" t="s">
        <v>193</v>
      </c>
      <c r="C180" s="4" t="s">
        <v>135</v>
      </c>
      <c r="D180" s="4" t="s">
        <v>136</v>
      </c>
      <c r="E180" s="8">
        <v>1350000</v>
      </c>
      <c r="F180" s="8">
        <v>129</v>
      </c>
      <c r="G180" s="8">
        <v>103</v>
      </c>
      <c r="H180" s="11">
        <v>-20.15503875968993</v>
      </c>
      <c r="I180" s="8">
        <v>-273000</v>
      </c>
      <c r="J180" s="11">
        <v>-35.3</v>
      </c>
    </row>
    <row r="181" spans="1:10">
      <c r="A181" s="4" t="s">
        <v>583</v>
      </c>
      <c r="B181" s="4" t="s">
        <v>166</v>
      </c>
      <c r="C181" s="4" t="s">
        <v>395</v>
      </c>
      <c r="D181" s="4" t="s">
        <v>136</v>
      </c>
      <c r="E181" s="8">
        <v>1400000</v>
      </c>
      <c r="F181" s="8">
        <v>415</v>
      </c>
      <c r="G181" s="8">
        <v>330</v>
      </c>
      <c r="H181" s="11">
        <v>-20.48192771084337</v>
      </c>
      <c r="I181" s="8">
        <v>-286875</v>
      </c>
      <c r="J181" s="11">
        <v>199.1</v>
      </c>
    </row>
    <row r="182" spans="1:10">
      <c r="A182" s="4" t="s">
        <v>365</v>
      </c>
      <c r="B182" s="4" t="s">
        <v>221</v>
      </c>
      <c r="C182" s="4" t="s">
        <v>243</v>
      </c>
      <c r="D182" s="4" t="s">
        <v>136</v>
      </c>
      <c r="E182" s="8">
        <v>2750000</v>
      </c>
      <c r="F182" s="8">
        <v>345</v>
      </c>
      <c r="G182" s="8">
        <v>272</v>
      </c>
      <c r="H182" s="11">
        <v>-21.15942028985507</v>
      </c>
      <c r="I182" s="8">
        <v>-581080</v>
      </c>
      <c r="J182" s="11">
        <v>-5.5</v>
      </c>
    </row>
    <row r="183" spans="1:10">
      <c r="A183" s="4" t="s">
        <v>263</v>
      </c>
      <c r="B183" s="4" t="s">
        <v>134</v>
      </c>
      <c r="C183" s="4" t="s">
        <v>255</v>
      </c>
      <c r="D183" s="4" t="s">
        <v>136</v>
      </c>
      <c r="E183" s="8">
        <v>3400000</v>
      </c>
      <c r="F183" s="8">
        <v>127</v>
      </c>
      <c r="G183" s="8">
        <v>100</v>
      </c>
      <c r="H183" s="11">
        <v>-21.25984251968503</v>
      </c>
      <c r="I183" s="8">
        <v>-724572</v>
      </c>
      <c r="J183" s="11">
        <v>-34.6</v>
      </c>
    </row>
    <row r="184" spans="1:10">
      <c r="A184" s="4" t="s">
        <v>408</v>
      </c>
      <c r="B184" s="4" t="s">
        <v>149</v>
      </c>
      <c r="C184" s="4" t="s">
        <v>255</v>
      </c>
      <c r="D184" s="4" t="s">
        <v>136</v>
      </c>
      <c r="E184" s="8">
        <v>2400000</v>
      </c>
      <c r="F184" s="8">
        <v>237</v>
      </c>
      <c r="G184" s="8">
        <v>186</v>
      </c>
      <c r="H184" s="11">
        <v>-21.51898734177216</v>
      </c>
      <c r="I184" s="8">
        <v>-516375</v>
      </c>
      <c r="J184" s="11">
        <v>52.9</v>
      </c>
    </row>
    <row r="185" spans="1:10">
      <c r="A185" s="4" t="s">
        <v>385</v>
      </c>
      <c r="B185" s="4" t="s">
        <v>386</v>
      </c>
      <c r="C185" s="4" t="s">
        <v>143</v>
      </c>
      <c r="D185" s="4" t="s">
        <v>136</v>
      </c>
      <c r="E185" s="8">
        <v>2500000</v>
      </c>
      <c r="F185" s="8">
        <v>441</v>
      </c>
      <c r="G185" s="8">
        <v>340</v>
      </c>
      <c r="H185" s="11">
        <v>-22.90249433106576</v>
      </c>
      <c r="I185" s="8">
        <v>-572064</v>
      </c>
      <c r="J185" s="11">
        <v>152.9</v>
      </c>
    </row>
    <row r="186" spans="1:10">
      <c r="A186" s="4" t="s">
        <v>835</v>
      </c>
      <c r="B186" s="4" t="s">
        <v>134</v>
      </c>
      <c r="C186" s="4" t="s">
        <v>243</v>
      </c>
      <c r="D186" s="4" t="s">
        <v>836</v>
      </c>
      <c r="E186" s="8">
        <v>4900000</v>
      </c>
      <c r="F186" s="8">
        <v>362</v>
      </c>
      <c r="G186" s="8">
        <v>276</v>
      </c>
      <c r="H186" s="11">
        <v>-23.75690607734806</v>
      </c>
      <c r="I186" s="8">
        <v>-1163150</v>
      </c>
      <c r="J186" s="11">
        <v>87.09999999999999</v>
      </c>
    </row>
    <row r="187" spans="1:10">
      <c r="A187" s="4" t="s">
        <v>481</v>
      </c>
      <c r="B187" s="4" t="s">
        <v>193</v>
      </c>
      <c r="C187" s="4" t="s">
        <v>243</v>
      </c>
      <c r="D187" s="4" t="s">
        <v>136</v>
      </c>
      <c r="E187" s="8">
        <v>1950000</v>
      </c>
      <c r="F187" s="8">
        <v>202</v>
      </c>
      <c r="G187" s="8">
        <v>154</v>
      </c>
      <c r="H187" s="11">
        <v>-23.76237623762376</v>
      </c>
      <c r="I187" s="8">
        <v>-463296</v>
      </c>
      <c r="J187" s="11">
        <v>1.7</v>
      </c>
    </row>
    <row r="188" spans="1:10">
      <c r="A188" s="4" t="s">
        <v>377</v>
      </c>
      <c r="B188" s="4" t="s">
        <v>134</v>
      </c>
      <c r="C188" s="4" t="s">
        <v>143</v>
      </c>
      <c r="D188" s="4" t="s">
        <v>136</v>
      </c>
      <c r="E188" s="8">
        <v>2649000</v>
      </c>
      <c r="F188" s="8">
        <v>423</v>
      </c>
      <c r="G188" s="8">
        <v>322</v>
      </c>
      <c r="H188" s="11">
        <v>-23.87706855791962</v>
      </c>
      <c r="I188" s="8">
        <v>-631856</v>
      </c>
      <c r="J188" s="11">
        <v>118.7</v>
      </c>
    </row>
    <row r="189" spans="1:10">
      <c r="A189" s="4" t="s">
        <v>980</v>
      </c>
      <c r="B189" s="4" t="s">
        <v>193</v>
      </c>
      <c r="C189" s="4" t="s">
        <v>135</v>
      </c>
      <c r="D189" s="4" t="s">
        <v>831</v>
      </c>
      <c r="E189" s="8">
        <v>1995000</v>
      </c>
      <c r="F189" s="8">
        <v>92</v>
      </c>
      <c r="G189" s="8">
        <v>70</v>
      </c>
      <c r="H189" s="11">
        <v>-23.91304347826086</v>
      </c>
      <c r="I189" s="8">
        <v>-479358</v>
      </c>
      <c r="J189" s="11">
        <v>-53.9</v>
      </c>
    </row>
    <row r="190" spans="1:10">
      <c r="A190" s="4" t="s">
        <v>299</v>
      </c>
      <c r="B190" s="4" t="s">
        <v>134</v>
      </c>
      <c r="C190" s="4" t="s">
        <v>300</v>
      </c>
      <c r="D190" s="4" t="s">
        <v>136</v>
      </c>
      <c r="E190" s="8">
        <v>3395000</v>
      </c>
      <c r="F190" s="8">
        <v>275</v>
      </c>
      <c r="G190" s="8">
        <v>208</v>
      </c>
      <c r="H190" s="11">
        <v>-24.36363636363637</v>
      </c>
      <c r="I190" s="8">
        <v>-828321</v>
      </c>
      <c r="J190" s="11">
        <v>41.8</v>
      </c>
    </row>
    <row r="191" spans="1:10">
      <c r="A191" s="4" t="s">
        <v>381</v>
      </c>
      <c r="B191" s="4" t="s">
        <v>134</v>
      </c>
      <c r="C191" s="4" t="s">
        <v>243</v>
      </c>
      <c r="D191" s="4" t="s">
        <v>174</v>
      </c>
      <c r="E191" s="8">
        <v>2500000</v>
      </c>
      <c r="F191" s="8">
        <v>799</v>
      </c>
      <c r="G191" s="8">
        <v>601</v>
      </c>
      <c r="H191" s="11">
        <v>-24.78097622027534</v>
      </c>
      <c r="I191" s="8">
        <v>-619740</v>
      </c>
      <c r="J191" s="11">
        <v>312.6</v>
      </c>
    </row>
    <row r="192" spans="1:10">
      <c r="A192" s="4" t="s">
        <v>281</v>
      </c>
      <c r="B192" s="4" t="s">
        <v>172</v>
      </c>
      <c r="C192" s="4" t="s">
        <v>178</v>
      </c>
      <c r="D192" s="4" t="s">
        <v>174</v>
      </c>
      <c r="E192" s="8">
        <v>3495000</v>
      </c>
      <c r="F192" s="8">
        <v>288</v>
      </c>
      <c r="G192" s="8">
        <v>212</v>
      </c>
      <c r="H192" s="11">
        <v>-26.38888888888889</v>
      </c>
      <c r="I192" s="8">
        <v>-923400</v>
      </c>
      <c r="J192" s="11">
        <v>17.6</v>
      </c>
    </row>
    <row r="193" spans="1:10">
      <c r="A193" s="4" t="s">
        <v>855</v>
      </c>
      <c r="B193" s="4" t="s">
        <v>160</v>
      </c>
      <c r="C193" s="4" t="s">
        <v>216</v>
      </c>
      <c r="D193" s="4" t="s">
        <v>836</v>
      </c>
      <c r="E193" s="8">
        <v>3749000</v>
      </c>
      <c r="F193" s="8">
        <v>555</v>
      </c>
      <c r="G193" s="8">
        <v>408</v>
      </c>
      <c r="H193" s="11">
        <v>-26.48648648648648</v>
      </c>
      <c r="I193" s="8">
        <v>-992250</v>
      </c>
      <c r="J193" s="11">
        <v>211.3</v>
      </c>
    </row>
    <row r="194" spans="1:10">
      <c r="A194" s="4" t="s">
        <v>351</v>
      </c>
      <c r="B194" s="4" t="s">
        <v>160</v>
      </c>
      <c r="C194" s="4" t="s">
        <v>352</v>
      </c>
      <c r="D194" s="4" t="s">
        <v>174</v>
      </c>
      <c r="E194" s="8">
        <v>2750000</v>
      </c>
      <c r="F194" s="8">
        <v>440</v>
      </c>
      <c r="G194" s="8">
        <v>320</v>
      </c>
      <c r="H194" s="11">
        <v>-27.27272727272727</v>
      </c>
      <c r="I194" s="8">
        <v>-750000</v>
      </c>
      <c r="J194" s="11">
        <v>146.6</v>
      </c>
    </row>
    <row r="195" spans="1:10">
      <c r="A195" s="4" t="s">
        <v>830</v>
      </c>
      <c r="B195" s="4" t="s">
        <v>134</v>
      </c>
      <c r="C195" s="4" t="s">
        <v>178</v>
      </c>
      <c r="D195" s="4" t="s">
        <v>831</v>
      </c>
      <c r="E195" s="8">
        <v>10500000</v>
      </c>
      <c r="F195" s="8">
        <v>219</v>
      </c>
      <c r="G195" s="8">
        <v>157</v>
      </c>
      <c r="H195" s="11">
        <v>-28.31050228310502</v>
      </c>
      <c r="I195" s="8">
        <v>-2972900</v>
      </c>
      <c r="J195" s="11">
        <v>13.1</v>
      </c>
    </row>
    <row r="196" spans="1:10">
      <c r="A196" s="4" t="s">
        <v>281</v>
      </c>
      <c r="B196" s="4" t="s">
        <v>172</v>
      </c>
      <c r="C196" s="4" t="s">
        <v>178</v>
      </c>
      <c r="D196" s="4" t="s">
        <v>136</v>
      </c>
      <c r="E196" s="8">
        <v>3595000</v>
      </c>
      <c r="F196" s="8">
        <v>296</v>
      </c>
      <c r="G196" s="8">
        <v>212</v>
      </c>
      <c r="H196" s="11">
        <v>-28.37837837837838</v>
      </c>
      <c r="I196" s="8">
        <v>-1020600</v>
      </c>
      <c r="J196" s="11">
        <v>21</v>
      </c>
    </row>
    <row r="197" spans="1:10">
      <c r="A197" s="4" t="s">
        <v>325</v>
      </c>
      <c r="B197" s="4" t="s">
        <v>160</v>
      </c>
      <c r="C197" s="4" t="s">
        <v>161</v>
      </c>
      <c r="D197" s="4" t="s">
        <v>136</v>
      </c>
      <c r="E197" s="8">
        <v>3000000</v>
      </c>
      <c r="F197" s="8">
        <v>261</v>
      </c>
      <c r="G197" s="8">
        <v>185</v>
      </c>
      <c r="H197" s="11">
        <v>-29.11877394636015</v>
      </c>
      <c r="I197" s="8">
        <v>-874000</v>
      </c>
      <c r="J197" s="11">
        <v>46.2</v>
      </c>
    </row>
    <row r="198" spans="1:10">
      <c r="A198" s="4" t="s">
        <v>356</v>
      </c>
      <c r="B198" s="4" t="s">
        <v>149</v>
      </c>
      <c r="C198" s="4" t="s">
        <v>161</v>
      </c>
      <c r="D198" s="4" t="s">
        <v>136</v>
      </c>
      <c r="E198" s="8">
        <v>2750000</v>
      </c>
      <c r="F198" s="8">
        <v>393</v>
      </c>
      <c r="G198" s="8">
        <v>277</v>
      </c>
      <c r="H198" s="11">
        <v>-29.51653944020356</v>
      </c>
      <c r="I198" s="8">
        <v>-812000</v>
      </c>
      <c r="J198" s="11">
        <v>153.4</v>
      </c>
    </row>
    <row r="199" spans="1:10">
      <c r="A199" s="4" t="s">
        <v>459</v>
      </c>
      <c r="B199" s="4" t="s">
        <v>221</v>
      </c>
      <c r="C199" s="4" t="s">
        <v>460</v>
      </c>
      <c r="D199" s="4" t="s">
        <v>136</v>
      </c>
      <c r="E199" s="8">
        <v>1998500</v>
      </c>
      <c r="F199" s="8">
        <v>384</v>
      </c>
      <c r="G199" s="8">
        <v>270</v>
      </c>
      <c r="H199" s="11">
        <v>-29.6875</v>
      </c>
      <c r="I199" s="8">
        <v>-592800</v>
      </c>
      <c r="J199" s="11">
        <v>5.1</v>
      </c>
    </row>
    <row r="200" spans="1:10">
      <c r="A200" s="4" t="s">
        <v>416</v>
      </c>
      <c r="B200" s="4" t="s">
        <v>166</v>
      </c>
      <c r="C200" s="4" t="s">
        <v>255</v>
      </c>
      <c r="D200" s="4" t="s">
        <v>136</v>
      </c>
      <c r="E200" s="8">
        <v>2200000</v>
      </c>
      <c r="F200" s="8">
        <v>130</v>
      </c>
      <c r="G200" s="8">
        <v>91</v>
      </c>
      <c r="H200" s="11">
        <v>-30</v>
      </c>
      <c r="I200" s="8">
        <v>-658125</v>
      </c>
      <c r="J200" s="11">
        <v>-6</v>
      </c>
    </row>
    <row r="201" spans="1:10">
      <c r="A201" s="4" t="s">
        <v>317</v>
      </c>
      <c r="B201" s="4" t="s">
        <v>134</v>
      </c>
      <c r="C201" s="4" t="s">
        <v>250</v>
      </c>
      <c r="D201" s="4" t="s">
        <v>174</v>
      </c>
      <c r="E201" s="8">
        <v>3250000</v>
      </c>
      <c r="F201" s="8">
        <v>433</v>
      </c>
      <c r="G201" s="8">
        <v>301</v>
      </c>
      <c r="H201" s="11">
        <v>-30.48498845265589</v>
      </c>
      <c r="I201" s="8">
        <v>-990000</v>
      </c>
      <c r="J201" s="11">
        <v>123.8</v>
      </c>
    </row>
    <row r="202" spans="1:10">
      <c r="A202" s="4" t="s">
        <v>148</v>
      </c>
      <c r="B202" s="4" t="s">
        <v>149</v>
      </c>
      <c r="C202" s="4" t="s">
        <v>150</v>
      </c>
      <c r="D202" s="4" t="s">
        <v>136</v>
      </c>
      <c r="E202" s="8">
        <v>8700000</v>
      </c>
      <c r="F202" s="8">
        <v>178</v>
      </c>
      <c r="G202" s="8">
        <v>123</v>
      </c>
      <c r="H202" s="11">
        <v>-30.89887640449438</v>
      </c>
      <c r="I202" s="8">
        <v>-2694560</v>
      </c>
      <c r="J202" s="11">
        <v>14.5</v>
      </c>
    </row>
    <row r="203" spans="1:10">
      <c r="A203" s="4" t="s">
        <v>238</v>
      </c>
      <c r="B203" s="4" t="s">
        <v>134</v>
      </c>
      <c r="C203" s="4" t="s">
        <v>188</v>
      </c>
      <c r="D203" s="4" t="s">
        <v>136</v>
      </c>
      <c r="E203" s="8">
        <v>4500000</v>
      </c>
      <c r="F203" s="8">
        <v>303</v>
      </c>
      <c r="G203" s="8">
        <v>209</v>
      </c>
      <c r="H203" s="11">
        <v>-31.02310231023102</v>
      </c>
      <c r="I203" s="8">
        <v>-1396840</v>
      </c>
      <c r="J203" s="11">
        <v>56.4</v>
      </c>
    </row>
    <row r="204" spans="1:10">
      <c r="A204" s="4" t="s">
        <v>416</v>
      </c>
      <c r="B204" s="4" t="s">
        <v>166</v>
      </c>
      <c r="C204" s="4" t="s">
        <v>255</v>
      </c>
      <c r="D204" s="4" t="s">
        <v>136</v>
      </c>
      <c r="E204" s="8">
        <v>2225000</v>
      </c>
      <c r="F204" s="8">
        <v>132</v>
      </c>
      <c r="G204" s="8">
        <v>91</v>
      </c>
      <c r="H204" s="11">
        <v>-31.06060606060606</v>
      </c>
      <c r="I204" s="8">
        <v>-691875</v>
      </c>
      <c r="J204" s="11">
        <v>-4.9</v>
      </c>
    </row>
    <row r="205" spans="1:10">
      <c r="A205" s="4" t="s">
        <v>859</v>
      </c>
      <c r="B205" s="4" t="s">
        <v>166</v>
      </c>
      <c r="C205" s="4" t="s">
        <v>143</v>
      </c>
      <c r="D205" s="4" t="s">
        <v>836</v>
      </c>
      <c r="E205" s="8">
        <v>2800000</v>
      </c>
      <c r="F205" s="8">
        <v>238</v>
      </c>
      <c r="G205" s="8">
        <v>164</v>
      </c>
      <c r="H205" s="11">
        <v>-31.09243697478992</v>
      </c>
      <c r="I205" s="8">
        <v>-870314</v>
      </c>
      <c r="J205" s="11">
        <v>71.7</v>
      </c>
    </row>
    <row r="206" spans="1:10">
      <c r="A206" s="4" t="s">
        <v>263</v>
      </c>
      <c r="B206" s="4" t="s">
        <v>172</v>
      </c>
      <c r="C206" s="4" t="s">
        <v>167</v>
      </c>
      <c r="D206" s="4" t="s">
        <v>136</v>
      </c>
      <c r="E206" s="8">
        <v>3900000</v>
      </c>
      <c r="F206" s="8">
        <v>145</v>
      </c>
      <c r="G206" s="8">
        <v>99</v>
      </c>
      <c r="H206" s="11">
        <v>-31.72413793103448</v>
      </c>
      <c r="I206" s="8">
        <v>-1234456</v>
      </c>
      <c r="J206" s="11">
        <v>-40.6</v>
      </c>
    </row>
    <row r="207" spans="1:10">
      <c r="A207" s="4" t="s">
        <v>427</v>
      </c>
      <c r="B207" s="4" t="s">
        <v>166</v>
      </c>
      <c r="C207" s="4" t="s">
        <v>167</v>
      </c>
      <c r="D207" s="4" t="s">
        <v>305</v>
      </c>
      <c r="E207" s="8">
        <v>2198672</v>
      </c>
      <c r="F207" s="8">
        <v>345</v>
      </c>
      <c r="G207" s="8">
        <v>235</v>
      </c>
      <c r="H207" s="11">
        <v>-31.88405797101449</v>
      </c>
      <c r="I207" s="8">
        <v>-701580</v>
      </c>
      <c r="J207" s="11">
        <v>148.6</v>
      </c>
    </row>
    <row r="208" spans="1:10">
      <c r="A208" s="4" t="s">
        <v>203</v>
      </c>
      <c r="B208" s="4" t="s">
        <v>160</v>
      </c>
      <c r="C208" s="4" t="s">
        <v>199</v>
      </c>
      <c r="D208" s="4" t="s">
        <v>136</v>
      </c>
      <c r="E208" s="8">
        <v>5800888</v>
      </c>
      <c r="F208" s="8">
        <v>220</v>
      </c>
      <c r="G208" s="8">
        <v>149</v>
      </c>
      <c r="H208" s="11">
        <v>-32.27272727272727</v>
      </c>
      <c r="I208" s="8">
        <v>-1874329</v>
      </c>
      <c r="J208" s="11">
        <v>23.2</v>
      </c>
    </row>
    <row r="209" spans="1:10">
      <c r="A209" s="4" t="s">
        <v>271</v>
      </c>
      <c r="B209" s="4" t="s">
        <v>172</v>
      </c>
      <c r="C209" s="4" t="s">
        <v>143</v>
      </c>
      <c r="D209" s="4" t="s">
        <v>136</v>
      </c>
      <c r="E209" s="8">
        <v>3650000</v>
      </c>
      <c r="F209" s="8">
        <v>148</v>
      </c>
      <c r="G209" s="8">
        <v>100</v>
      </c>
      <c r="H209" s="11">
        <v>-32.43243243243244</v>
      </c>
      <c r="I209" s="8">
        <v>-1186800</v>
      </c>
      <c r="J209" s="11">
        <v>-39.6</v>
      </c>
    </row>
    <row r="210" spans="1:10">
      <c r="A210" s="4" t="s">
        <v>896</v>
      </c>
      <c r="B210" s="4" t="s">
        <v>166</v>
      </c>
      <c r="C210" s="4" t="s">
        <v>230</v>
      </c>
      <c r="D210" s="4" t="s">
        <v>836</v>
      </c>
      <c r="E210" s="8">
        <v>1040000</v>
      </c>
      <c r="F210" s="8">
        <v>200</v>
      </c>
      <c r="G210" s="8">
        <v>135</v>
      </c>
      <c r="H210" s="11">
        <v>-32.49999999999999</v>
      </c>
      <c r="I210" s="8">
        <v>-338000</v>
      </c>
      <c r="J210" s="11">
        <v>44.2</v>
      </c>
    </row>
    <row r="211" spans="1:10">
      <c r="A211" s="4" t="s">
        <v>154</v>
      </c>
      <c r="B211" s="4" t="s">
        <v>142</v>
      </c>
      <c r="C211" s="4" t="s">
        <v>155</v>
      </c>
      <c r="D211" s="4" t="s">
        <v>136</v>
      </c>
      <c r="E211" s="8">
        <v>8000000</v>
      </c>
      <c r="F211" s="8">
        <v>442</v>
      </c>
      <c r="G211" s="8">
        <v>293</v>
      </c>
      <c r="H211" s="11">
        <v>-33.71040723981901</v>
      </c>
      <c r="I211" s="8">
        <v>-2698390</v>
      </c>
      <c r="J211" s="11">
        <v>41.2</v>
      </c>
    </row>
    <row r="212" spans="1:10">
      <c r="A212" s="4" t="s">
        <v>198</v>
      </c>
      <c r="B212" s="4" t="s">
        <v>160</v>
      </c>
      <c r="C212" s="4" t="s">
        <v>199</v>
      </c>
      <c r="D212" s="4" t="s">
        <v>136</v>
      </c>
      <c r="E212" s="8">
        <v>5999999</v>
      </c>
      <c r="F212" s="8">
        <v>227</v>
      </c>
      <c r="G212" s="8">
        <v>149</v>
      </c>
      <c r="H212" s="11">
        <v>-34.36123348017621</v>
      </c>
      <c r="I212" s="8">
        <v>-2059122</v>
      </c>
      <c r="J212" s="11">
        <v>27.4</v>
      </c>
    </row>
    <row r="213" spans="1:10">
      <c r="A213" s="4" t="s">
        <v>141</v>
      </c>
      <c r="B213" s="4" t="s">
        <v>142</v>
      </c>
      <c r="C213" s="4" t="s">
        <v>143</v>
      </c>
      <c r="D213" s="4" t="s">
        <v>136</v>
      </c>
      <c r="E213" s="8">
        <v>9600000</v>
      </c>
      <c r="F213" s="8">
        <v>347</v>
      </c>
      <c r="G213" s="8">
        <v>226</v>
      </c>
      <c r="H213" s="11">
        <v>-34.87031700288185</v>
      </c>
      <c r="I213" s="8">
        <v>-3351216</v>
      </c>
      <c r="J213" s="11">
        <v>10.8</v>
      </c>
    </row>
    <row r="214" spans="1:10">
      <c r="A214" s="4" t="s">
        <v>249</v>
      </c>
      <c r="B214" s="4" t="s">
        <v>166</v>
      </c>
      <c r="C214" s="4" t="s">
        <v>250</v>
      </c>
      <c r="D214" s="4" t="s">
        <v>136</v>
      </c>
      <c r="E214" s="8">
        <v>4000000</v>
      </c>
      <c r="F214" s="8">
        <v>209</v>
      </c>
      <c r="G214" s="8">
        <v>131</v>
      </c>
      <c r="H214" s="11">
        <v>-37.32057416267942</v>
      </c>
      <c r="I214" s="8">
        <v>-1491750</v>
      </c>
      <c r="J214" s="11">
        <v>50.8</v>
      </c>
    </row>
    <row r="215" spans="1:10">
      <c r="A215" s="4" t="s">
        <v>207</v>
      </c>
      <c r="B215" s="4" t="s">
        <v>160</v>
      </c>
      <c r="C215" s="4" t="s">
        <v>183</v>
      </c>
      <c r="D215" s="4" t="s">
        <v>136</v>
      </c>
      <c r="E215" s="8">
        <v>5450000</v>
      </c>
      <c r="F215" s="8">
        <v>282</v>
      </c>
      <c r="G215" s="8">
        <v>176</v>
      </c>
      <c r="H215" s="11">
        <v>-37.5886524822695</v>
      </c>
      <c r="I215" s="8">
        <v>-2045588</v>
      </c>
      <c r="J215" s="11">
        <v>58.3</v>
      </c>
    </row>
    <row r="216" spans="1:10">
      <c r="A216" s="4" t="s">
        <v>394</v>
      </c>
      <c r="B216" s="4" t="s">
        <v>221</v>
      </c>
      <c r="C216" s="4" t="s">
        <v>395</v>
      </c>
      <c r="D216" s="4" t="s">
        <v>174</v>
      </c>
      <c r="E216" s="8">
        <v>2499999</v>
      </c>
      <c r="F216" s="8">
        <v>392</v>
      </c>
      <c r="G216" s="8">
        <v>243</v>
      </c>
      <c r="H216" s="11">
        <v>-38.01020408163265</v>
      </c>
      <c r="I216" s="8">
        <v>-949875</v>
      </c>
      <c r="J216" s="11">
        <v>7.3</v>
      </c>
    </row>
    <row r="217" spans="1:10">
      <c r="A217" s="4" t="s">
        <v>254</v>
      </c>
      <c r="B217" s="4" t="s">
        <v>134</v>
      </c>
      <c r="C217" s="4" t="s">
        <v>255</v>
      </c>
      <c r="D217" s="4" t="s">
        <v>136</v>
      </c>
      <c r="E217" s="8">
        <v>3995000</v>
      </c>
      <c r="F217" s="8">
        <v>177</v>
      </c>
      <c r="G217" s="8">
        <v>109</v>
      </c>
      <c r="H217" s="11">
        <v>-38.4180790960452</v>
      </c>
      <c r="I217" s="8">
        <v>-1538840</v>
      </c>
      <c r="J217" s="11">
        <v>-8.800000000000001</v>
      </c>
    </row>
    <row r="218" spans="1:10">
      <c r="A218" s="4" t="s">
        <v>182</v>
      </c>
      <c r="B218" s="4" t="s">
        <v>134</v>
      </c>
      <c r="C218" s="4" t="s">
        <v>183</v>
      </c>
      <c r="D218" s="4" t="s">
        <v>136</v>
      </c>
      <c r="E218" s="8">
        <v>6500000</v>
      </c>
      <c r="F218" s="8">
        <v>260</v>
      </c>
      <c r="G218" s="8">
        <v>159</v>
      </c>
      <c r="H218" s="11">
        <v>-38.84615384615384</v>
      </c>
      <c r="I218" s="8">
        <v>-2525000</v>
      </c>
      <c r="J218" s="11">
        <v>34.3</v>
      </c>
    </row>
    <row r="219" spans="1:10">
      <c r="A219" s="4" t="s">
        <v>385</v>
      </c>
      <c r="B219" s="4" t="s">
        <v>166</v>
      </c>
      <c r="C219" s="4" t="s">
        <v>143</v>
      </c>
      <c r="D219" s="4" t="s">
        <v>836</v>
      </c>
      <c r="E219" s="8">
        <v>2299000</v>
      </c>
      <c r="F219" s="8">
        <v>406</v>
      </c>
      <c r="G219" s="8">
        <v>244</v>
      </c>
      <c r="H219" s="11">
        <v>-39.90147783251231</v>
      </c>
      <c r="I219" s="8">
        <v>-917568</v>
      </c>
      <c r="J219" s="11">
        <v>192.7</v>
      </c>
    </row>
    <row r="220" spans="1:10">
      <c r="A220" s="4" t="s">
        <v>229</v>
      </c>
      <c r="B220" s="4" t="s">
        <v>134</v>
      </c>
      <c r="C220" s="4" t="s">
        <v>230</v>
      </c>
      <c r="D220" s="4" t="s">
        <v>136</v>
      </c>
      <c r="E220" s="8">
        <v>4500000</v>
      </c>
      <c r="F220" s="8">
        <v>99</v>
      </c>
      <c r="G220" s="8">
        <v>59</v>
      </c>
      <c r="H220" s="11">
        <v>-40.40404040404041</v>
      </c>
      <c r="I220" s="8">
        <v>-1822720</v>
      </c>
      <c r="J220" s="11">
        <v>-49</v>
      </c>
    </row>
    <row r="221" spans="1:10">
      <c r="A221" s="4" t="s">
        <v>981</v>
      </c>
      <c r="B221" s="4" t="s">
        <v>149</v>
      </c>
      <c r="C221" s="4" t="s">
        <v>612</v>
      </c>
      <c r="D221" s="4" t="s">
        <v>174</v>
      </c>
      <c r="E221" s="8">
        <v>5500000</v>
      </c>
      <c r="F221" s="8">
        <v>466</v>
      </c>
      <c r="G221" s="8">
        <v>264</v>
      </c>
      <c r="H221" s="11">
        <v>-43.34763948497854</v>
      </c>
      <c r="I221" s="8">
        <v>-2383600</v>
      </c>
      <c r="J221" s="11">
        <v>200.6</v>
      </c>
    </row>
    <row r="222" spans="1:10">
      <c r="A222" s="4" t="s">
        <v>982</v>
      </c>
      <c r="B222" s="4" t="s">
        <v>160</v>
      </c>
      <c r="C222" s="4" t="s">
        <v>395</v>
      </c>
      <c r="D222" s="4" t="s">
        <v>136</v>
      </c>
      <c r="E222" s="8">
        <v>4500000</v>
      </c>
      <c r="F222" s="8">
        <v>444</v>
      </c>
      <c r="G222" s="8">
        <v>249</v>
      </c>
      <c r="H222" s="11">
        <v>-43.91891891891891</v>
      </c>
      <c r="I222" s="8">
        <v>-1974570</v>
      </c>
      <c r="J222" s="11">
        <v>149.1</v>
      </c>
    </row>
    <row r="223" spans="1:10">
      <c r="A223" s="4" t="s">
        <v>225</v>
      </c>
      <c r="B223" s="4" t="s">
        <v>134</v>
      </c>
      <c r="C223" s="4" t="s">
        <v>135</v>
      </c>
      <c r="D223" s="4" t="s">
        <v>136</v>
      </c>
      <c r="E223" s="8">
        <v>4600000</v>
      </c>
      <c r="F223" s="8">
        <v>362</v>
      </c>
      <c r="G223" s="8">
        <v>202</v>
      </c>
      <c r="H223" s="11">
        <v>-44.19889502762431</v>
      </c>
      <c r="I223" s="8">
        <v>-2034400</v>
      </c>
      <c r="J223" s="11">
        <v>86.90000000000001</v>
      </c>
    </row>
    <row r="224" spans="1:10">
      <c r="A224" s="4" t="s">
        <v>983</v>
      </c>
      <c r="B224" s="4" t="s">
        <v>160</v>
      </c>
      <c r="C224" s="4" t="s">
        <v>183</v>
      </c>
      <c r="D224" s="4" t="s">
        <v>136</v>
      </c>
      <c r="E224" s="8">
        <v>4490000</v>
      </c>
      <c r="F224" s="8">
        <v>449</v>
      </c>
      <c r="G224" s="8">
        <v>250</v>
      </c>
      <c r="H224" s="11">
        <v>-44.32071269487751</v>
      </c>
      <c r="I224" s="8">
        <v>-1990000</v>
      </c>
      <c r="J224" s="11">
        <v>151.6</v>
      </c>
    </row>
    <row r="225" spans="1:10">
      <c r="A225" s="4" t="s">
        <v>215</v>
      </c>
      <c r="B225" s="4" t="s">
        <v>134</v>
      </c>
      <c r="C225" s="4" t="s">
        <v>216</v>
      </c>
      <c r="D225" s="4" t="s">
        <v>836</v>
      </c>
      <c r="E225" s="8">
        <v>5000000</v>
      </c>
      <c r="F225" s="8">
        <v>784</v>
      </c>
      <c r="G225" s="8">
        <v>432</v>
      </c>
      <c r="H225" s="11">
        <v>-44.89795918367348</v>
      </c>
      <c r="I225" s="8">
        <v>-2244000</v>
      </c>
      <c r="J225" s="11">
        <v>305.1</v>
      </c>
    </row>
    <row r="226" spans="1:10">
      <c r="A226" s="4" t="s">
        <v>688</v>
      </c>
      <c r="B226" s="4" t="s">
        <v>193</v>
      </c>
      <c r="C226" s="4" t="s">
        <v>135</v>
      </c>
      <c r="D226" s="4" t="s">
        <v>836</v>
      </c>
      <c r="E226" s="8">
        <v>990000</v>
      </c>
      <c r="F226" s="8">
        <v>412</v>
      </c>
      <c r="G226" s="8">
        <v>227</v>
      </c>
      <c r="H226" s="11">
        <v>-44.90291262135923</v>
      </c>
      <c r="I226" s="8">
        <v>-444000</v>
      </c>
      <c r="J226" s="11">
        <v>107.6</v>
      </c>
    </row>
    <row r="227" spans="1:10">
      <c r="A227" s="4" t="s">
        <v>688</v>
      </c>
      <c r="B227" s="4" t="s">
        <v>193</v>
      </c>
      <c r="C227" s="4" t="s">
        <v>135</v>
      </c>
      <c r="D227" s="4" t="s">
        <v>174</v>
      </c>
      <c r="E227" s="8">
        <v>1000000</v>
      </c>
      <c r="F227" s="8">
        <v>417</v>
      </c>
      <c r="G227" s="8">
        <v>227</v>
      </c>
      <c r="H227" s="11">
        <v>-45.56354916067147</v>
      </c>
      <c r="I227" s="8">
        <v>-456000</v>
      </c>
      <c r="J227" s="11">
        <v>109.7</v>
      </c>
    </row>
    <row r="228" spans="1:10">
      <c r="A228" s="4" t="s">
        <v>133</v>
      </c>
      <c r="B228" s="4" t="s">
        <v>134</v>
      </c>
      <c r="C228" s="4" t="s">
        <v>135</v>
      </c>
      <c r="D228" s="4" t="s">
        <v>136</v>
      </c>
      <c r="E228" s="8">
        <v>11900000</v>
      </c>
      <c r="F228" s="8">
        <v>132</v>
      </c>
      <c r="G228" s="8">
        <v>71</v>
      </c>
      <c r="H228" s="11">
        <v>-46.21212121212122</v>
      </c>
      <c r="I228" s="8">
        <v>-5501773</v>
      </c>
      <c r="J228" s="11">
        <v>-31.8</v>
      </c>
    </row>
    <row r="229" spans="1:10">
      <c r="A229" s="4" t="s">
        <v>688</v>
      </c>
      <c r="B229" s="4" t="s">
        <v>193</v>
      </c>
      <c r="C229" s="4" t="s">
        <v>135</v>
      </c>
      <c r="D229" s="4" t="s">
        <v>174</v>
      </c>
      <c r="E229" s="8">
        <v>1020000</v>
      </c>
      <c r="F229" s="8">
        <v>425</v>
      </c>
      <c r="G229" s="8">
        <v>227</v>
      </c>
      <c r="H229" s="11">
        <v>-46.58823529411765</v>
      </c>
      <c r="I229" s="8">
        <v>-475200</v>
      </c>
      <c r="J229" s="11">
        <v>113.9</v>
      </c>
    </row>
    <row r="230" spans="1:10">
      <c r="A230" s="4" t="s">
        <v>984</v>
      </c>
      <c r="B230" s="4" t="s">
        <v>160</v>
      </c>
      <c r="C230" s="4" t="s">
        <v>230</v>
      </c>
      <c r="D230" s="4" t="s">
        <v>136</v>
      </c>
      <c r="E230" s="8">
        <v>1575000</v>
      </c>
      <c r="F230" s="8">
        <v>414</v>
      </c>
      <c r="G230" s="8">
        <v>216</v>
      </c>
      <c r="H230" s="11">
        <v>-47.82608695652174</v>
      </c>
      <c r="I230" s="8">
        <v>-752598</v>
      </c>
      <c r="J230" s="11">
        <v>132.2</v>
      </c>
    </row>
    <row r="231" spans="1:10">
      <c r="A231" s="4" t="s">
        <v>985</v>
      </c>
      <c r="B231" s="4" t="s">
        <v>160</v>
      </c>
      <c r="C231" s="4" t="s">
        <v>183</v>
      </c>
      <c r="D231" s="4" t="s">
        <v>136</v>
      </c>
      <c r="E231" s="8">
        <v>4795000</v>
      </c>
      <c r="F231" s="8">
        <v>480</v>
      </c>
      <c r="G231" s="8">
        <v>250</v>
      </c>
      <c r="H231" s="11">
        <v>-47.91666666666666</v>
      </c>
      <c r="I231" s="8">
        <v>-2300000</v>
      </c>
      <c r="J231" s="11">
        <v>168.7</v>
      </c>
    </row>
    <row r="232" spans="1:10">
      <c r="A232" s="4" t="s">
        <v>986</v>
      </c>
      <c r="B232" s="4" t="s">
        <v>134</v>
      </c>
      <c r="C232" s="4" t="s">
        <v>216</v>
      </c>
      <c r="D232" s="4" t="s">
        <v>136</v>
      </c>
      <c r="E232" s="8">
        <v>6000000</v>
      </c>
      <c r="F232" s="8">
        <v>738</v>
      </c>
      <c r="G232" s="8">
        <v>380</v>
      </c>
      <c r="H232" s="11">
        <v>-48.50948509485094</v>
      </c>
      <c r="I232" s="8">
        <v>-2909108</v>
      </c>
      <c r="J232" s="11">
        <v>281.4</v>
      </c>
    </row>
    <row r="233" spans="1:10">
      <c r="A233" s="4" t="s">
        <v>986</v>
      </c>
      <c r="B233" s="4" t="s">
        <v>134</v>
      </c>
      <c r="C233" s="4" t="s">
        <v>216</v>
      </c>
      <c r="D233" s="4" t="s">
        <v>836</v>
      </c>
      <c r="E233" s="8">
        <v>6000000</v>
      </c>
      <c r="F233" s="8">
        <v>738</v>
      </c>
      <c r="G233" s="8">
        <v>379</v>
      </c>
      <c r="H233" s="11">
        <v>-48.6449864498645</v>
      </c>
      <c r="I233" s="8">
        <v>-2917234</v>
      </c>
      <c r="J233" s="11">
        <v>281.4</v>
      </c>
    </row>
    <row r="234" spans="1:10">
      <c r="A234" s="4" t="s">
        <v>624</v>
      </c>
      <c r="B234" s="4" t="s">
        <v>193</v>
      </c>
      <c r="C234" s="4" t="s">
        <v>135</v>
      </c>
      <c r="D234" s="4" t="s">
        <v>174</v>
      </c>
      <c r="E234" s="8">
        <v>1250000</v>
      </c>
      <c r="F234" s="8">
        <v>379</v>
      </c>
      <c r="G234" s="8">
        <v>192</v>
      </c>
      <c r="H234" s="11">
        <v>-49.34036939313984</v>
      </c>
      <c r="I234" s="8">
        <v>-617100</v>
      </c>
      <c r="J234" s="11">
        <v>90.59999999999999</v>
      </c>
    </row>
    <row r="235" spans="1:10">
      <c r="A235" s="4" t="s">
        <v>874</v>
      </c>
      <c r="B235" s="4" t="s">
        <v>193</v>
      </c>
      <c r="C235" s="4" t="s">
        <v>135</v>
      </c>
      <c r="D235" s="4" t="s">
        <v>836</v>
      </c>
      <c r="E235" s="8">
        <v>2100000</v>
      </c>
      <c r="F235" s="8">
        <v>226</v>
      </c>
      <c r="G235" s="8">
        <v>110</v>
      </c>
      <c r="H235" s="11">
        <v>-51.32743362831859</v>
      </c>
      <c r="I235" s="8">
        <v>-1077524</v>
      </c>
      <c r="J235" s="11">
        <v>13.8</v>
      </c>
    </row>
    <row r="236" spans="1:10">
      <c r="A236" s="4" t="s">
        <v>159</v>
      </c>
      <c r="B236" s="4" t="s">
        <v>160</v>
      </c>
      <c r="C236" s="4" t="s">
        <v>161</v>
      </c>
      <c r="D236" s="4" t="s">
        <v>136</v>
      </c>
      <c r="E236" s="8">
        <v>7950000</v>
      </c>
      <c r="F236" s="8">
        <v>204</v>
      </c>
      <c r="G236" s="8">
        <v>97</v>
      </c>
      <c r="H236" s="11">
        <v>-52.45098039215686</v>
      </c>
      <c r="I236" s="8">
        <v>-4173000</v>
      </c>
      <c r="J236" s="11">
        <v>14.2</v>
      </c>
    </row>
    <row r="237" spans="1:10">
      <c r="A237" s="4" t="s">
        <v>987</v>
      </c>
      <c r="B237" s="4" t="s">
        <v>134</v>
      </c>
      <c r="C237" s="4" t="s">
        <v>988</v>
      </c>
      <c r="D237" s="4" t="s">
        <v>136</v>
      </c>
      <c r="E237" s="8">
        <v>2500000</v>
      </c>
      <c r="F237" s="8">
        <v>1352</v>
      </c>
      <c r="G237" s="8">
        <v>633</v>
      </c>
      <c r="H237" s="11">
        <v>-53.18047337278107</v>
      </c>
      <c r="I237" s="8">
        <v>-1329431</v>
      </c>
      <c r="J237" s="11">
        <v>598.4</v>
      </c>
    </row>
    <row r="238" spans="1:10">
      <c r="A238" s="4" t="s">
        <v>373</v>
      </c>
      <c r="B238" s="4" t="s">
        <v>172</v>
      </c>
      <c r="C238" s="4" t="s">
        <v>161</v>
      </c>
      <c r="D238" s="4" t="s">
        <v>136</v>
      </c>
      <c r="E238" s="8">
        <v>2650000</v>
      </c>
      <c r="F238" s="8">
        <v>337</v>
      </c>
      <c r="G238" s="8">
        <v>152</v>
      </c>
      <c r="H238" s="11">
        <v>-54.89614243323442</v>
      </c>
      <c r="I238" s="8">
        <v>-1456875</v>
      </c>
      <c r="J238" s="11">
        <v>37.6</v>
      </c>
    </row>
    <row r="239" spans="1:10">
      <c r="A239" s="4" t="s">
        <v>289</v>
      </c>
      <c r="B239" s="4" t="s">
        <v>193</v>
      </c>
      <c r="C239" s="4" t="s">
        <v>290</v>
      </c>
      <c r="D239" s="4" t="s">
        <v>136</v>
      </c>
      <c r="E239" s="8">
        <v>3500000</v>
      </c>
      <c r="F239" s="8">
        <v>197</v>
      </c>
      <c r="G239" s="8">
        <v>88</v>
      </c>
      <c r="H239" s="11">
        <v>-55.32994923857868</v>
      </c>
      <c r="I239" s="8">
        <v>-1933660</v>
      </c>
      <c r="J239" s="11">
        <v>-0.7</v>
      </c>
    </row>
    <row r="240" spans="1:10">
      <c r="A240" s="4" t="s">
        <v>171</v>
      </c>
      <c r="B240" s="4" t="s">
        <v>172</v>
      </c>
      <c r="C240" s="4" t="s">
        <v>178</v>
      </c>
      <c r="D240" s="4" t="s">
        <v>174</v>
      </c>
      <c r="E240" s="8">
        <v>7000000</v>
      </c>
      <c r="F240" s="8">
        <v>415</v>
      </c>
      <c r="G240" s="8">
        <v>177</v>
      </c>
      <c r="H240" s="11">
        <v>-57.34939759036144</v>
      </c>
      <c r="I240" s="8">
        <v>-4016250</v>
      </c>
      <c r="J240" s="11">
        <v>69.59999999999999</v>
      </c>
    </row>
    <row r="241" spans="1:10">
      <c r="A241" s="4" t="s">
        <v>451</v>
      </c>
      <c r="B241" s="4" t="s">
        <v>193</v>
      </c>
      <c r="C241" s="4" t="s">
        <v>135</v>
      </c>
      <c r="D241" s="4" t="s">
        <v>136</v>
      </c>
      <c r="E241" s="8">
        <v>1700000</v>
      </c>
      <c r="F241" s="8">
        <v>392</v>
      </c>
      <c r="G241" s="8">
        <v>166</v>
      </c>
      <c r="H241" s="11">
        <v>-57.65306122448979</v>
      </c>
      <c r="I241" s="8">
        <v>-980840</v>
      </c>
      <c r="J241" s="11">
        <v>97.09999999999999</v>
      </c>
    </row>
    <row r="242" spans="1:10">
      <c r="A242" s="4" t="s">
        <v>451</v>
      </c>
      <c r="B242" s="4" t="s">
        <v>193</v>
      </c>
      <c r="C242" s="4" t="s">
        <v>135</v>
      </c>
      <c r="D242" s="4" t="s">
        <v>174</v>
      </c>
      <c r="E242" s="8">
        <v>1740000</v>
      </c>
      <c r="F242" s="8">
        <v>383</v>
      </c>
      <c r="G242" s="8">
        <v>162</v>
      </c>
      <c r="H242" s="11">
        <v>-57.70234986945169</v>
      </c>
      <c r="I242" s="8">
        <v>-1003340</v>
      </c>
      <c r="J242" s="11">
        <v>92.90000000000001</v>
      </c>
    </row>
    <row r="243" spans="1:10">
      <c r="A243" s="4" t="s">
        <v>989</v>
      </c>
      <c r="B243" s="4" t="s">
        <v>423</v>
      </c>
      <c r="C243" s="4" t="s">
        <v>250</v>
      </c>
      <c r="D243" s="4" t="s">
        <v>136</v>
      </c>
      <c r="E243" s="8">
        <v>5000000</v>
      </c>
      <c r="F243" s="8">
        <v>875</v>
      </c>
      <c r="G243" s="8">
        <v>347</v>
      </c>
      <c r="H243" s="11">
        <v>-60.34285714285714</v>
      </c>
      <c r="I243" s="8">
        <v>-3017520</v>
      </c>
      <c r="J243" s="11">
        <v>316</v>
      </c>
    </row>
    <row r="244" spans="1:10">
      <c r="A244" s="4" t="s">
        <v>165</v>
      </c>
      <c r="B244" s="4" t="s">
        <v>166</v>
      </c>
      <c r="C244" s="4" t="s">
        <v>167</v>
      </c>
      <c r="D244" s="4" t="s">
        <v>136</v>
      </c>
      <c r="E244" s="8">
        <v>7600000</v>
      </c>
      <c r="F244" s="8">
        <v>286</v>
      </c>
      <c r="G244" s="8">
        <v>110</v>
      </c>
      <c r="H244" s="11">
        <v>-61.53846153846154</v>
      </c>
      <c r="I244" s="8">
        <v>-4677376</v>
      </c>
      <c r="J244" s="11">
        <v>106.2</v>
      </c>
    </row>
    <row r="245" spans="1:10">
      <c r="A245" s="4" t="s">
        <v>990</v>
      </c>
      <c r="B245" s="4" t="s">
        <v>134</v>
      </c>
      <c r="C245" s="4" t="s">
        <v>250</v>
      </c>
      <c r="D245" s="4" t="s">
        <v>831</v>
      </c>
      <c r="E245" s="8">
        <v>2400000</v>
      </c>
      <c r="F245" s="8">
        <v>2166</v>
      </c>
      <c r="G245" s="8">
        <v>831</v>
      </c>
      <c r="H245" s="11">
        <v>-61.63434903047091</v>
      </c>
      <c r="I245" s="8">
        <v>-1479180</v>
      </c>
      <c r="J245" s="11">
        <v>1018.8</v>
      </c>
    </row>
    <row r="246" spans="1:10">
      <c r="A246" s="4" t="s">
        <v>337</v>
      </c>
      <c r="B246" s="4" t="s">
        <v>193</v>
      </c>
      <c r="C246" s="4" t="s">
        <v>347</v>
      </c>
      <c r="D246" s="4" t="s">
        <v>305</v>
      </c>
      <c r="E246" s="8">
        <v>2800000</v>
      </c>
      <c r="F246" s="8">
        <v>373</v>
      </c>
      <c r="G246" s="8">
        <v>139</v>
      </c>
      <c r="H246" s="11">
        <v>-62.73458445040214</v>
      </c>
      <c r="I246" s="8">
        <v>-1756170</v>
      </c>
      <c r="J246" s="11">
        <v>87.8</v>
      </c>
    </row>
    <row r="247" spans="1:10">
      <c r="A247" s="4" t="s">
        <v>337</v>
      </c>
      <c r="B247" s="4" t="s">
        <v>193</v>
      </c>
      <c r="C247" s="4" t="s">
        <v>188</v>
      </c>
      <c r="D247" s="4" t="s">
        <v>136</v>
      </c>
      <c r="E247" s="8">
        <v>2850000</v>
      </c>
      <c r="F247" s="8">
        <v>380</v>
      </c>
      <c r="G247" s="8">
        <v>140</v>
      </c>
      <c r="H247" s="11">
        <v>-63.1578947368421</v>
      </c>
      <c r="I247" s="8">
        <v>-1801200</v>
      </c>
      <c r="J247" s="11">
        <v>91.09999999999999</v>
      </c>
    </row>
    <row r="248" spans="1:10">
      <c r="A248" s="4" t="s">
        <v>451</v>
      </c>
      <c r="B248" s="4" t="s">
        <v>193</v>
      </c>
      <c r="C248" s="4" t="s">
        <v>135</v>
      </c>
      <c r="D248" s="4" t="s">
        <v>136</v>
      </c>
      <c r="E248" s="8">
        <v>2043000</v>
      </c>
      <c r="F248" s="8">
        <v>450</v>
      </c>
      <c r="G248" s="8">
        <v>162</v>
      </c>
      <c r="H248" s="11">
        <v>-64</v>
      </c>
      <c r="I248" s="8">
        <v>-1307520</v>
      </c>
      <c r="J248" s="11">
        <v>126.5</v>
      </c>
    </row>
    <row r="249" spans="1:10">
      <c r="A249" s="4" t="s">
        <v>991</v>
      </c>
      <c r="B249" s="4" t="s">
        <v>142</v>
      </c>
      <c r="C249" s="4" t="s">
        <v>988</v>
      </c>
      <c r="D249" s="4" t="s">
        <v>174</v>
      </c>
      <c r="E249" s="8">
        <v>12400000</v>
      </c>
      <c r="F249" s="8">
        <v>992</v>
      </c>
      <c r="G249" s="8">
        <v>356</v>
      </c>
      <c r="H249" s="11">
        <v>-64.11290322580645</v>
      </c>
      <c r="I249" s="8">
        <v>-7950000</v>
      </c>
      <c r="J249" s="11">
        <v>217</v>
      </c>
    </row>
    <row r="250" spans="1:10">
      <c r="A250" s="4" t="s">
        <v>192</v>
      </c>
      <c r="B250" s="4" t="s">
        <v>193</v>
      </c>
      <c r="C250" s="4" t="s">
        <v>194</v>
      </c>
      <c r="D250" s="4" t="s">
        <v>136</v>
      </c>
      <c r="E250" s="8">
        <v>5999999</v>
      </c>
      <c r="F250" s="8">
        <v>179</v>
      </c>
      <c r="G250" s="8">
        <v>63</v>
      </c>
      <c r="H250" s="11">
        <v>-64.80446927374301</v>
      </c>
      <c r="I250" s="8">
        <v>-3883912</v>
      </c>
      <c r="J250" s="11">
        <v>-9.800000000000001</v>
      </c>
    </row>
    <row r="251" spans="1:10">
      <c r="A251" s="4" t="s">
        <v>987</v>
      </c>
      <c r="B251" s="4" t="s">
        <v>172</v>
      </c>
      <c r="C251" s="4" t="s">
        <v>352</v>
      </c>
      <c r="D251" s="4" t="s">
        <v>174</v>
      </c>
      <c r="E251" s="8">
        <v>2200000</v>
      </c>
      <c r="F251" s="8">
        <v>1190</v>
      </c>
      <c r="G251" s="8">
        <v>411</v>
      </c>
      <c r="H251" s="11">
        <v>-65.46218487394958</v>
      </c>
      <c r="I251" s="8">
        <v>-1440371</v>
      </c>
      <c r="J251" s="11">
        <v>386.6</v>
      </c>
    </row>
    <row r="252" spans="1:10">
      <c r="A252" s="4" t="s">
        <v>992</v>
      </c>
      <c r="B252" s="4" t="s">
        <v>160</v>
      </c>
      <c r="C252" s="4" t="s">
        <v>988</v>
      </c>
      <c r="D252" s="4" t="s">
        <v>174</v>
      </c>
      <c r="E252" s="8">
        <v>10795000</v>
      </c>
      <c r="F252" s="8">
        <v>506</v>
      </c>
      <c r="G252" s="8">
        <v>168</v>
      </c>
      <c r="H252" s="11">
        <v>-66.798418972332</v>
      </c>
      <c r="I252" s="8">
        <v>-7204470</v>
      </c>
      <c r="J252" s="11">
        <v>183.8</v>
      </c>
    </row>
    <row r="253" spans="1:10">
      <c r="A253" s="4" t="s">
        <v>165</v>
      </c>
      <c r="B253" s="4" t="s">
        <v>166</v>
      </c>
      <c r="C253" s="4" t="s">
        <v>167</v>
      </c>
      <c r="D253" s="4" t="s">
        <v>136</v>
      </c>
      <c r="E253" s="8">
        <v>8900000</v>
      </c>
      <c r="F253" s="8">
        <v>335</v>
      </c>
      <c r="G253" s="8">
        <v>110</v>
      </c>
      <c r="H253" s="11">
        <v>-67.16417910447761</v>
      </c>
      <c r="I253" s="8">
        <v>-5979600</v>
      </c>
      <c r="J253" s="11">
        <v>141.5</v>
      </c>
    </row>
    <row r="254" spans="1:10">
      <c r="A254" s="4" t="s">
        <v>220</v>
      </c>
      <c r="B254" s="4" t="s">
        <v>221</v>
      </c>
      <c r="C254" s="4" t="s">
        <v>135</v>
      </c>
      <c r="D254" s="4" t="s">
        <v>136</v>
      </c>
      <c r="E254" s="8">
        <v>5000000</v>
      </c>
      <c r="F254" s="8">
        <v>577</v>
      </c>
      <c r="G254" s="8">
        <v>184</v>
      </c>
      <c r="H254" s="11">
        <v>-68.11091854419411</v>
      </c>
      <c r="I254" s="8">
        <v>-3404952</v>
      </c>
      <c r="J254" s="11">
        <v>57.9</v>
      </c>
    </row>
    <row r="255" spans="1:10">
      <c r="A255" s="4" t="s">
        <v>993</v>
      </c>
      <c r="B255" s="4" t="s">
        <v>142</v>
      </c>
      <c r="C255" s="4" t="s">
        <v>988</v>
      </c>
      <c r="D255" s="4" t="s">
        <v>174</v>
      </c>
      <c r="E255" s="8">
        <v>14999000</v>
      </c>
      <c r="F255" s="8">
        <v>1112</v>
      </c>
      <c r="G255" s="8">
        <v>342</v>
      </c>
      <c r="H255" s="11">
        <v>-69.24460431654677</v>
      </c>
      <c r="I255" s="8">
        <v>-10381910</v>
      </c>
      <c r="J255" s="11">
        <v>255.5</v>
      </c>
    </row>
    <row r="256" spans="1:10">
      <c r="A256" s="4" t="s">
        <v>994</v>
      </c>
      <c r="B256" s="4" t="s">
        <v>142</v>
      </c>
      <c r="C256" s="4" t="s">
        <v>988</v>
      </c>
      <c r="D256" s="4" t="s">
        <v>136</v>
      </c>
      <c r="E256" s="8">
        <v>14750000</v>
      </c>
      <c r="F256" s="8">
        <v>1137</v>
      </c>
      <c r="G256" s="8">
        <v>349</v>
      </c>
      <c r="H256" s="11">
        <v>-69.30518909410731</v>
      </c>
      <c r="I256" s="8">
        <v>-10225088</v>
      </c>
      <c r="J256" s="11">
        <v>263.2</v>
      </c>
    </row>
    <row r="257" spans="1:10">
      <c r="A257" s="4" t="s">
        <v>171</v>
      </c>
      <c r="B257" s="4" t="s">
        <v>172</v>
      </c>
      <c r="C257" s="4" t="s">
        <v>173</v>
      </c>
      <c r="D257" s="4" t="s">
        <v>174</v>
      </c>
      <c r="E257" s="8">
        <v>7000000</v>
      </c>
      <c r="F257" s="8">
        <v>415</v>
      </c>
      <c r="G257" s="8">
        <v>127</v>
      </c>
      <c r="H257" s="11">
        <v>-69.39759036144578</v>
      </c>
      <c r="I257" s="8">
        <v>-4860000</v>
      </c>
      <c r="J257" s="11">
        <v>69.59999999999999</v>
      </c>
    </row>
    <row r="258" spans="1:10">
      <c r="A258" s="4" t="s">
        <v>995</v>
      </c>
      <c r="B258" s="4" t="s">
        <v>134</v>
      </c>
      <c r="C258" s="4" t="s">
        <v>766</v>
      </c>
      <c r="D258" s="4" t="s">
        <v>136</v>
      </c>
      <c r="E258" s="8">
        <v>13900000</v>
      </c>
      <c r="F258" s="8">
        <v>562</v>
      </c>
      <c r="G258" s="8">
        <v>159</v>
      </c>
      <c r="H258" s="11">
        <v>-71.70818505338079</v>
      </c>
      <c r="I258" s="8">
        <v>-9960145</v>
      </c>
      <c r="J258" s="11">
        <v>190.5</v>
      </c>
    </row>
    <row r="259" spans="1:10">
      <c r="A259" s="4" t="s">
        <v>996</v>
      </c>
      <c r="B259" s="4" t="s">
        <v>142</v>
      </c>
      <c r="C259" s="4" t="s">
        <v>155</v>
      </c>
      <c r="D259" s="4" t="s">
        <v>136</v>
      </c>
      <c r="E259" s="8">
        <v>12000000</v>
      </c>
      <c r="F259" s="8">
        <v>1920</v>
      </c>
      <c r="G259" s="8">
        <v>515</v>
      </c>
      <c r="H259" s="11">
        <v>-73.17708333333333</v>
      </c>
      <c r="I259" s="8">
        <v>-8781250</v>
      </c>
      <c r="J259" s="11">
        <v>513.5</v>
      </c>
    </row>
    <row r="260" spans="1:10">
      <c r="A260" s="4" t="s">
        <v>997</v>
      </c>
      <c r="B260" s="4" t="s">
        <v>166</v>
      </c>
      <c r="C260" s="4" t="s">
        <v>167</v>
      </c>
      <c r="D260" s="4" t="s">
        <v>136</v>
      </c>
      <c r="E260" s="8">
        <v>11250000</v>
      </c>
      <c r="F260" s="8">
        <v>653</v>
      </c>
      <c r="G260" s="8">
        <v>139</v>
      </c>
      <c r="H260" s="11">
        <v>-78.7136294027565</v>
      </c>
      <c r="I260" s="8">
        <v>-8851080</v>
      </c>
      <c r="J260" s="11">
        <v>371.1</v>
      </c>
    </row>
    <row r="261" spans="1:10">
      <c r="A261" s="4" t="s">
        <v>998</v>
      </c>
      <c r="B261" s="4" t="s">
        <v>160</v>
      </c>
      <c r="C261" s="4" t="s">
        <v>230</v>
      </c>
      <c r="D261" s="4" t="s">
        <v>136</v>
      </c>
      <c r="E261" s="8">
        <v>6895000</v>
      </c>
      <c r="F261" s="8">
        <v>690</v>
      </c>
      <c r="G261" s="8">
        <v>129</v>
      </c>
      <c r="H261" s="11">
        <v>-81.30434782608695</v>
      </c>
      <c r="I261" s="8">
        <v>-5610000</v>
      </c>
      <c r="J261" s="11">
        <v>286.4</v>
      </c>
    </row>
    <row r="262" spans="1:10">
      <c r="A262" s="4" t="s">
        <v>999</v>
      </c>
      <c r="B262" s="4" t="s">
        <v>134</v>
      </c>
      <c r="C262" s="4" t="s">
        <v>988</v>
      </c>
      <c r="D262" s="4" t="s">
        <v>136</v>
      </c>
      <c r="E262" s="8">
        <v>23000000</v>
      </c>
      <c r="F262" s="8">
        <v>812</v>
      </c>
      <c r="G262" s="8">
        <v>148</v>
      </c>
      <c r="H262" s="11">
        <v>-81.77339901477832</v>
      </c>
      <c r="I262" s="8">
        <v>-18805144</v>
      </c>
      <c r="J262" s="11">
        <v>319.5</v>
      </c>
    </row>
    <row r="263" spans="1:10">
      <c r="A263" s="4" t="s">
        <v>1000</v>
      </c>
      <c r="B263" s="4" t="s">
        <v>160</v>
      </c>
      <c r="C263" s="4" t="s">
        <v>255</v>
      </c>
      <c r="D263" s="4" t="s">
        <v>136</v>
      </c>
      <c r="E263" s="8">
        <v>5200000</v>
      </c>
      <c r="F263" s="8">
        <v>1932</v>
      </c>
      <c r="G263" s="8">
        <v>329</v>
      </c>
      <c r="H263" s="11">
        <v>-82.97101449275362</v>
      </c>
      <c r="I263" s="8">
        <v>-4313673</v>
      </c>
      <c r="J263" s="11">
        <v>983</v>
      </c>
    </row>
    <row r="264" spans="1:10">
      <c r="A264" s="4" t="s">
        <v>1001</v>
      </c>
      <c r="B264" s="4" t="s">
        <v>172</v>
      </c>
      <c r="C264" s="4" t="s">
        <v>230</v>
      </c>
      <c r="D264" s="4" t="s">
        <v>174</v>
      </c>
      <c r="E264" s="8">
        <v>7995000</v>
      </c>
      <c r="F264" s="8">
        <v>643</v>
      </c>
      <c r="G264" s="8">
        <v>77</v>
      </c>
      <c r="H264" s="11">
        <v>-88.02488335925351</v>
      </c>
      <c r="I264" s="8">
        <v>-7037078</v>
      </c>
      <c r="J264" s="11">
        <v>163</v>
      </c>
    </row>
    <row r="265" spans="1:10">
      <c r="A265" s="4" t="s">
        <v>1002</v>
      </c>
      <c r="B265" s="4" t="s">
        <v>193</v>
      </c>
      <c r="C265" s="4" t="s">
        <v>460</v>
      </c>
      <c r="D265" s="4" t="s">
        <v>174</v>
      </c>
      <c r="E265" s="8">
        <v>12500000</v>
      </c>
      <c r="F265" s="8">
        <v>805</v>
      </c>
      <c r="G265" s="8">
        <v>95</v>
      </c>
      <c r="H265" s="11">
        <v>-88.19875776397515</v>
      </c>
      <c r="I265" s="8">
        <v>-11029850</v>
      </c>
      <c r="J265" s="11">
        <v>305</v>
      </c>
    </row>
    <row r="266" spans="1:10">
      <c r="A266" s="4" t="s">
        <v>1003</v>
      </c>
      <c r="B266" s="4" t="s">
        <v>193</v>
      </c>
      <c r="C266" s="4" t="s">
        <v>188</v>
      </c>
      <c r="D266" s="4" t="s">
        <v>174</v>
      </c>
      <c r="E266" s="8">
        <v>21000000</v>
      </c>
      <c r="F266" s="8">
        <v>557</v>
      </c>
      <c r="G266" s="8">
        <v>59</v>
      </c>
      <c r="H266" s="11">
        <v>-89.40754039497307</v>
      </c>
      <c r="I266" s="8">
        <v>-18767130</v>
      </c>
      <c r="J266" s="11">
        <v>180.5</v>
      </c>
    </row>
  </sheetData>
  <autoFilter ref="A4:J266"/>
  <mergeCells count="1">
    <mergeCell ref="A2:J2"/>
  </mergeCells>
  <conditionalFormatting sqref="H5:H266">
    <cfRule type="cellIs" dxfId="0" priority="1" operator="greaterThan">
      <formula>0</formula>
    </cfRule>
    <cfRule type="cellIs" dxfId="1" priority="2" operator="lessThan">
      <formula>0</formula>
    </cfRule>
  </conditionalFormatting>
  <conditionalFormatting sqref="I5:I266">
    <cfRule type="cellIs" dxfId="0" priority="3" operator="greaterThan">
      <formula>0</formula>
    </cfRule>
    <cfRule type="cellIs" dxfId="1" priority="4" operator="lessThan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H108"/>
  <sheetViews>
    <sheetView workbookViewId="0"/>
  </sheetViews>
  <sheetFormatPr defaultRowHeight="15"/>
  <cols>
    <col min="1" max="1" width="22.7109375" customWidth="1"/>
    <col min="2" max="9" width="12.7109375" customWidth="1"/>
  </cols>
  <sheetData>
    <row r="1" spans="1:8">
      <c r="A1" s="1" t="s">
        <v>1004</v>
      </c>
    </row>
    <row r="2" spans="1:8" ht="30" customHeight="1">
      <c r="A2" s="2" t="s">
        <v>1005</v>
      </c>
      <c r="B2" s="2"/>
      <c r="C2" s="2"/>
      <c r="D2" s="2"/>
      <c r="E2" s="2"/>
      <c r="F2" s="2"/>
      <c r="G2" s="2"/>
      <c r="H2" s="2"/>
    </row>
    <row r="4" spans="1:8">
      <c r="A4" s="1" t="s">
        <v>1006</v>
      </c>
    </row>
    <row r="5" spans="1:8">
      <c r="A5" s="6" t="s">
        <v>1007</v>
      </c>
      <c r="B5" s="6" t="s">
        <v>1008</v>
      </c>
      <c r="C5" s="6" t="s">
        <v>1009</v>
      </c>
      <c r="D5" s="6" t="s">
        <v>1010</v>
      </c>
    </row>
    <row r="6" spans="1:8">
      <c r="A6" s="13" t="s">
        <v>134</v>
      </c>
      <c r="B6" s="7">
        <v>96</v>
      </c>
      <c r="C6" s="14">
        <v>29</v>
      </c>
      <c r="D6" s="8">
        <v>194</v>
      </c>
    </row>
    <row r="7" spans="1:8">
      <c r="A7" s="13" t="s">
        <v>160</v>
      </c>
      <c r="B7" s="7">
        <v>90</v>
      </c>
      <c r="C7" s="14">
        <v>27.2</v>
      </c>
      <c r="D7" s="8">
        <v>178</v>
      </c>
    </row>
    <row r="8" spans="1:8">
      <c r="A8" s="13" t="s">
        <v>149</v>
      </c>
      <c r="B8" s="7">
        <v>34</v>
      </c>
      <c r="C8" s="14">
        <v>10.3</v>
      </c>
      <c r="D8" s="8">
        <v>150</v>
      </c>
    </row>
    <row r="9" spans="1:8">
      <c r="A9" s="13" t="s">
        <v>166</v>
      </c>
      <c r="B9" s="7">
        <v>33</v>
      </c>
      <c r="C9" s="14">
        <v>10</v>
      </c>
      <c r="D9" s="8">
        <v>136</v>
      </c>
    </row>
    <row r="10" spans="1:8">
      <c r="A10" s="13" t="s">
        <v>193</v>
      </c>
      <c r="B10" s="7">
        <v>29</v>
      </c>
      <c r="C10" s="14">
        <v>8.800000000000001</v>
      </c>
      <c r="D10" s="8">
        <v>197</v>
      </c>
    </row>
    <row r="11" spans="1:8">
      <c r="A11" s="13" t="s">
        <v>172</v>
      </c>
      <c r="B11" s="7">
        <v>25</v>
      </c>
      <c r="C11" s="14">
        <v>7.6</v>
      </c>
      <c r="D11" s="8">
        <v>247</v>
      </c>
    </row>
    <row r="12" spans="1:8">
      <c r="A12" s="13" t="s">
        <v>142</v>
      </c>
      <c r="B12" s="7">
        <v>11</v>
      </c>
      <c r="C12" s="14">
        <v>3.3</v>
      </c>
      <c r="D12" s="8">
        <v>347</v>
      </c>
    </row>
    <row r="13" spans="1:8">
      <c r="A13" s="13" t="s">
        <v>221</v>
      </c>
      <c r="B13" s="7">
        <v>8</v>
      </c>
      <c r="C13" s="14">
        <v>2.4</v>
      </c>
      <c r="D13" s="8">
        <v>364</v>
      </c>
    </row>
    <row r="14" spans="1:8">
      <c r="A14" s="13" t="s">
        <v>423</v>
      </c>
      <c r="B14" s="7">
        <v>3</v>
      </c>
      <c r="C14" s="14">
        <v>0.9</v>
      </c>
      <c r="D14" s="8">
        <v>345</v>
      </c>
    </row>
    <row r="15" spans="1:8">
      <c r="A15" s="13" t="s">
        <v>386</v>
      </c>
      <c r="B15" s="7">
        <v>2</v>
      </c>
      <c r="C15" s="14">
        <v>0.6</v>
      </c>
      <c r="D15" s="8">
        <v>319</v>
      </c>
    </row>
    <row r="18" spans="1:4">
      <c r="A18" s="1" t="s">
        <v>1011</v>
      </c>
    </row>
    <row r="19" spans="1:4">
      <c r="A19" s="6" t="s">
        <v>1012</v>
      </c>
      <c r="B19" s="6" t="s">
        <v>1008</v>
      </c>
      <c r="C19" s="6" t="s">
        <v>1009</v>
      </c>
      <c r="D19" s="6" t="s">
        <v>1010</v>
      </c>
    </row>
    <row r="20" spans="1:4">
      <c r="A20" s="13" t="s">
        <v>1013</v>
      </c>
      <c r="B20" s="7">
        <v>143</v>
      </c>
      <c r="C20" s="14">
        <v>43.2</v>
      </c>
      <c r="D20" s="8">
        <v>169</v>
      </c>
    </row>
    <row r="21" spans="1:4">
      <c r="A21" s="13" t="s">
        <v>1014</v>
      </c>
      <c r="B21" s="7">
        <v>76</v>
      </c>
      <c r="C21" s="14">
        <v>23</v>
      </c>
      <c r="D21" s="8">
        <v>127</v>
      </c>
    </row>
    <row r="22" spans="1:4">
      <c r="A22" s="13" t="s">
        <v>1015</v>
      </c>
      <c r="B22" s="7">
        <v>72</v>
      </c>
      <c r="C22" s="14">
        <v>21.8</v>
      </c>
      <c r="D22" s="8">
        <v>214</v>
      </c>
    </row>
    <row r="23" spans="1:4">
      <c r="A23" s="13" t="s">
        <v>1016</v>
      </c>
      <c r="B23" s="7">
        <v>28</v>
      </c>
      <c r="C23" s="14">
        <v>8.5</v>
      </c>
      <c r="D23" s="8">
        <v>324</v>
      </c>
    </row>
    <row r="24" spans="1:4">
      <c r="A24" s="13" t="s">
        <v>1017</v>
      </c>
      <c r="B24" s="7">
        <v>12</v>
      </c>
      <c r="C24" s="14">
        <v>3.6</v>
      </c>
      <c r="D24" s="8">
        <v>729</v>
      </c>
    </row>
    <row r="27" spans="1:4">
      <c r="A27" s="1" t="s">
        <v>1018</v>
      </c>
    </row>
    <row r="28" spans="1:4">
      <c r="A28" s="6" t="s">
        <v>1019</v>
      </c>
      <c r="B28" s="6" t="s">
        <v>1008</v>
      </c>
      <c r="C28" s="6" t="s">
        <v>1009</v>
      </c>
      <c r="D28" s="6" t="s">
        <v>1010</v>
      </c>
    </row>
    <row r="29" spans="1:4">
      <c r="A29" s="13" t="s">
        <v>1020</v>
      </c>
      <c r="B29" s="7">
        <v>135</v>
      </c>
      <c r="C29" s="14">
        <v>40.8</v>
      </c>
      <c r="D29" s="8">
        <v>171</v>
      </c>
    </row>
    <row r="30" spans="1:4">
      <c r="A30" s="13" t="s">
        <v>1021</v>
      </c>
      <c r="B30" s="7">
        <v>119</v>
      </c>
      <c r="C30" s="14">
        <v>36</v>
      </c>
      <c r="D30" s="8">
        <v>170</v>
      </c>
    </row>
    <row r="31" spans="1:4">
      <c r="A31" s="13" t="s">
        <v>1022</v>
      </c>
      <c r="B31" s="7">
        <v>31</v>
      </c>
      <c r="C31" s="14">
        <v>9.4</v>
      </c>
      <c r="D31" s="8">
        <v>424</v>
      </c>
    </row>
    <row r="32" spans="1:4">
      <c r="A32" s="13" t="s">
        <v>1023</v>
      </c>
      <c r="B32" s="7">
        <v>28</v>
      </c>
      <c r="C32" s="14">
        <v>8.5</v>
      </c>
      <c r="D32" s="8">
        <v>180</v>
      </c>
    </row>
    <row r="33" spans="1:7">
      <c r="A33" s="13" t="s">
        <v>1024</v>
      </c>
      <c r="B33" s="7">
        <v>17</v>
      </c>
      <c r="C33" s="14">
        <v>5.1</v>
      </c>
      <c r="D33" s="8">
        <v>379</v>
      </c>
    </row>
    <row r="34" spans="1:7">
      <c r="A34" s="13" t="s">
        <v>1025</v>
      </c>
      <c r="B34" s="7">
        <v>1</v>
      </c>
      <c r="C34" s="14">
        <v>0.3</v>
      </c>
      <c r="D34" s="8">
        <v>132</v>
      </c>
    </row>
    <row r="37" spans="1:7">
      <c r="A37" s="1" t="s">
        <v>1026</v>
      </c>
    </row>
    <row r="38" spans="1:7">
      <c r="A38" s="3" t="s">
        <v>1008</v>
      </c>
      <c r="B38" s="6" t="s">
        <v>1014</v>
      </c>
      <c r="C38" s="6" t="s">
        <v>1013</v>
      </c>
      <c r="D38" s="6" t="s">
        <v>1015</v>
      </c>
      <c r="E38" s="6" t="s">
        <v>1016</v>
      </c>
      <c r="F38" s="6" t="s">
        <v>1017</v>
      </c>
      <c r="G38" s="6" t="s">
        <v>1027</v>
      </c>
    </row>
    <row r="39" spans="1:7">
      <c r="A39" s="13" t="s">
        <v>160</v>
      </c>
      <c r="B39" s="7">
        <v>8</v>
      </c>
      <c r="C39" s="7">
        <v>52</v>
      </c>
      <c r="D39" s="7">
        <v>21</v>
      </c>
      <c r="E39" s="7">
        <v>8</v>
      </c>
      <c r="F39" s="7">
        <v>1</v>
      </c>
      <c r="G39" s="7">
        <v>90</v>
      </c>
    </row>
    <row r="40" spans="1:7">
      <c r="A40" s="13" t="s">
        <v>193</v>
      </c>
      <c r="B40" s="7">
        <v>11</v>
      </c>
      <c r="C40" s="7">
        <v>12</v>
      </c>
      <c r="D40" s="7">
        <v>3</v>
      </c>
      <c r="E40" s="7">
        <v>1</v>
      </c>
      <c r="F40" s="7">
        <v>2</v>
      </c>
      <c r="G40" s="7">
        <v>29</v>
      </c>
    </row>
    <row r="41" spans="1:7">
      <c r="A41" s="13" t="s">
        <v>172</v>
      </c>
      <c r="B41" s="7">
        <v>5</v>
      </c>
      <c r="C41" s="7">
        <v>11</v>
      </c>
      <c r="D41" s="7">
        <v>6</v>
      </c>
      <c r="E41" s="7">
        <v>3</v>
      </c>
      <c r="F41" s="7">
        <v>0</v>
      </c>
      <c r="G41" s="7">
        <v>25</v>
      </c>
    </row>
    <row r="42" spans="1:7">
      <c r="A42" s="13" t="s">
        <v>149</v>
      </c>
      <c r="B42" s="7">
        <v>8</v>
      </c>
      <c r="C42" s="7">
        <v>17</v>
      </c>
      <c r="D42" s="7">
        <v>7</v>
      </c>
      <c r="E42" s="7">
        <v>2</v>
      </c>
      <c r="F42" s="7">
        <v>0</v>
      </c>
      <c r="G42" s="7">
        <v>34</v>
      </c>
    </row>
    <row r="43" spans="1:7">
      <c r="A43" s="13" t="s">
        <v>166</v>
      </c>
      <c r="B43" s="7">
        <v>12</v>
      </c>
      <c r="C43" s="7">
        <v>14</v>
      </c>
      <c r="D43" s="7">
        <v>4</v>
      </c>
      <c r="E43" s="7">
        <v>2</v>
      </c>
      <c r="F43" s="7">
        <v>1</v>
      </c>
      <c r="G43" s="7">
        <v>33</v>
      </c>
    </row>
    <row r="44" spans="1:7">
      <c r="A44" s="13" t="s">
        <v>142</v>
      </c>
      <c r="B44" s="7">
        <v>0</v>
      </c>
      <c r="C44" s="7">
        <v>0</v>
      </c>
      <c r="D44" s="7">
        <v>2</v>
      </c>
      <c r="E44" s="7">
        <v>5</v>
      </c>
      <c r="F44" s="7">
        <v>4</v>
      </c>
      <c r="G44" s="7">
        <v>11</v>
      </c>
    </row>
    <row r="45" spans="1:7">
      <c r="A45" s="13" t="s">
        <v>221</v>
      </c>
      <c r="B45" s="7">
        <v>2</v>
      </c>
      <c r="C45" s="7">
        <v>4</v>
      </c>
      <c r="D45" s="7">
        <v>1</v>
      </c>
      <c r="E45" s="7">
        <v>1</v>
      </c>
      <c r="F45" s="7">
        <v>0</v>
      </c>
      <c r="G45" s="7">
        <v>8</v>
      </c>
    </row>
    <row r="46" spans="1:7">
      <c r="A46" s="13" t="s">
        <v>423</v>
      </c>
      <c r="B46" s="7">
        <v>0</v>
      </c>
      <c r="C46" s="7">
        <v>2</v>
      </c>
      <c r="D46" s="7">
        <v>0</v>
      </c>
      <c r="E46" s="7">
        <v>1</v>
      </c>
      <c r="F46" s="7">
        <v>0</v>
      </c>
      <c r="G46" s="7">
        <v>3</v>
      </c>
    </row>
    <row r="47" spans="1:7">
      <c r="A47" s="13" t="s">
        <v>386</v>
      </c>
      <c r="B47" s="7">
        <v>0</v>
      </c>
      <c r="C47" s="7">
        <v>0</v>
      </c>
      <c r="D47" s="7">
        <v>2</v>
      </c>
      <c r="E47" s="7">
        <v>0</v>
      </c>
      <c r="F47" s="7">
        <v>0</v>
      </c>
      <c r="G47" s="7">
        <v>2</v>
      </c>
    </row>
    <row r="48" spans="1:7">
      <c r="A48" s="13" t="s">
        <v>134</v>
      </c>
      <c r="B48" s="7">
        <v>30</v>
      </c>
      <c r="C48" s="7">
        <v>31</v>
      </c>
      <c r="D48" s="7">
        <v>26</v>
      </c>
      <c r="E48" s="7">
        <v>5</v>
      </c>
      <c r="F48" s="7">
        <v>4</v>
      </c>
      <c r="G48" s="7">
        <v>96</v>
      </c>
    </row>
    <row r="50" spans="1:8">
      <c r="A50" s="3" t="s">
        <v>1028</v>
      </c>
      <c r="B50" s="6" t="s">
        <v>1014</v>
      </c>
      <c r="C50" s="6" t="s">
        <v>1013</v>
      </c>
      <c r="D50" s="6" t="s">
        <v>1015</v>
      </c>
      <c r="E50" s="6" t="s">
        <v>1016</v>
      </c>
      <c r="F50" s="6" t="s">
        <v>1017</v>
      </c>
    </row>
    <row r="51" spans="1:8">
      <c r="A51" s="13" t="s">
        <v>160</v>
      </c>
      <c r="B51" s="14">
        <v>8.9</v>
      </c>
      <c r="C51" s="14">
        <v>57.8</v>
      </c>
      <c r="D51" s="14">
        <v>23.3</v>
      </c>
      <c r="E51" s="14">
        <v>8.9</v>
      </c>
      <c r="F51" s="14">
        <v>1.1</v>
      </c>
    </row>
    <row r="52" spans="1:8">
      <c r="A52" s="13" t="s">
        <v>193</v>
      </c>
      <c r="B52" s="14">
        <v>37.9</v>
      </c>
      <c r="C52" s="14">
        <v>41.4</v>
      </c>
      <c r="D52" s="14">
        <v>10.3</v>
      </c>
      <c r="E52" s="14">
        <v>3.4</v>
      </c>
      <c r="F52" s="14">
        <v>6.9</v>
      </c>
    </row>
    <row r="53" spans="1:8">
      <c r="A53" s="13" t="s">
        <v>172</v>
      </c>
      <c r="B53" s="14">
        <v>20</v>
      </c>
      <c r="C53" s="14">
        <v>44</v>
      </c>
      <c r="D53" s="14">
        <v>24</v>
      </c>
      <c r="E53" s="14">
        <v>12</v>
      </c>
      <c r="F53" s="14">
        <v>0</v>
      </c>
    </row>
    <row r="54" spans="1:8">
      <c r="A54" s="13" t="s">
        <v>149</v>
      </c>
      <c r="B54" s="14">
        <v>23.5</v>
      </c>
      <c r="C54" s="14">
        <v>50</v>
      </c>
      <c r="D54" s="14">
        <v>20.6</v>
      </c>
      <c r="E54" s="14">
        <v>5.9</v>
      </c>
      <c r="F54" s="14">
        <v>0</v>
      </c>
    </row>
    <row r="55" spans="1:8">
      <c r="A55" s="13" t="s">
        <v>166</v>
      </c>
      <c r="B55" s="14">
        <v>36.4</v>
      </c>
      <c r="C55" s="14">
        <v>42.4</v>
      </c>
      <c r="D55" s="14">
        <v>12.1</v>
      </c>
      <c r="E55" s="14">
        <v>6.1</v>
      </c>
      <c r="F55" s="14">
        <v>3</v>
      </c>
    </row>
    <row r="56" spans="1:8">
      <c r="A56" s="13" t="s">
        <v>142</v>
      </c>
      <c r="B56" s="14">
        <v>0</v>
      </c>
      <c r="C56" s="14">
        <v>0</v>
      </c>
      <c r="D56" s="14">
        <v>18.2</v>
      </c>
      <c r="E56" s="14">
        <v>45.5</v>
      </c>
      <c r="F56" s="14">
        <v>36.4</v>
      </c>
    </row>
    <row r="57" spans="1:8">
      <c r="A57" s="13" t="s">
        <v>221</v>
      </c>
      <c r="B57" s="14">
        <v>25</v>
      </c>
      <c r="C57" s="14">
        <v>50</v>
      </c>
      <c r="D57" s="14">
        <v>12.5</v>
      </c>
      <c r="E57" s="14">
        <v>12.5</v>
      </c>
      <c r="F57" s="14">
        <v>0</v>
      </c>
    </row>
    <row r="58" spans="1:8">
      <c r="A58" s="13" t="s">
        <v>423</v>
      </c>
      <c r="B58" s="14">
        <v>0</v>
      </c>
      <c r="C58" s="14">
        <v>66.7</v>
      </c>
      <c r="D58" s="14">
        <v>0</v>
      </c>
      <c r="E58" s="14">
        <v>33.3</v>
      </c>
      <c r="F58" s="14">
        <v>0</v>
      </c>
    </row>
    <row r="59" spans="1:8">
      <c r="A59" s="13" t="s">
        <v>386</v>
      </c>
      <c r="B59" s="14">
        <v>0</v>
      </c>
      <c r="C59" s="14">
        <v>0</v>
      </c>
      <c r="D59" s="14">
        <v>100</v>
      </c>
      <c r="E59" s="14">
        <v>0</v>
      </c>
      <c r="F59" s="14">
        <v>0</v>
      </c>
    </row>
    <row r="60" spans="1:8">
      <c r="A60" s="13" t="s">
        <v>134</v>
      </c>
      <c r="B60" s="14">
        <v>31.2</v>
      </c>
      <c r="C60" s="14">
        <v>32.3</v>
      </c>
      <c r="D60" s="14">
        <v>27.1</v>
      </c>
      <c r="E60" s="14">
        <v>5.2</v>
      </c>
      <c r="F60" s="14">
        <v>4.2</v>
      </c>
    </row>
    <row r="63" spans="1:8">
      <c r="A63" s="1" t="s">
        <v>1029</v>
      </c>
    </row>
    <row r="64" spans="1:8">
      <c r="A64" s="3" t="s">
        <v>1008</v>
      </c>
      <c r="B64" s="6" t="s">
        <v>1022</v>
      </c>
      <c r="C64" s="6" t="s">
        <v>1024</v>
      </c>
      <c r="D64" s="6" t="s">
        <v>1021</v>
      </c>
      <c r="E64" s="6" t="s">
        <v>1020</v>
      </c>
      <c r="F64" s="6" t="s">
        <v>1023</v>
      </c>
      <c r="G64" s="6" t="s">
        <v>1025</v>
      </c>
      <c r="H64" s="6" t="s">
        <v>1027</v>
      </c>
    </row>
    <row r="65" spans="1:8">
      <c r="A65" s="13" t="s">
        <v>160</v>
      </c>
      <c r="B65" s="7">
        <v>0</v>
      </c>
      <c r="C65" s="7">
        <v>3</v>
      </c>
      <c r="D65" s="7">
        <v>34</v>
      </c>
      <c r="E65" s="7">
        <v>48</v>
      </c>
      <c r="F65" s="7">
        <v>5</v>
      </c>
      <c r="G65" s="7">
        <v>0</v>
      </c>
      <c r="H65" s="7">
        <v>90</v>
      </c>
    </row>
    <row r="66" spans="1:8">
      <c r="A66" s="13" t="s">
        <v>193</v>
      </c>
      <c r="B66" s="7">
        <v>4</v>
      </c>
      <c r="C66" s="7">
        <v>4</v>
      </c>
      <c r="D66" s="7">
        <v>13</v>
      </c>
      <c r="E66" s="7">
        <v>6</v>
      </c>
      <c r="F66" s="7">
        <v>2</v>
      </c>
      <c r="G66" s="7">
        <v>0</v>
      </c>
      <c r="H66" s="7">
        <v>29</v>
      </c>
    </row>
    <row r="67" spans="1:8">
      <c r="A67" s="13" t="s">
        <v>172</v>
      </c>
      <c r="B67" s="7">
        <v>4</v>
      </c>
      <c r="C67" s="7">
        <v>1</v>
      </c>
      <c r="D67" s="7">
        <v>8</v>
      </c>
      <c r="E67" s="7">
        <v>10</v>
      </c>
      <c r="F67" s="7">
        <v>2</v>
      </c>
      <c r="G67" s="7">
        <v>0</v>
      </c>
      <c r="H67" s="7">
        <v>25</v>
      </c>
    </row>
    <row r="68" spans="1:8">
      <c r="A68" s="13" t="s">
        <v>149</v>
      </c>
      <c r="B68" s="7">
        <v>4</v>
      </c>
      <c r="C68" s="7">
        <v>0</v>
      </c>
      <c r="D68" s="7">
        <v>6</v>
      </c>
      <c r="E68" s="7">
        <v>21</v>
      </c>
      <c r="F68" s="7">
        <v>3</v>
      </c>
      <c r="G68" s="7">
        <v>0</v>
      </c>
      <c r="H68" s="7">
        <v>34</v>
      </c>
    </row>
    <row r="69" spans="1:8">
      <c r="A69" s="13" t="s">
        <v>166</v>
      </c>
      <c r="B69" s="7">
        <v>0</v>
      </c>
      <c r="C69" s="7">
        <v>4</v>
      </c>
      <c r="D69" s="7">
        <v>15</v>
      </c>
      <c r="E69" s="7">
        <v>10</v>
      </c>
      <c r="F69" s="7">
        <v>4</v>
      </c>
      <c r="G69" s="7">
        <v>0</v>
      </c>
      <c r="H69" s="7">
        <v>33</v>
      </c>
    </row>
    <row r="70" spans="1:8">
      <c r="A70" s="13" t="s">
        <v>142</v>
      </c>
      <c r="B70" s="7">
        <v>0</v>
      </c>
      <c r="C70" s="7">
        <v>0</v>
      </c>
      <c r="D70" s="7">
        <v>1</v>
      </c>
      <c r="E70" s="7">
        <v>7</v>
      </c>
      <c r="F70" s="7">
        <v>3</v>
      </c>
      <c r="G70" s="7">
        <v>0</v>
      </c>
      <c r="H70" s="7">
        <v>11</v>
      </c>
    </row>
    <row r="71" spans="1:8">
      <c r="A71" s="13" t="s">
        <v>221</v>
      </c>
      <c r="B71" s="7">
        <v>1</v>
      </c>
      <c r="C71" s="7">
        <v>0</v>
      </c>
      <c r="D71" s="7">
        <v>6</v>
      </c>
      <c r="E71" s="7">
        <v>1</v>
      </c>
      <c r="F71" s="7">
        <v>0</v>
      </c>
      <c r="G71" s="7">
        <v>0</v>
      </c>
      <c r="H71" s="7">
        <v>8</v>
      </c>
    </row>
    <row r="72" spans="1:8">
      <c r="A72" s="13" t="s">
        <v>423</v>
      </c>
      <c r="B72" s="7">
        <v>0</v>
      </c>
      <c r="C72" s="7">
        <v>0</v>
      </c>
      <c r="D72" s="7">
        <v>3</v>
      </c>
      <c r="E72" s="7">
        <v>0</v>
      </c>
      <c r="F72" s="7">
        <v>0</v>
      </c>
      <c r="G72" s="7">
        <v>0</v>
      </c>
      <c r="H72" s="7">
        <v>3</v>
      </c>
    </row>
    <row r="73" spans="1:8">
      <c r="A73" s="13" t="s">
        <v>386</v>
      </c>
      <c r="B73" s="7">
        <v>0</v>
      </c>
      <c r="C73" s="7">
        <v>0</v>
      </c>
      <c r="D73" s="7">
        <v>1</v>
      </c>
      <c r="E73" s="7">
        <v>1</v>
      </c>
      <c r="F73" s="7">
        <v>0</v>
      </c>
      <c r="G73" s="7">
        <v>0</v>
      </c>
      <c r="H73" s="7">
        <v>2</v>
      </c>
    </row>
    <row r="74" spans="1:8">
      <c r="A74" s="13" t="s">
        <v>134</v>
      </c>
      <c r="B74" s="7">
        <v>18</v>
      </c>
      <c r="C74" s="7">
        <v>5</v>
      </c>
      <c r="D74" s="7">
        <v>32</v>
      </c>
      <c r="E74" s="7">
        <v>31</v>
      </c>
      <c r="F74" s="7">
        <v>9</v>
      </c>
      <c r="G74" s="7">
        <v>1</v>
      </c>
      <c r="H74" s="7">
        <v>96</v>
      </c>
    </row>
    <row r="76" spans="1:8">
      <c r="A76" s="3" t="s">
        <v>1028</v>
      </c>
      <c r="B76" s="6" t="s">
        <v>1022</v>
      </c>
      <c r="C76" s="6" t="s">
        <v>1024</v>
      </c>
      <c r="D76" s="6" t="s">
        <v>1021</v>
      </c>
      <c r="E76" s="6" t="s">
        <v>1020</v>
      </c>
      <c r="F76" s="6" t="s">
        <v>1023</v>
      </c>
      <c r="G76" s="6" t="s">
        <v>1025</v>
      </c>
    </row>
    <row r="77" spans="1:8">
      <c r="A77" s="13" t="s">
        <v>160</v>
      </c>
      <c r="B77" s="14">
        <v>0</v>
      </c>
      <c r="C77" s="14">
        <v>3.3</v>
      </c>
      <c r="D77" s="14">
        <v>37.8</v>
      </c>
      <c r="E77" s="14">
        <v>53.3</v>
      </c>
      <c r="F77" s="14">
        <v>5.6</v>
      </c>
      <c r="G77" s="14">
        <v>0</v>
      </c>
    </row>
    <row r="78" spans="1:8">
      <c r="A78" s="13" t="s">
        <v>193</v>
      </c>
      <c r="B78" s="14">
        <v>13.8</v>
      </c>
      <c r="C78" s="14">
        <v>13.8</v>
      </c>
      <c r="D78" s="14">
        <v>44.8</v>
      </c>
      <c r="E78" s="14">
        <v>20.7</v>
      </c>
      <c r="F78" s="14">
        <v>6.9</v>
      </c>
      <c r="G78" s="14">
        <v>0</v>
      </c>
    </row>
    <row r="79" spans="1:8">
      <c r="A79" s="13" t="s">
        <v>172</v>
      </c>
      <c r="B79" s="14">
        <v>16</v>
      </c>
      <c r="C79" s="14">
        <v>4</v>
      </c>
      <c r="D79" s="14">
        <v>32</v>
      </c>
      <c r="E79" s="14">
        <v>40</v>
      </c>
      <c r="F79" s="14">
        <v>8</v>
      </c>
      <c r="G79" s="14">
        <v>0</v>
      </c>
    </row>
    <row r="80" spans="1:8">
      <c r="A80" s="13" t="s">
        <v>149</v>
      </c>
      <c r="B80" s="14">
        <v>11.8</v>
      </c>
      <c r="C80" s="14">
        <v>0</v>
      </c>
      <c r="D80" s="14">
        <v>17.6</v>
      </c>
      <c r="E80" s="14">
        <v>61.8</v>
      </c>
      <c r="F80" s="14">
        <v>8.800000000000001</v>
      </c>
      <c r="G80" s="14">
        <v>0</v>
      </c>
    </row>
    <row r="81" spans="1:8">
      <c r="A81" s="13" t="s">
        <v>166</v>
      </c>
      <c r="B81" s="14">
        <v>0</v>
      </c>
      <c r="C81" s="14">
        <v>12.1</v>
      </c>
      <c r="D81" s="14">
        <v>45.5</v>
      </c>
      <c r="E81" s="14">
        <v>30.3</v>
      </c>
      <c r="F81" s="14">
        <v>12.1</v>
      </c>
      <c r="G81" s="14">
        <v>0</v>
      </c>
    </row>
    <row r="82" spans="1:8">
      <c r="A82" s="13" t="s">
        <v>142</v>
      </c>
      <c r="B82" s="14">
        <v>0</v>
      </c>
      <c r="C82" s="14">
        <v>0</v>
      </c>
      <c r="D82" s="14">
        <v>9.1</v>
      </c>
      <c r="E82" s="14">
        <v>63.6</v>
      </c>
      <c r="F82" s="14">
        <v>27.3</v>
      </c>
      <c r="G82" s="14">
        <v>0</v>
      </c>
    </row>
    <row r="83" spans="1:8">
      <c r="A83" s="13" t="s">
        <v>221</v>
      </c>
      <c r="B83" s="14">
        <v>12.5</v>
      </c>
      <c r="C83" s="14">
        <v>0</v>
      </c>
      <c r="D83" s="14">
        <v>75</v>
      </c>
      <c r="E83" s="14">
        <v>12.5</v>
      </c>
      <c r="F83" s="14">
        <v>0</v>
      </c>
      <c r="G83" s="14">
        <v>0</v>
      </c>
    </row>
    <row r="84" spans="1:8">
      <c r="A84" s="13" t="s">
        <v>423</v>
      </c>
      <c r="B84" s="14">
        <v>0</v>
      </c>
      <c r="C84" s="14">
        <v>0</v>
      </c>
      <c r="D84" s="14">
        <v>100</v>
      </c>
      <c r="E84" s="14">
        <v>0</v>
      </c>
      <c r="F84" s="14">
        <v>0</v>
      </c>
      <c r="G84" s="14">
        <v>0</v>
      </c>
    </row>
    <row r="85" spans="1:8">
      <c r="A85" s="13" t="s">
        <v>386</v>
      </c>
      <c r="B85" s="14">
        <v>0</v>
      </c>
      <c r="C85" s="14">
        <v>0</v>
      </c>
      <c r="D85" s="14">
        <v>50</v>
      </c>
      <c r="E85" s="14">
        <v>50</v>
      </c>
      <c r="F85" s="14">
        <v>0</v>
      </c>
      <c r="G85" s="14">
        <v>0</v>
      </c>
    </row>
    <row r="86" spans="1:8">
      <c r="A86" s="13" t="s">
        <v>134</v>
      </c>
      <c r="B86" s="14">
        <v>18.8</v>
      </c>
      <c r="C86" s="14">
        <v>5.2</v>
      </c>
      <c r="D86" s="14">
        <v>33.3</v>
      </c>
      <c r="E86" s="14">
        <v>32.3</v>
      </c>
      <c r="F86" s="14">
        <v>9.4</v>
      </c>
      <c r="G86" s="14">
        <v>1</v>
      </c>
    </row>
    <row r="89" spans="1:8">
      <c r="A89" s="1" t="s">
        <v>1030</v>
      </c>
    </row>
    <row r="90" spans="1:8">
      <c r="A90" s="3" t="s">
        <v>1008</v>
      </c>
      <c r="B90" s="6" t="s">
        <v>1022</v>
      </c>
      <c r="C90" s="6" t="s">
        <v>1024</v>
      </c>
      <c r="D90" s="6" t="s">
        <v>1021</v>
      </c>
      <c r="E90" s="6" t="s">
        <v>1020</v>
      </c>
      <c r="F90" s="6" t="s">
        <v>1023</v>
      </c>
      <c r="G90" s="6" t="s">
        <v>1025</v>
      </c>
      <c r="H90" s="6" t="s">
        <v>1027</v>
      </c>
    </row>
    <row r="91" spans="1:8">
      <c r="A91" s="13" t="s">
        <v>1014</v>
      </c>
      <c r="B91" s="7">
        <v>24</v>
      </c>
      <c r="C91" s="7">
        <v>4</v>
      </c>
      <c r="D91" s="7">
        <v>39</v>
      </c>
      <c r="E91" s="7">
        <v>9</v>
      </c>
      <c r="F91" s="7">
        <v>0</v>
      </c>
      <c r="G91" s="7">
        <v>0</v>
      </c>
      <c r="H91" s="7">
        <v>76</v>
      </c>
    </row>
    <row r="92" spans="1:8">
      <c r="A92" s="13" t="s">
        <v>1013</v>
      </c>
      <c r="B92" s="7">
        <v>6</v>
      </c>
      <c r="C92" s="7">
        <v>11</v>
      </c>
      <c r="D92" s="7">
        <v>61</v>
      </c>
      <c r="E92" s="7">
        <v>63</v>
      </c>
      <c r="F92" s="7">
        <v>2</v>
      </c>
      <c r="G92" s="7">
        <v>0</v>
      </c>
      <c r="H92" s="7">
        <v>143</v>
      </c>
    </row>
    <row r="93" spans="1:8">
      <c r="A93" s="13" t="s">
        <v>1015</v>
      </c>
      <c r="B93" s="7">
        <v>1</v>
      </c>
      <c r="C93" s="7">
        <v>1</v>
      </c>
      <c r="D93" s="7">
        <v>13</v>
      </c>
      <c r="E93" s="7">
        <v>46</v>
      </c>
      <c r="F93" s="7">
        <v>11</v>
      </c>
      <c r="G93" s="7">
        <v>0</v>
      </c>
      <c r="H93" s="7">
        <v>72</v>
      </c>
    </row>
    <row r="94" spans="1:8">
      <c r="A94" s="13" t="s">
        <v>1016</v>
      </c>
      <c r="B94" s="7">
        <v>0</v>
      </c>
      <c r="C94" s="7">
        <v>1</v>
      </c>
      <c r="D94" s="7">
        <v>5</v>
      </c>
      <c r="E94" s="7">
        <v>10</v>
      </c>
      <c r="F94" s="7">
        <v>12</v>
      </c>
      <c r="G94" s="7">
        <v>0</v>
      </c>
      <c r="H94" s="7">
        <v>28</v>
      </c>
    </row>
    <row r="95" spans="1:8">
      <c r="A95" s="13" t="s">
        <v>1017</v>
      </c>
      <c r="B95" s="7">
        <v>0</v>
      </c>
      <c r="C95" s="7">
        <v>0</v>
      </c>
      <c r="D95" s="7">
        <v>1</v>
      </c>
      <c r="E95" s="7">
        <v>7</v>
      </c>
      <c r="F95" s="7">
        <v>3</v>
      </c>
      <c r="G95" s="7">
        <v>1</v>
      </c>
      <c r="H95" s="7">
        <v>12</v>
      </c>
    </row>
    <row r="97" spans="1:7">
      <c r="A97" s="3" t="s">
        <v>1028</v>
      </c>
      <c r="B97" s="6" t="s">
        <v>1022</v>
      </c>
      <c r="C97" s="6" t="s">
        <v>1024</v>
      </c>
      <c r="D97" s="6" t="s">
        <v>1021</v>
      </c>
      <c r="E97" s="6" t="s">
        <v>1020</v>
      </c>
      <c r="F97" s="6" t="s">
        <v>1023</v>
      </c>
      <c r="G97" s="6" t="s">
        <v>1025</v>
      </c>
    </row>
    <row r="98" spans="1:7">
      <c r="A98" s="13" t="s">
        <v>1014</v>
      </c>
      <c r="B98" s="14">
        <v>31.6</v>
      </c>
      <c r="C98" s="14">
        <v>5.3</v>
      </c>
      <c r="D98" s="14">
        <v>51.3</v>
      </c>
      <c r="E98" s="14">
        <v>11.8</v>
      </c>
      <c r="F98" s="14">
        <v>0</v>
      </c>
      <c r="G98" s="14">
        <v>0</v>
      </c>
    </row>
    <row r="99" spans="1:7">
      <c r="A99" s="13" t="s">
        <v>1013</v>
      </c>
      <c r="B99" s="14">
        <v>4.2</v>
      </c>
      <c r="C99" s="14">
        <v>7.7</v>
      </c>
      <c r="D99" s="14">
        <v>42.7</v>
      </c>
      <c r="E99" s="14">
        <v>44.1</v>
      </c>
      <c r="F99" s="14">
        <v>1.4</v>
      </c>
      <c r="G99" s="14">
        <v>0</v>
      </c>
    </row>
    <row r="100" spans="1:7">
      <c r="A100" s="13" t="s">
        <v>1015</v>
      </c>
      <c r="B100" s="14">
        <v>1.4</v>
      </c>
      <c r="C100" s="14">
        <v>1.4</v>
      </c>
      <c r="D100" s="14">
        <v>18.1</v>
      </c>
      <c r="E100" s="14">
        <v>63.9</v>
      </c>
      <c r="F100" s="14">
        <v>15.3</v>
      </c>
      <c r="G100" s="14">
        <v>0</v>
      </c>
    </row>
    <row r="101" spans="1:7">
      <c r="A101" s="13" t="s">
        <v>1016</v>
      </c>
      <c r="B101" s="14">
        <v>0</v>
      </c>
      <c r="C101" s="14">
        <v>3.6</v>
      </c>
      <c r="D101" s="14">
        <v>17.9</v>
      </c>
      <c r="E101" s="14">
        <v>35.7</v>
      </c>
      <c r="F101" s="14">
        <v>42.9</v>
      </c>
      <c r="G101" s="14">
        <v>0</v>
      </c>
    </row>
    <row r="102" spans="1:7">
      <c r="A102" s="13" t="s">
        <v>1017</v>
      </c>
      <c r="B102" s="14">
        <v>0</v>
      </c>
      <c r="C102" s="14">
        <v>0</v>
      </c>
      <c r="D102" s="14">
        <v>8.300000000000001</v>
      </c>
      <c r="E102" s="14">
        <v>58.3</v>
      </c>
      <c r="F102" s="14">
        <v>25</v>
      </c>
      <c r="G102" s="14">
        <v>8.300000000000001</v>
      </c>
    </row>
    <row r="105" spans="1:7">
      <c r="A105" s="1" t="s">
        <v>1031</v>
      </c>
    </row>
    <row r="106" spans="1:7">
      <c r="A106" s="6" t="s">
        <v>1032</v>
      </c>
      <c r="B106" s="6" t="s">
        <v>1008</v>
      </c>
      <c r="C106" s="6" t="s">
        <v>1009</v>
      </c>
      <c r="D106" s="6" t="s">
        <v>1010</v>
      </c>
    </row>
    <row r="107" spans="1:7">
      <c r="A107" s="13" t="s">
        <v>1033</v>
      </c>
      <c r="B107" s="7">
        <v>29</v>
      </c>
      <c r="C107" s="14">
        <v>96.7</v>
      </c>
      <c r="D107" s="8">
        <v>164</v>
      </c>
    </row>
    <row r="108" spans="1:7">
      <c r="A108" s="13" t="s">
        <v>1034</v>
      </c>
      <c r="B108" s="7">
        <v>1</v>
      </c>
      <c r="C108" s="14">
        <v>3.3</v>
      </c>
      <c r="D108" s="8">
        <v>180</v>
      </c>
    </row>
  </sheetData>
  <mergeCells count="1">
    <mergeCell ref="A2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L157"/>
  <sheetViews>
    <sheetView workbookViewId="0"/>
  </sheetViews>
  <sheetFormatPr defaultRowHeight="15"/>
  <cols>
    <col min="1" max="1" width="16.7109375" customWidth="1"/>
    <col min="2" max="12" width="12.7109375" customWidth="1"/>
  </cols>
  <sheetData>
    <row r="1" spans="1:12">
      <c r="A1" s="1" t="s">
        <v>1035</v>
      </c>
    </row>
    <row r="2" spans="1:12" ht="30" customHeight="1">
      <c r="A2" s="2" t="s">
        <v>1036</v>
      </c>
      <c r="B2" s="2"/>
      <c r="C2" s="2"/>
      <c r="D2" s="2"/>
      <c r="E2" s="2"/>
      <c r="F2" s="2"/>
      <c r="G2" s="2"/>
      <c r="H2" s="2"/>
      <c r="I2" s="2"/>
    </row>
    <row r="4" spans="1:12">
      <c r="A4" s="1" t="s">
        <v>1037</v>
      </c>
    </row>
    <row r="5" spans="1:12">
      <c r="A5" s="3" t="s">
        <v>1008</v>
      </c>
      <c r="B5" s="6" t="s">
        <v>160</v>
      </c>
      <c r="C5" s="6" t="s">
        <v>193</v>
      </c>
      <c r="D5" s="6" t="s">
        <v>172</v>
      </c>
      <c r="E5" s="6" t="s">
        <v>149</v>
      </c>
      <c r="F5" s="6" t="s">
        <v>166</v>
      </c>
      <c r="G5" s="6" t="s">
        <v>142</v>
      </c>
      <c r="H5" s="6" t="s">
        <v>221</v>
      </c>
      <c r="I5" s="6" t="s">
        <v>423</v>
      </c>
      <c r="J5" s="6" t="s">
        <v>386</v>
      </c>
      <c r="K5" s="6" t="s">
        <v>134</v>
      </c>
      <c r="L5" s="6" t="s">
        <v>1027</v>
      </c>
    </row>
    <row r="6" spans="1:12">
      <c r="A6" s="13" t="s">
        <v>230</v>
      </c>
      <c r="B6" s="7">
        <v>3</v>
      </c>
      <c r="C6" s="7">
        <v>1</v>
      </c>
      <c r="D6" s="7">
        <v>1</v>
      </c>
      <c r="E6" s="7">
        <v>0</v>
      </c>
      <c r="F6" s="7">
        <v>1</v>
      </c>
      <c r="G6" s="7">
        <v>0</v>
      </c>
      <c r="H6" s="7">
        <v>0</v>
      </c>
      <c r="I6" s="7">
        <v>0</v>
      </c>
      <c r="J6" s="7">
        <v>0</v>
      </c>
      <c r="K6" s="7">
        <v>6</v>
      </c>
      <c r="L6" s="7">
        <v>12</v>
      </c>
    </row>
    <row r="7" spans="1:12">
      <c r="A7" s="13" t="s">
        <v>988</v>
      </c>
      <c r="B7" s="7">
        <v>1</v>
      </c>
      <c r="C7" s="7">
        <v>0</v>
      </c>
      <c r="D7" s="7">
        <v>0</v>
      </c>
      <c r="E7" s="7">
        <v>0</v>
      </c>
      <c r="F7" s="7">
        <v>0</v>
      </c>
      <c r="G7" s="7">
        <v>3</v>
      </c>
      <c r="H7" s="7">
        <v>0</v>
      </c>
      <c r="I7" s="7">
        <v>0</v>
      </c>
      <c r="J7" s="7">
        <v>0</v>
      </c>
      <c r="K7" s="7">
        <v>2</v>
      </c>
      <c r="L7" s="7">
        <v>6</v>
      </c>
    </row>
    <row r="8" spans="1:12">
      <c r="A8" s="13" t="s">
        <v>188</v>
      </c>
      <c r="B8" s="7">
        <v>0</v>
      </c>
      <c r="C8" s="7">
        <v>2</v>
      </c>
      <c r="D8" s="7">
        <v>0</v>
      </c>
      <c r="E8" s="7">
        <v>0</v>
      </c>
      <c r="F8" s="7">
        <v>1</v>
      </c>
      <c r="G8" s="7">
        <v>3</v>
      </c>
      <c r="H8" s="7">
        <v>0</v>
      </c>
      <c r="I8" s="7">
        <v>0</v>
      </c>
      <c r="J8" s="7">
        <v>0</v>
      </c>
      <c r="K8" s="7">
        <v>4</v>
      </c>
      <c r="L8" s="7">
        <v>10</v>
      </c>
    </row>
    <row r="9" spans="1:12">
      <c r="A9" s="13" t="s">
        <v>183</v>
      </c>
      <c r="B9" s="7">
        <v>7</v>
      </c>
      <c r="C9" s="7">
        <v>2</v>
      </c>
      <c r="D9" s="7">
        <v>1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14</v>
      </c>
      <c r="L9" s="7">
        <v>24</v>
      </c>
    </row>
    <row r="10" spans="1:12">
      <c r="A10" s="13" t="s">
        <v>250</v>
      </c>
      <c r="B10" s="7">
        <v>6</v>
      </c>
      <c r="C10" s="7">
        <v>0</v>
      </c>
      <c r="D10" s="7">
        <v>0</v>
      </c>
      <c r="E10" s="7">
        <v>0</v>
      </c>
      <c r="F10" s="7">
        <v>1</v>
      </c>
      <c r="G10" s="7">
        <v>0</v>
      </c>
      <c r="H10" s="7">
        <v>0</v>
      </c>
      <c r="I10" s="7">
        <v>1</v>
      </c>
      <c r="J10" s="7">
        <v>0</v>
      </c>
      <c r="K10" s="7">
        <v>5</v>
      </c>
      <c r="L10" s="7">
        <v>13</v>
      </c>
    </row>
    <row r="11" spans="1:12">
      <c r="A11" s="13" t="s">
        <v>352</v>
      </c>
      <c r="B11" s="7">
        <v>4</v>
      </c>
      <c r="C11" s="7">
        <v>0</v>
      </c>
      <c r="D11" s="7">
        <v>1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7">
        <v>0</v>
      </c>
      <c r="K11" s="7">
        <v>2</v>
      </c>
      <c r="L11" s="7">
        <v>7</v>
      </c>
    </row>
    <row r="12" spans="1:12">
      <c r="A12" s="13" t="s">
        <v>194</v>
      </c>
      <c r="B12" s="7">
        <v>0</v>
      </c>
      <c r="C12" s="7">
        <v>1</v>
      </c>
      <c r="D12" s="7">
        <v>0</v>
      </c>
      <c r="E12" s="7">
        <v>3</v>
      </c>
      <c r="F12" s="7">
        <v>0</v>
      </c>
      <c r="G12" s="7">
        <v>0</v>
      </c>
      <c r="H12" s="7">
        <v>0</v>
      </c>
      <c r="I12" s="7">
        <v>0</v>
      </c>
      <c r="J12" s="7">
        <v>0</v>
      </c>
      <c r="K12" s="7">
        <v>0</v>
      </c>
      <c r="L12" s="7">
        <v>4</v>
      </c>
    </row>
    <row r="13" spans="1:12">
      <c r="A13" s="13" t="s">
        <v>143</v>
      </c>
      <c r="B13" s="7">
        <v>13</v>
      </c>
      <c r="C13" s="7">
        <v>1</v>
      </c>
      <c r="D13" s="7">
        <v>5</v>
      </c>
      <c r="E13" s="7">
        <v>1</v>
      </c>
      <c r="F13" s="7">
        <v>4</v>
      </c>
      <c r="G13" s="7">
        <v>2</v>
      </c>
      <c r="H13" s="7">
        <v>0</v>
      </c>
      <c r="I13" s="7">
        <v>0</v>
      </c>
      <c r="J13" s="7">
        <v>2</v>
      </c>
      <c r="K13" s="7">
        <v>12</v>
      </c>
      <c r="L13" s="7">
        <v>40</v>
      </c>
    </row>
    <row r="14" spans="1:12">
      <c r="A14" s="13" t="s">
        <v>243</v>
      </c>
      <c r="B14" s="7">
        <v>5</v>
      </c>
      <c r="C14" s="7">
        <v>1</v>
      </c>
      <c r="D14" s="7">
        <v>1</v>
      </c>
      <c r="E14" s="7">
        <v>0</v>
      </c>
      <c r="F14" s="7">
        <v>1</v>
      </c>
      <c r="G14" s="7">
        <v>0</v>
      </c>
      <c r="H14" s="7">
        <v>2</v>
      </c>
      <c r="I14" s="7">
        <v>1</v>
      </c>
      <c r="J14" s="7">
        <v>0</v>
      </c>
      <c r="K14" s="7">
        <v>7</v>
      </c>
      <c r="L14" s="7">
        <v>18</v>
      </c>
    </row>
    <row r="15" spans="1:12">
      <c r="A15" s="13" t="s">
        <v>361</v>
      </c>
      <c r="B15" s="7">
        <v>5</v>
      </c>
      <c r="C15" s="7">
        <v>0</v>
      </c>
      <c r="D15" s="7">
        <v>1</v>
      </c>
      <c r="E15" s="7">
        <v>0</v>
      </c>
      <c r="F15" s="7">
        <v>1</v>
      </c>
      <c r="G15" s="7">
        <v>0</v>
      </c>
      <c r="H15" s="7">
        <v>0</v>
      </c>
      <c r="I15" s="7">
        <v>0</v>
      </c>
      <c r="J15" s="7">
        <v>0</v>
      </c>
      <c r="K15" s="7">
        <v>1</v>
      </c>
      <c r="L15" s="7">
        <v>8</v>
      </c>
    </row>
    <row r="16" spans="1:12">
      <c r="A16" s="13" t="s">
        <v>477</v>
      </c>
      <c r="B16" s="7">
        <v>0</v>
      </c>
      <c r="C16" s="7">
        <v>0</v>
      </c>
      <c r="D16" s="7">
        <v>0</v>
      </c>
      <c r="E16" s="7">
        <v>1</v>
      </c>
      <c r="F16" s="7">
        <v>0</v>
      </c>
      <c r="G16" s="7">
        <v>0</v>
      </c>
      <c r="H16" s="7">
        <v>1</v>
      </c>
      <c r="I16" s="7">
        <v>0</v>
      </c>
      <c r="J16" s="7">
        <v>0</v>
      </c>
      <c r="K16" s="7">
        <v>2</v>
      </c>
      <c r="L16" s="7">
        <v>4</v>
      </c>
    </row>
    <row r="17" spans="1:12">
      <c r="A17" s="13" t="s">
        <v>500</v>
      </c>
      <c r="B17" s="7">
        <v>1</v>
      </c>
      <c r="C17" s="7">
        <v>0</v>
      </c>
      <c r="D17" s="7">
        <v>0</v>
      </c>
      <c r="E17" s="7">
        <v>1</v>
      </c>
      <c r="F17" s="7">
        <v>2</v>
      </c>
      <c r="G17" s="7">
        <v>0</v>
      </c>
      <c r="H17" s="7">
        <v>0</v>
      </c>
      <c r="I17" s="7">
        <v>0</v>
      </c>
      <c r="J17" s="7">
        <v>0</v>
      </c>
      <c r="K17" s="7">
        <v>1</v>
      </c>
      <c r="L17" s="7">
        <v>5</v>
      </c>
    </row>
    <row r="18" spans="1:12">
      <c r="A18" s="13" t="s">
        <v>255</v>
      </c>
      <c r="B18" s="7">
        <v>7</v>
      </c>
      <c r="C18" s="7">
        <v>0</v>
      </c>
      <c r="D18" s="7">
        <v>0</v>
      </c>
      <c r="E18" s="7">
        <v>6</v>
      </c>
      <c r="F18" s="7">
        <v>5</v>
      </c>
      <c r="G18" s="7">
        <v>0</v>
      </c>
      <c r="H18" s="7">
        <v>0</v>
      </c>
      <c r="I18" s="7">
        <v>0</v>
      </c>
      <c r="J18" s="7">
        <v>0</v>
      </c>
      <c r="K18" s="7">
        <v>3</v>
      </c>
      <c r="L18" s="7">
        <v>21</v>
      </c>
    </row>
    <row r="19" spans="1:12">
      <c r="A19" s="13" t="s">
        <v>161</v>
      </c>
      <c r="B19" s="7">
        <v>12</v>
      </c>
      <c r="C19" s="7">
        <v>0</v>
      </c>
      <c r="D19" s="7">
        <v>1</v>
      </c>
      <c r="E19" s="7">
        <v>5</v>
      </c>
      <c r="F19" s="7">
        <v>1</v>
      </c>
      <c r="G19" s="7">
        <v>0</v>
      </c>
      <c r="H19" s="7">
        <v>0</v>
      </c>
      <c r="I19" s="7">
        <v>0</v>
      </c>
      <c r="J19" s="7">
        <v>0</v>
      </c>
      <c r="K19" s="7">
        <v>2</v>
      </c>
      <c r="L19" s="7">
        <v>21</v>
      </c>
    </row>
    <row r="20" spans="1:12">
      <c r="A20" s="13" t="s">
        <v>173</v>
      </c>
      <c r="B20" s="7">
        <v>0</v>
      </c>
      <c r="C20" s="7">
        <v>0</v>
      </c>
      <c r="D20" s="7">
        <v>2</v>
      </c>
      <c r="E20" s="7">
        <v>1</v>
      </c>
      <c r="F20" s="7">
        <v>1</v>
      </c>
      <c r="G20" s="7">
        <v>0</v>
      </c>
      <c r="H20" s="7">
        <v>0</v>
      </c>
      <c r="I20" s="7">
        <v>0</v>
      </c>
      <c r="J20" s="7">
        <v>0</v>
      </c>
      <c r="K20" s="7">
        <v>2</v>
      </c>
      <c r="L20" s="7">
        <v>6</v>
      </c>
    </row>
    <row r="21" spans="1:12">
      <c r="A21" s="13" t="s">
        <v>150</v>
      </c>
      <c r="B21" s="7">
        <v>1</v>
      </c>
      <c r="C21" s="7">
        <v>0</v>
      </c>
      <c r="D21" s="7">
        <v>0</v>
      </c>
      <c r="E21" s="7">
        <v>1</v>
      </c>
      <c r="F21" s="7">
        <v>0</v>
      </c>
      <c r="G21" s="7">
        <v>0</v>
      </c>
      <c r="H21" s="7">
        <v>0</v>
      </c>
      <c r="I21" s="7">
        <v>0</v>
      </c>
      <c r="J21" s="7">
        <v>0</v>
      </c>
      <c r="K21" s="7">
        <v>2</v>
      </c>
      <c r="L21" s="7">
        <v>4</v>
      </c>
    </row>
    <row r="22" spans="1:12">
      <c r="A22" s="13" t="s">
        <v>300</v>
      </c>
      <c r="B22" s="7">
        <v>1</v>
      </c>
      <c r="C22" s="7">
        <v>0</v>
      </c>
      <c r="D22" s="7">
        <v>0</v>
      </c>
      <c r="E22" s="7">
        <v>3</v>
      </c>
      <c r="F22" s="7">
        <v>1</v>
      </c>
      <c r="G22" s="7">
        <v>0</v>
      </c>
      <c r="H22" s="7">
        <v>0</v>
      </c>
      <c r="I22" s="7">
        <v>0</v>
      </c>
      <c r="J22" s="7">
        <v>0</v>
      </c>
      <c r="K22" s="7">
        <v>5</v>
      </c>
      <c r="L22" s="7">
        <v>10</v>
      </c>
    </row>
    <row r="23" spans="1:12">
      <c r="A23" s="13" t="s">
        <v>167</v>
      </c>
      <c r="B23" s="7">
        <v>0</v>
      </c>
      <c r="C23" s="7">
        <v>0</v>
      </c>
      <c r="D23" s="7">
        <v>1</v>
      </c>
      <c r="E23" s="7">
        <v>0</v>
      </c>
      <c r="F23" s="7">
        <v>6</v>
      </c>
      <c r="G23" s="7">
        <v>0</v>
      </c>
      <c r="H23" s="7">
        <v>0</v>
      </c>
      <c r="I23" s="7">
        <v>1</v>
      </c>
      <c r="J23" s="7">
        <v>0</v>
      </c>
      <c r="K23" s="7">
        <v>2</v>
      </c>
      <c r="L23" s="7">
        <v>10</v>
      </c>
    </row>
    <row r="24" spans="1:12">
      <c r="A24" s="13" t="s">
        <v>612</v>
      </c>
      <c r="B24" s="7">
        <v>0</v>
      </c>
      <c r="C24" s="7">
        <v>0</v>
      </c>
      <c r="D24" s="7">
        <v>0</v>
      </c>
      <c r="E24" s="7">
        <v>4</v>
      </c>
      <c r="F24" s="7">
        <v>0</v>
      </c>
      <c r="G24" s="7">
        <v>0</v>
      </c>
      <c r="H24" s="7">
        <v>0</v>
      </c>
      <c r="I24" s="7">
        <v>0</v>
      </c>
      <c r="J24" s="7">
        <v>0</v>
      </c>
      <c r="K24" s="7">
        <v>0</v>
      </c>
      <c r="L24" s="7">
        <v>4</v>
      </c>
    </row>
    <row r="25" spans="1:12">
      <c r="A25" s="13" t="s">
        <v>178</v>
      </c>
      <c r="B25" s="7">
        <v>3</v>
      </c>
      <c r="C25" s="7">
        <v>1</v>
      </c>
      <c r="D25" s="7">
        <v>6</v>
      </c>
      <c r="E25" s="7">
        <v>0</v>
      </c>
      <c r="F25" s="7">
        <v>1</v>
      </c>
      <c r="G25" s="7">
        <v>1</v>
      </c>
      <c r="H25" s="7">
        <v>1</v>
      </c>
      <c r="I25" s="7">
        <v>0</v>
      </c>
      <c r="J25" s="7">
        <v>0</v>
      </c>
      <c r="K25" s="7">
        <v>2</v>
      </c>
      <c r="L25" s="7">
        <v>15</v>
      </c>
    </row>
    <row r="26" spans="1:12">
      <c r="A26" s="13" t="s">
        <v>395</v>
      </c>
      <c r="B26" s="7">
        <v>3</v>
      </c>
      <c r="C26" s="7">
        <v>0</v>
      </c>
      <c r="D26" s="7">
        <v>2</v>
      </c>
      <c r="E26" s="7">
        <v>0</v>
      </c>
      <c r="F26" s="7">
        <v>1</v>
      </c>
      <c r="G26" s="7">
        <v>0</v>
      </c>
      <c r="H26" s="7">
        <v>1</v>
      </c>
      <c r="I26" s="7">
        <v>0</v>
      </c>
      <c r="J26" s="7">
        <v>0</v>
      </c>
      <c r="K26" s="7">
        <v>1</v>
      </c>
      <c r="L26" s="7">
        <v>8</v>
      </c>
    </row>
    <row r="27" spans="1:12">
      <c r="A27" s="13" t="s">
        <v>135</v>
      </c>
      <c r="B27" s="7">
        <v>2</v>
      </c>
      <c r="C27" s="7">
        <v>14</v>
      </c>
      <c r="D27" s="7">
        <v>0</v>
      </c>
      <c r="E27" s="7">
        <v>1</v>
      </c>
      <c r="F27" s="7">
        <v>6</v>
      </c>
      <c r="G27" s="7">
        <v>0</v>
      </c>
      <c r="H27" s="7">
        <v>1</v>
      </c>
      <c r="I27" s="7">
        <v>0</v>
      </c>
      <c r="J27" s="7">
        <v>0</v>
      </c>
      <c r="K27" s="7">
        <v>14</v>
      </c>
      <c r="L27" s="7">
        <v>38</v>
      </c>
    </row>
    <row r="28" spans="1:12">
      <c r="A28" s="13" t="s">
        <v>216</v>
      </c>
      <c r="B28" s="7">
        <v>6</v>
      </c>
      <c r="C28" s="7">
        <v>0</v>
      </c>
      <c r="D28" s="7">
        <v>0</v>
      </c>
      <c r="E28" s="7">
        <v>0</v>
      </c>
      <c r="F28" s="7">
        <v>0</v>
      </c>
      <c r="G28" s="7">
        <v>0</v>
      </c>
      <c r="H28" s="7">
        <v>0</v>
      </c>
      <c r="I28" s="7">
        <v>0</v>
      </c>
      <c r="J28" s="7">
        <v>0</v>
      </c>
      <c r="K28" s="7">
        <v>5</v>
      </c>
      <c r="L28" s="7">
        <v>11</v>
      </c>
    </row>
    <row r="30" spans="1:12">
      <c r="A30" s="3" t="s">
        <v>1028</v>
      </c>
      <c r="B30" s="6" t="s">
        <v>160</v>
      </c>
      <c r="C30" s="6" t="s">
        <v>193</v>
      </c>
      <c r="D30" s="6" t="s">
        <v>172</v>
      </c>
      <c r="E30" s="6" t="s">
        <v>149</v>
      </c>
      <c r="F30" s="6" t="s">
        <v>166</v>
      </c>
      <c r="G30" s="6" t="s">
        <v>142</v>
      </c>
      <c r="H30" s="6" t="s">
        <v>221</v>
      </c>
      <c r="I30" s="6" t="s">
        <v>423</v>
      </c>
      <c r="J30" s="6" t="s">
        <v>386</v>
      </c>
      <c r="K30" s="6" t="s">
        <v>134</v>
      </c>
    </row>
    <row r="31" spans="1:12">
      <c r="A31" s="13" t="s">
        <v>230</v>
      </c>
      <c r="B31" s="14">
        <v>25</v>
      </c>
      <c r="C31" s="14">
        <v>8.300000000000001</v>
      </c>
      <c r="D31" s="14">
        <v>8.300000000000001</v>
      </c>
      <c r="E31" s="14">
        <v>0</v>
      </c>
      <c r="F31" s="14">
        <v>8.300000000000001</v>
      </c>
      <c r="G31" s="14">
        <v>0</v>
      </c>
      <c r="H31" s="14">
        <v>0</v>
      </c>
      <c r="I31" s="14">
        <v>0</v>
      </c>
      <c r="J31" s="14">
        <v>0</v>
      </c>
      <c r="K31" s="14">
        <v>50</v>
      </c>
    </row>
    <row r="32" spans="1:12">
      <c r="A32" s="13" t="s">
        <v>988</v>
      </c>
      <c r="B32" s="14">
        <v>16.7</v>
      </c>
      <c r="C32" s="14">
        <v>0</v>
      </c>
      <c r="D32" s="14">
        <v>0</v>
      </c>
      <c r="E32" s="14">
        <v>0</v>
      </c>
      <c r="F32" s="14">
        <v>0</v>
      </c>
      <c r="G32" s="14">
        <v>50</v>
      </c>
      <c r="H32" s="14">
        <v>0</v>
      </c>
      <c r="I32" s="14">
        <v>0</v>
      </c>
      <c r="J32" s="14">
        <v>0</v>
      </c>
      <c r="K32" s="14">
        <v>33.3</v>
      </c>
    </row>
    <row r="33" spans="1:11">
      <c r="A33" s="13" t="s">
        <v>188</v>
      </c>
      <c r="B33" s="14">
        <v>0</v>
      </c>
      <c r="C33" s="14">
        <v>20</v>
      </c>
      <c r="D33" s="14">
        <v>0</v>
      </c>
      <c r="E33" s="14">
        <v>0</v>
      </c>
      <c r="F33" s="14">
        <v>10</v>
      </c>
      <c r="G33" s="14">
        <v>30</v>
      </c>
      <c r="H33" s="14">
        <v>0</v>
      </c>
      <c r="I33" s="14">
        <v>0</v>
      </c>
      <c r="J33" s="14">
        <v>0</v>
      </c>
      <c r="K33" s="14">
        <v>40</v>
      </c>
    </row>
    <row r="34" spans="1:11">
      <c r="A34" s="13" t="s">
        <v>183</v>
      </c>
      <c r="B34" s="14">
        <v>29.2</v>
      </c>
      <c r="C34" s="14">
        <v>8.300000000000001</v>
      </c>
      <c r="D34" s="14">
        <v>4.2</v>
      </c>
      <c r="E34" s="14">
        <v>0</v>
      </c>
      <c r="F34" s="14">
        <v>0</v>
      </c>
      <c r="G34" s="14">
        <v>0</v>
      </c>
      <c r="H34" s="14">
        <v>0</v>
      </c>
      <c r="I34" s="14">
        <v>0</v>
      </c>
      <c r="J34" s="14">
        <v>0</v>
      </c>
      <c r="K34" s="14">
        <v>58.3</v>
      </c>
    </row>
    <row r="35" spans="1:11">
      <c r="A35" s="13" t="s">
        <v>250</v>
      </c>
      <c r="B35" s="14">
        <v>46.2</v>
      </c>
      <c r="C35" s="14">
        <v>0</v>
      </c>
      <c r="D35" s="14">
        <v>0</v>
      </c>
      <c r="E35" s="14">
        <v>0</v>
      </c>
      <c r="F35" s="14">
        <v>7.7</v>
      </c>
      <c r="G35" s="14">
        <v>0</v>
      </c>
      <c r="H35" s="14">
        <v>0</v>
      </c>
      <c r="I35" s="14">
        <v>7.7</v>
      </c>
      <c r="J35" s="14">
        <v>0</v>
      </c>
      <c r="K35" s="14">
        <v>38.5</v>
      </c>
    </row>
    <row r="36" spans="1:11">
      <c r="A36" s="13" t="s">
        <v>352</v>
      </c>
      <c r="B36" s="14">
        <v>57.1</v>
      </c>
      <c r="C36" s="14">
        <v>0</v>
      </c>
      <c r="D36" s="14">
        <v>14.3</v>
      </c>
      <c r="E36" s="14">
        <v>0</v>
      </c>
      <c r="F36" s="14">
        <v>0</v>
      </c>
      <c r="G36" s="14">
        <v>0</v>
      </c>
      <c r="H36" s="14">
        <v>0</v>
      </c>
      <c r="I36" s="14">
        <v>0</v>
      </c>
      <c r="J36" s="14">
        <v>0</v>
      </c>
      <c r="K36" s="14">
        <v>28.6</v>
      </c>
    </row>
    <row r="37" spans="1:11">
      <c r="A37" s="13" t="s">
        <v>194</v>
      </c>
      <c r="B37" s="14">
        <v>0</v>
      </c>
      <c r="C37" s="14">
        <v>25</v>
      </c>
      <c r="D37" s="14">
        <v>0</v>
      </c>
      <c r="E37" s="14">
        <v>75</v>
      </c>
      <c r="F37" s="14">
        <v>0</v>
      </c>
      <c r="G37" s="14">
        <v>0</v>
      </c>
      <c r="H37" s="14">
        <v>0</v>
      </c>
      <c r="I37" s="14">
        <v>0</v>
      </c>
      <c r="J37" s="14">
        <v>0</v>
      </c>
      <c r="K37" s="14">
        <v>0</v>
      </c>
    </row>
    <row r="38" spans="1:11">
      <c r="A38" s="13" t="s">
        <v>143</v>
      </c>
      <c r="B38" s="14">
        <v>32.5</v>
      </c>
      <c r="C38" s="14">
        <v>2.5</v>
      </c>
      <c r="D38" s="14">
        <v>12.5</v>
      </c>
      <c r="E38" s="14">
        <v>2.5</v>
      </c>
      <c r="F38" s="14">
        <v>10</v>
      </c>
      <c r="G38" s="14">
        <v>5</v>
      </c>
      <c r="H38" s="14">
        <v>0</v>
      </c>
      <c r="I38" s="14">
        <v>0</v>
      </c>
      <c r="J38" s="14">
        <v>5</v>
      </c>
      <c r="K38" s="14">
        <v>30</v>
      </c>
    </row>
    <row r="39" spans="1:11">
      <c r="A39" s="13" t="s">
        <v>243</v>
      </c>
      <c r="B39" s="14">
        <v>27.8</v>
      </c>
      <c r="C39" s="14">
        <v>5.6</v>
      </c>
      <c r="D39" s="14">
        <v>5.6</v>
      </c>
      <c r="E39" s="14">
        <v>0</v>
      </c>
      <c r="F39" s="14">
        <v>5.6</v>
      </c>
      <c r="G39" s="14">
        <v>0</v>
      </c>
      <c r="H39" s="14">
        <v>11.1</v>
      </c>
      <c r="I39" s="14">
        <v>5.6</v>
      </c>
      <c r="J39" s="14">
        <v>0</v>
      </c>
      <c r="K39" s="14">
        <v>38.9</v>
      </c>
    </row>
    <row r="40" spans="1:11">
      <c r="A40" s="13" t="s">
        <v>361</v>
      </c>
      <c r="B40" s="14">
        <v>62.5</v>
      </c>
      <c r="C40" s="14">
        <v>0</v>
      </c>
      <c r="D40" s="14">
        <v>12.5</v>
      </c>
      <c r="E40" s="14">
        <v>0</v>
      </c>
      <c r="F40" s="14">
        <v>12.5</v>
      </c>
      <c r="G40" s="14">
        <v>0</v>
      </c>
      <c r="H40" s="14">
        <v>0</v>
      </c>
      <c r="I40" s="14">
        <v>0</v>
      </c>
      <c r="J40" s="14">
        <v>0</v>
      </c>
      <c r="K40" s="14">
        <v>12.5</v>
      </c>
    </row>
    <row r="41" spans="1:11">
      <c r="A41" s="13" t="s">
        <v>477</v>
      </c>
      <c r="B41" s="14">
        <v>0</v>
      </c>
      <c r="C41" s="14">
        <v>0</v>
      </c>
      <c r="D41" s="14">
        <v>0</v>
      </c>
      <c r="E41" s="14">
        <v>25</v>
      </c>
      <c r="F41" s="14">
        <v>0</v>
      </c>
      <c r="G41" s="14">
        <v>0</v>
      </c>
      <c r="H41" s="14">
        <v>25</v>
      </c>
      <c r="I41" s="14">
        <v>0</v>
      </c>
      <c r="J41" s="14">
        <v>0</v>
      </c>
      <c r="K41" s="14">
        <v>50</v>
      </c>
    </row>
    <row r="42" spans="1:11">
      <c r="A42" s="13" t="s">
        <v>500</v>
      </c>
      <c r="B42" s="14">
        <v>20</v>
      </c>
      <c r="C42" s="14">
        <v>0</v>
      </c>
      <c r="D42" s="14">
        <v>0</v>
      </c>
      <c r="E42" s="14">
        <v>20</v>
      </c>
      <c r="F42" s="14">
        <v>40</v>
      </c>
      <c r="G42" s="14">
        <v>0</v>
      </c>
      <c r="H42" s="14">
        <v>0</v>
      </c>
      <c r="I42" s="14">
        <v>0</v>
      </c>
      <c r="J42" s="14">
        <v>0</v>
      </c>
      <c r="K42" s="14">
        <v>20</v>
      </c>
    </row>
    <row r="43" spans="1:11">
      <c r="A43" s="13" t="s">
        <v>255</v>
      </c>
      <c r="B43" s="14">
        <v>33.3</v>
      </c>
      <c r="C43" s="14">
        <v>0</v>
      </c>
      <c r="D43" s="14">
        <v>0</v>
      </c>
      <c r="E43" s="14">
        <v>28.6</v>
      </c>
      <c r="F43" s="14">
        <v>23.8</v>
      </c>
      <c r="G43" s="14">
        <v>0</v>
      </c>
      <c r="H43" s="14">
        <v>0</v>
      </c>
      <c r="I43" s="14">
        <v>0</v>
      </c>
      <c r="J43" s="14">
        <v>0</v>
      </c>
      <c r="K43" s="14">
        <v>14.3</v>
      </c>
    </row>
    <row r="44" spans="1:11">
      <c r="A44" s="13" t="s">
        <v>161</v>
      </c>
      <c r="B44" s="14">
        <v>57.1</v>
      </c>
      <c r="C44" s="14">
        <v>0</v>
      </c>
      <c r="D44" s="14">
        <v>4.8</v>
      </c>
      <c r="E44" s="14">
        <v>23.8</v>
      </c>
      <c r="F44" s="14">
        <v>4.8</v>
      </c>
      <c r="G44" s="14">
        <v>0</v>
      </c>
      <c r="H44" s="14">
        <v>0</v>
      </c>
      <c r="I44" s="14">
        <v>0</v>
      </c>
      <c r="J44" s="14">
        <v>0</v>
      </c>
      <c r="K44" s="14">
        <v>9.5</v>
      </c>
    </row>
    <row r="45" spans="1:11">
      <c r="A45" s="13" t="s">
        <v>173</v>
      </c>
      <c r="B45" s="14">
        <v>0</v>
      </c>
      <c r="C45" s="14">
        <v>0</v>
      </c>
      <c r="D45" s="14">
        <v>33.3</v>
      </c>
      <c r="E45" s="14">
        <v>16.7</v>
      </c>
      <c r="F45" s="14">
        <v>16.7</v>
      </c>
      <c r="G45" s="14">
        <v>0</v>
      </c>
      <c r="H45" s="14">
        <v>0</v>
      </c>
      <c r="I45" s="14">
        <v>0</v>
      </c>
      <c r="J45" s="14">
        <v>0</v>
      </c>
      <c r="K45" s="14">
        <v>33.3</v>
      </c>
    </row>
    <row r="46" spans="1:11">
      <c r="A46" s="13" t="s">
        <v>150</v>
      </c>
      <c r="B46" s="14">
        <v>25</v>
      </c>
      <c r="C46" s="14">
        <v>0</v>
      </c>
      <c r="D46" s="14">
        <v>0</v>
      </c>
      <c r="E46" s="14">
        <v>25</v>
      </c>
      <c r="F46" s="14">
        <v>0</v>
      </c>
      <c r="G46" s="14">
        <v>0</v>
      </c>
      <c r="H46" s="14">
        <v>0</v>
      </c>
      <c r="I46" s="14">
        <v>0</v>
      </c>
      <c r="J46" s="14">
        <v>0</v>
      </c>
      <c r="K46" s="14">
        <v>50</v>
      </c>
    </row>
    <row r="47" spans="1:11">
      <c r="A47" s="13" t="s">
        <v>300</v>
      </c>
      <c r="B47" s="14">
        <v>10</v>
      </c>
      <c r="C47" s="14">
        <v>0</v>
      </c>
      <c r="D47" s="14">
        <v>0</v>
      </c>
      <c r="E47" s="14">
        <v>30</v>
      </c>
      <c r="F47" s="14">
        <v>10</v>
      </c>
      <c r="G47" s="14">
        <v>0</v>
      </c>
      <c r="H47" s="14">
        <v>0</v>
      </c>
      <c r="I47" s="14">
        <v>0</v>
      </c>
      <c r="J47" s="14">
        <v>0</v>
      </c>
      <c r="K47" s="14">
        <v>50</v>
      </c>
    </row>
    <row r="48" spans="1:11">
      <c r="A48" s="13" t="s">
        <v>167</v>
      </c>
      <c r="B48" s="14">
        <v>0</v>
      </c>
      <c r="C48" s="14">
        <v>0</v>
      </c>
      <c r="D48" s="14">
        <v>10</v>
      </c>
      <c r="E48" s="14">
        <v>0</v>
      </c>
      <c r="F48" s="14">
        <v>60</v>
      </c>
      <c r="G48" s="14">
        <v>0</v>
      </c>
      <c r="H48" s="14">
        <v>0</v>
      </c>
      <c r="I48" s="14">
        <v>10</v>
      </c>
      <c r="J48" s="14">
        <v>0</v>
      </c>
      <c r="K48" s="14">
        <v>20</v>
      </c>
    </row>
    <row r="49" spans="1:11">
      <c r="A49" s="13" t="s">
        <v>612</v>
      </c>
      <c r="B49" s="14">
        <v>0</v>
      </c>
      <c r="C49" s="14">
        <v>0</v>
      </c>
      <c r="D49" s="14">
        <v>0</v>
      </c>
      <c r="E49" s="14">
        <v>100</v>
      </c>
      <c r="F49" s="14">
        <v>0</v>
      </c>
      <c r="G49" s="14">
        <v>0</v>
      </c>
      <c r="H49" s="14">
        <v>0</v>
      </c>
      <c r="I49" s="14">
        <v>0</v>
      </c>
      <c r="J49" s="14">
        <v>0</v>
      </c>
      <c r="K49" s="14">
        <v>0</v>
      </c>
    </row>
    <row r="50" spans="1:11">
      <c r="A50" s="13" t="s">
        <v>178</v>
      </c>
      <c r="B50" s="14">
        <v>20</v>
      </c>
      <c r="C50" s="14">
        <v>6.7</v>
      </c>
      <c r="D50" s="14">
        <v>40</v>
      </c>
      <c r="E50" s="14">
        <v>0</v>
      </c>
      <c r="F50" s="14">
        <v>6.7</v>
      </c>
      <c r="G50" s="14">
        <v>6.7</v>
      </c>
      <c r="H50" s="14">
        <v>6.7</v>
      </c>
      <c r="I50" s="14">
        <v>0</v>
      </c>
      <c r="J50" s="14">
        <v>0</v>
      </c>
      <c r="K50" s="14">
        <v>13.3</v>
      </c>
    </row>
    <row r="51" spans="1:11">
      <c r="A51" s="13" t="s">
        <v>395</v>
      </c>
      <c r="B51" s="14">
        <v>37.5</v>
      </c>
      <c r="C51" s="14">
        <v>0</v>
      </c>
      <c r="D51" s="14">
        <v>25</v>
      </c>
      <c r="E51" s="14">
        <v>0</v>
      </c>
      <c r="F51" s="14">
        <v>12.5</v>
      </c>
      <c r="G51" s="14">
        <v>0</v>
      </c>
      <c r="H51" s="14">
        <v>12.5</v>
      </c>
      <c r="I51" s="14">
        <v>0</v>
      </c>
      <c r="J51" s="14">
        <v>0</v>
      </c>
      <c r="K51" s="14">
        <v>12.5</v>
      </c>
    </row>
    <row r="52" spans="1:11">
      <c r="A52" s="13" t="s">
        <v>135</v>
      </c>
      <c r="B52" s="14">
        <v>5.3</v>
      </c>
      <c r="C52" s="14">
        <v>36.8</v>
      </c>
      <c r="D52" s="14">
        <v>0</v>
      </c>
      <c r="E52" s="14">
        <v>2.6</v>
      </c>
      <c r="F52" s="14">
        <v>15.8</v>
      </c>
      <c r="G52" s="14">
        <v>0</v>
      </c>
      <c r="H52" s="14">
        <v>2.6</v>
      </c>
      <c r="I52" s="14">
        <v>0</v>
      </c>
      <c r="J52" s="14">
        <v>0</v>
      </c>
      <c r="K52" s="14">
        <v>36.8</v>
      </c>
    </row>
    <row r="53" spans="1:11">
      <c r="A53" s="13" t="s">
        <v>216</v>
      </c>
      <c r="B53" s="14">
        <v>54.5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0</v>
      </c>
      <c r="I53" s="14">
        <v>0</v>
      </c>
      <c r="J53" s="14">
        <v>0</v>
      </c>
      <c r="K53" s="14">
        <v>45.5</v>
      </c>
    </row>
    <row r="56" spans="1:11">
      <c r="A56" s="1" t="s">
        <v>1038</v>
      </c>
    </row>
    <row r="57" spans="1:11">
      <c r="A57" s="3" t="s">
        <v>1008</v>
      </c>
      <c r="B57" s="6" t="s">
        <v>1014</v>
      </c>
      <c r="C57" s="6" t="s">
        <v>1013</v>
      </c>
      <c r="D57" s="6" t="s">
        <v>1015</v>
      </c>
      <c r="E57" s="6" t="s">
        <v>1016</v>
      </c>
      <c r="F57" s="6" t="s">
        <v>1017</v>
      </c>
      <c r="G57" s="6" t="s">
        <v>1027</v>
      </c>
    </row>
    <row r="58" spans="1:11">
      <c r="A58" s="13" t="s">
        <v>230</v>
      </c>
      <c r="B58" s="7">
        <v>6</v>
      </c>
      <c r="C58" s="7">
        <v>2</v>
      </c>
      <c r="D58" s="7">
        <v>2</v>
      </c>
      <c r="E58" s="7">
        <v>2</v>
      </c>
      <c r="F58" s="7">
        <v>0</v>
      </c>
      <c r="G58" s="7">
        <v>12</v>
      </c>
    </row>
    <row r="59" spans="1:11">
      <c r="A59" s="13" t="s">
        <v>988</v>
      </c>
      <c r="B59" s="7">
        <v>0</v>
      </c>
      <c r="C59" s="7">
        <v>0</v>
      </c>
      <c r="D59" s="7">
        <v>1</v>
      </c>
      <c r="E59" s="7">
        <v>0</v>
      </c>
      <c r="F59" s="7">
        <v>5</v>
      </c>
      <c r="G59" s="7">
        <v>6</v>
      </c>
    </row>
    <row r="60" spans="1:11">
      <c r="A60" s="13" t="s">
        <v>188</v>
      </c>
      <c r="B60" s="7">
        <v>0</v>
      </c>
      <c r="C60" s="7">
        <v>1</v>
      </c>
      <c r="D60" s="7">
        <v>7</v>
      </c>
      <c r="E60" s="7">
        <v>1</v>
      </c>
      <c r="F60" s="7">
        <v>1</v>
      </c>
      <c r="G60" s="7">
        <v>10</v>
      </c>
    </row>
    <row r="61" spans="1:11">
      <c r="A61" s="13" t="s">
        <v>183</v>
      </c>
      <c r="B61" s="7">
        <v>9</v>
      </c>
      <c r="C61" s="7">
        <v>6</v>
      </c>
      <c r="D61" s="7">
        <v>7</v>
      </c>
      <c r="E61" s="7">
        <v>2</v>
      </c>
      <c r="F61" s="7">
        <v>0</v>
      </c>
      <c r="G61" s="7">
        <v>24</v>
      </c>
    </row>
    <row r="62" spans="1:11">
      <c r="A62" s="13" t="s">
        <v>250</v>
      </c>
      <c r="B62" s="7">
        <v>1</v>
      </c>
      <c r="C62" s="7">
        <v>6</v>
      </c>
      <c r="D62" s="7">
        <v>5</v>
      </c>
      <c r="E62" s="7">
        <v>1</v>
      </c>
      <c r="F62" s="7">
        <v>0</v>
      </c>
      <c r="G62" s="7">
        <v>13</v>
      </c>
    </row>
    <row r="63" spans="1:11">
      <c r="A63" s="13" t="s">
        <v>352</v>
      </c>
      <c r="B63" s="7">
        <v>1</v>
      </c>
      <c r="C63" s="7">
        <v>4</v>
      </c>
      <c r="D63" s="7">
        <v>2</v>
      </c>
      <c r="E63" s="7">
        <v>0</v>
      </c>
      <c r="F63" s="7">
        <v>0</v>
      </c>
      <c r="G63" s="7">
        <v>7</v>
      </c>
    </row>
    <row r="64" spans="1:11">
      <c r="A64" s="13" t="s">
        <v>194</v>
      </c>
      <c r="B64" s="7">
        <v>0</v>
      </c>
      <c r="C64" s="7">
        <v>3</v>
      </c>
      <c r="D64" s="7">
        <v>0</v>
      </c>
      <c r="E64" s="7">
        <v>1</v>
      </c>
      <c r="F64" s="7">
        <v>0</v>
      </c>
      <c r="G64" s="7">
        <v>4</v>
      </c>
    </row>
    <row r="65" spans="1:7">
      <c r="A65" s="13" t="s">
        <v>143</v>
      </c>
      <c r="B65" s="7">
        <v>6</v>
      </c>
      <c r="C65" s="7">
        <v>23</v>
      </c>
      <c r="D65" s="7">
        <v>9</v>
      </c>
      <c r="E65" s="7">
        <v>2</v>
      </c>
      <c r="F65" s="7">
        <v>0</v>
      </c>
      <c r="G65" s="7">
        <v>40</v>
      </c>
    </row>
    <row r="66" spans="1:7">
      <c r="A66" s="13" t="s">
        <v>243</v>
      </c>
      <c r="B66" s="7">
        <v>1</v>
      </c>
      <c r="C66" s="7">
        <v>10</v>
      </c>
      <c r="D66" s="7">
        <v>6</v>
      </c>
      <c r="E66" s="7">
        <v>1</v>
      </c>
      <c r="F66" s="7">
        <v>0</v>
      </c>
      <c r="G66" s="7">
        <v>18</v>
      </c>
    </row>
    <row r="67" spans="1:7">
      <c r="A67" s="13" t="s">
        <v>361</v>
      </c>
      <c r="B67" s="7">
        <v>2</v>
      </c>
      <c r="C67" s="7">
        <v>5</v>
      </c>
      <c r="D67" s="7">
        <v>1</v>
      </c>
      <c r="E67" s="7">
        <v>0</v>
      </c>
      <c r="F67" s="7">
        <v>0</v>
      </c>
      <c r="G67" s="7">
        <v>8</v>
      </c>
    </row>
    <row r="68" spans="1:7">
      <c r="A68" s="13" t="s">
        <v>477</v>
      </c>
      <c r="B68" s="7">
        <v>1</v>
      </c>
      <c r="C68" s="7">
        <v>2</v>
      </c>
      <c r="D68" s="7">
        <v>1</v>
      </c>
      <c r="E68" s="7">
        <v>0</v>
      </c>
      <c r="F68" s="7">
        <v>0</v>
      </c>
      <c r="G68" s="7">
        <v>4</v>
      </c>
    </row>
    <row r="69" spans="1:7">
      <c r="A69" s="13" t="s">
        <v>500</v>
      </c>
      <c r="B69" s="7">
        <v>3</v>
      </c>
      <c r="C69" s="7">
        <v>1</v>
      </c>
      <c r="D69" s="7">
        <v>1</v>
      </c>
      <c r="E69" s="7">
        <v>0</v>
      </c>
      <c r="F69" s="7">
        <v>0</v>
      </c>
      <c r="G69" s="7">
        <v>5</v>
      </c>
    </row>
    <row r="70" spans="1:7">
      <c r="A70" s="13" t="s">
        <v>255</v>
      </c>
      <c r="B70" s="7">
        <v>4</v>
      </c>
      <c r="C70" s="7">
        <v>14</v>
      </c>
      <c r="D70" s="7">
        <v>2</v>
      </c>
      <c r="E70" s="7">
        <v>1</v>
      </c>
      <c r="F70" s="7">
        <v>0</v>
      </c>
      <c r="G70" s="7">
        <v>21</v>
      </c>
    </row>
    <row r="71" spans="1:7">
      <c r="A71" s="13" t="s">
        <v>161</v>
      </c>
      <c r="B71" s="7">
        <v>3</v>
      </c>
      <c r="C71" s="7">
        <v>11</v>
      </c>
      <c r="D71" s="7">
        <v>6</v>
      </c>
      <c r="E71" s="7">
        <v>1</v>
      </c>
      <c r="F71" s="7">
        <v>0</v>
      </c>
      <c r="G71" s="7">
        <v>21</v>
      </c>
    </row>
    <row r="72" spans="1:7">
      <c r="A72" s="13" t="s">
        <v>173</v>
      </c>
      <c r="B72" s="7">
        <v>4</v>
      </c>
      <c r="C72" s="7">
        <v>0</v>
      </c>
      <c r="D72" s="7">
        <v>1</v>
      </c>
      <c r="E72" s="7">
        <v>1</v>
      </c>
      <c r="F72" s="7">
        <v>0</v>
      </c>
      <c r="G72" s="7">
        <v>6</v>
      </c>
    </row>
    <row r="73" spans="1:7">
      <c r="A73" s="13" t="s">
        <v>150</v>
      </c>
      <c r="B73" s="7">
        <v>1</v>
      </c>
      <c r="C73" s="7">
        <v>1</v>
      </c>
      <c r="D73" s="7">
        <v>1</v>
      </c>
      <c r="E73" s="7">
        <v>1</v>
      </c>
      <c r="F73" s="7">
        <v>0</v>
      </c>
      <c r="G73" s="7">
        <v>4</v>
      </c>
    </row>
    <row r="74" spans="1:7">
      <c r="A74" s="13" t="s">
        <v>300</v>
      </c>
      <c r="B74" s="7">
        <v>2</v>
      </c>
      <c r="C74" s="7">
        <v>4</v>
      </c>
      <c r="D74" s="7">
        <v>4</v>
      </c>
      <c r="E74" s="7">
        <v>0</v>
      </c>
      <c r="F74" s="7">
        <v>0</v>
      </c>
      <c r="G74" s="7">
        <v>10</v>
      </c>
    </row>
    <row r="75" spans="1:7">
      <c r="A75" s="13" t="s">
        <v>167</v>
      </c>
      <c r="B75" s="7">
        <v>3</v>
      </c>
      <c r="C75" s="7">
        <v>3</v>
      </c>
      <c r="D75" s="7">
        <v>1</v>
      </c>
      <c r="E75" s="7">
        <v>2</v>
      </c>
      <c r="F75" s="7">
        <v>1</v>
      </c>
      <c r="G75" s="7">
        <v>10</v>
      </c>
    </row>
    <row r="76" spans="1:7">
      <c r="A76" s="13" t="s">
        <v>612</v>
      </c>
      <c r="B76" s="7">
        <v>1</v>
      </c>
      <c r="C76" s="7">
        <v>2</v>
      </c>
      <c r="D76" s="7">
        <v>0</v>
      </c>
      <c r="E76" s="7">
        <v>1</v>
      </c>
      <c r="F76" s="7">
        <v>0</v>
      </c>
      <c r="G76" s="7">
        <v>4</v>
      </c>
    </row>
    <row r="77" spans="1:7">
      <c r="A77" s="13" t="s">
        <v>178</v>
      </c>
      <c r="B77" s="7">
        <v>3</v>
      </c>
      <c r="C77" s="7">
        <v>5</v>
      </c>
      <c r="D77" s="7">
        <v>3</v>
      </c>
      <c r="E77" s="7">
        <v>3</v>
      </c>
      <c r="F77" s="7">
        <v>1</v>
      </c>
      <c r="G77" s="7">
        <v>15</v>
      </c>
    </row>
    <row r="78" spans="1:7">
      <c r="A78" s="13" t="s">
        <v>395</v>
      </c>
      <c r="B78" s="7">
        <v>1</v>
      </c>
      <c r="C78" s="7">
        <v>4</v>
      </c>
      <c r="D78" s="7">
        <v>3</v>
      </c>
      <c r="E78" s="7">
        <v>0</v>
      </c>
      <c r="F78" s="7">
        <v>0</v>
      </c>
      <c r="G78" s="7">
        <v>8</v>
      </c>
    </row>
    <row r="79" spans="1:7">
      <c r="A79" s="13" t="s">
        <v>135</v>
      </c>
      <c r="B79" s="7">
        <v>16</v>
      </c>
      <c r="C79" s="7">
        <v>17</v>
      </c>
      <c r="D79" s="7">
        <v>3</v>
      </c>
      <c r="E79" s="7">
        <v>1</v>
      </c>
      <c r="F79" s="7">
        <v>1</v>
      </c>
      <c r="G79" s="7">
        <v>38</v>
      </c>
    </row>
    <row r="80" spans="1:7">
      <c r="A80" s="13" t="s">
        <v>216</v>
      </c>
      <c r="B80" s="7">
        <v>1</v>
      </c>
      <c r="C80" s="7">
        <v>4</v>
      </c>
      <c r="D80" s="7">
        <v>2</v>
      </c>
      <c r="E80" s="7">
        <v>4</v>
      </c>
      <c r="F80" s="7">
        <v>0</v>
      </c>
      <c r="G80" s="7">
        <v>11</v>
      </c>
    </row>
    <row r="82" spans="1:6">
      <c r="A82" s="3" t="s">
        <v>1028</v>
      </c>
      <c r="B82" s="6" t="s">
        <v>1014</v>
      </c>
      <c r="C82" s="6" t="s">
        <v>1013</v>
      </c>
      <c r="D82" s="6" t="s">
        <v>1015</v>
      </c>
      <c r="E82" s="6" t="s">
        <v>1016</v>
      </c>
      <c r="F82" s="6" t="s">
        <v>1017</v>
      </c>
    </row>
    <row r="83" spans="1:6">
      <c r="A83" s="13" t="s">
        <v>230</v>
      </c>
      <c r="B83" s="14">
        <v>50</v>
      </c>
      <c r="C83" s="14">
        <v>16.7</v>
      </c>
      <c r="D83" s="14">
        <v>16.7</v>
      </c>
      <c r="E83" s="14">
        <v>16.7</v>
      </c>
      <c r="F83" s="14">
        <v>0</v>
      </c>
    </row>
    <row r="84" spans="1:6">
      <c r="A84" s="13" t="s">
        <v>988</v>
      </c>
      <c r="B84" s="14">
        <v>0</v>
      </c>
      <c r="C84" s="14">
        <v>0</v>
      </c>
      <c r="D84" s="14">
        <v>16.7</v>
      </c>
      <c r="E84" s="14">
        <v>0</v>
      </c>
      <c r="F84" s="14">
        <v>83.3</v>
      </c>
    </row>
    <row r="85" spans="1:6">
      <c r="A85" s="13" t="s">
        <v>188</v>
      </c>
      <c r="B85" s="14">
        <v>0</v>
      </c>
      <c r="C85" s="14">
        <v>10</v>
      </c>
      <c r="D85" s="14">
        <v>70</v>
      </c>
      <c r="E85" s="14">
        <v>10</v>
      </c>
      <c r="F85" s="14">
        <v>10</v>
      </c>
    </row>
    <row r="86" spans="1:6">
      <c r="A86" s="13" t="s">
        <v>183</v>
      </c>
      <c r="B86" s="14">
        <v>37.5</v>
      </c>
      <c r="C86" s="14">
        <v>25</v>
      </c>
      <c r="D86" s="14">
        <v>29.2</v>
      </c>
      <c r="E86" s="14">
        <v>8.300000000000001</v>
      </c>
      <c r="F86" s="14">
        <v>0</v>
      </c>
    </row>
    <row r="87" spans="1:6">
      <c r="A87" s="13" t="s">
        <v>250</v>
      </c>
      <c r="B87" s="14">
        <v>7.7</v>
      </c>
      <c r="C87" s="14">
        <v>46.2</v>
      </c>
      <c r="D87" s="14">
        <v>38.5</v>
      </c>
      <c r="E87" s="14">
        <v>7.7</v>
      </c>
      <c r="F87" s="14">
        <v>0</v>
      </c>
    </row>
    <row r="88" spans="1:6">
      <c r="A88" s="13" t="s">
        <v>352</v>
      </c>
      <c r="B88" s="14">
        <v>14.3</v>
      </c>
      <c r="C88" s="14">
        <v>57.1</v>
      </c>
      <c r="D88" s="14">
        <v>28.6</v>
      </c>
      <c r="E88" s="14">
        <v>0</v>
      </c>
      <c r="F88" s="14">
        <v>0</v>
      </c>
    </row>
    <row r="89" spans="1:6">
      <c r="A89" s="13" t="s">
        <v>194</v>
      </c>
      <c r="B89" s="14">
        <v>0</v>
      </c>
      <c r="C89" s="14">
        <v>75</v>
      </c>
      <c r="D89" s="14">
        <v>0</v>
      </c>
      <c r="E89" s="14">
        <v>25</v>
      </c>
      <c r="F89" s="14">
        <v>0</v>
      </c>
    </row>
    <row r="90" spans="1:6">
      <c r="A90" s="13" t="s">
        <v>143</v>
      </c>
      <c r="B90" s="14">
        <v>15</v>
      </c>
      <c r="C90" s="14">
        <v>57.5</v>
      </c>
      <c r="D90" s="14">
        <v>22.5</v>
      </c>
      <c r="E90" s="14">
        <v>5</v>
      </c>
      <c r="F90" s="14">
        <v>0</v>
      </c>
    </row>
    <row r="91" spans="1:6">
      <c r="A91" s="13" t="s">
        <v>243</v>
      </c>
      <c r="B91" s="14">
        <v>5.6</v>
      </c>
      <c r="C91" s="14">
        <v>55.6</v>
      </c>
      <c r="D91" s="14">
        <v>33.3</v>
      </c>
      <c r="E91" s="14">
        <v>5.6</v>
      </c>
      <c r="F91" s="14">
        <v>0</v>
      </c>
    </row>
    <row r="92" spans="1:6">
      <c r="A92" s="13" t="s">
        <v>361</v>
      </c>
      <c r="B92" s="14">
        <v>25</v>
      </c>
      <c r="C92" s="14">
        <v>62.5</v>
      </c>
      <c r="D92" s="14">
        <v>12.5</v>
      </c>
      <c r="E92" s="14">
        <v>0</v>
      </c>
      <c r="F92" s="14">
        <v>0</v>
      </c>
    </row>
    <row r="93" spans="1:6">
      <c r="A93" s="13" t="s">
        <v>477</v>
      </c>
      <c r="B93" s="14">
        <v>25</v>
      </c>
      <c r="C93" s="14">
        <v>50</v>
      </c>
      <c r="D93" s="14">
        <v>25</v>
      </c>
      <c r="E93" s="14">
        <v>0</v>
      </c>
      <c r="F93" s="14">
        <v>0</v>
      </c>
    </row>
    <row r="94" spans="1:6">
      <c r="A94" s="13" t="s">
        <v>500</v>
      </c>
      <c r="B94" s="14">
        <v>60</v>
      </c>
      <c r="C94" s="14">
        <v>20</v>
      </c>
      <c r="D94" s="14">
        <v>20</v>
      </c>
      <c r="E94" s="14">
        <v>0</v>
      </c>
      <c r="F94" s="14">
        <v>0</v>
      </c>
    </row>
    <row r="95" spans="1:6">
      <c r="A95" s="13" t="s">
        <v>255</v>
      </c>
      <c r="B95" s="14">
        <v>19</v>
      </c>
      <c r="C95" s="14">
        <v>66.7</v>
      </c>
      <c r="D95" s="14">
        <v>9.5</v>
      </c>
      <c r="E95" s="14">
        <v>4.8</v>
      </c>
      <c r="F95" s="14">
        <v>0</v>
      </c>
    </row>
    <row r="96" spans="1:6">
      <c r="A96" s="13" t="s">
        <v>161</v>
      </c>
      <c r="B96" s="14">
        <v>14.3</v>
      </c>
      <c r="C96" s="14">
        <v>52.4</v>
      </c>
      <c r="D96" s="14">
        <v>28.6</v>
      </c>
      <c r="E96" s="14">
        <v>4.8</v>
      </c>
      <c r="F96" s="14">
        <v>0</v>
      </c>
    </row>
    <row r="97" spans="1:8">
      <c r="A97" s="13" t="s">
        <v>173</v>
      </c>
      <c r="B97" s="14">
        <v>66.7</v>
      </c>
      <c r="C97" s="14">
        <v>0</v>
      </c>
      <c r="D97" s="14">
        <v>16.7</v>
      </c>
      <c r="E97" s="14">
        <v>16.7</v>
      </c>
      <c r="F97" s="14">
        <v>0</v>
      </c>
    </row>
    <row r="98" spans="1:8">
      <c r="A98" s="13" t="s">
        <v>150</v>
      </c>
      <c r="B98" s="14">
        <v>25</v>
      </c>
      <c r="C98" s="14">
        <v>25</v>
      </c>
      <c r="D98" s="14">
        <v>25</v>
      </c>
      <c r="E98" s="14">
        <v>25</v>
      </c>
      <c r="F98" s="14">
        <v>0</v>
      </c>
    </row>
    <row r="99" spans="1:8">
      <c r="A99" s="13" t="s">
        <v>300</v>
      </c>
      <c r="B99" s="14">
        <v>20</v>
      </c>
      <c r="C99" s="14">
        <v>40</v>
      </c>
      <c r="D99" s="14">
        <v>40</v>
      </c>
      <c r="E99" s="14">
        <v>0</v>
      </c>
      <c r="F99" s="14">
        <v>0</v>
      </c>
    </row>
    <row r="100" spans="1:8">
      <c r="A100" s="13" t="s">
        <v>167</v>
      </c>
      <c r="B100" s="14">
        <v>30</v>
      </c>
      <c r="C100" s="14">
        <v>30</v>
      </c>
      <c r="D100" s="14">
        <v>10</v>
      </c>
      <c r="E100" s="14">
        <v>20</v>
      </c>
      <c r="F100" s="14">
        <v>10</v>
      </c>
    </row>
    <row r="101" spans="1:8">
      <c r="A101" s="13" t="s">
        <v>612</v>
      </c>
      <c r="B101" s="14">
        <v>25</v>
      </c>
      <c r="C101" s="14">
        <v>50</v>
      </c>
      <c r="D101" s="14">
        <v>0</v>
      </c>
      <c r="E101" s="14">
        <v>25</v>
      </c>
      <c r="F101" s="14">
        <v>0</v>
      </c>
    </row>
    <row r="102" spans="1:8">
      <c r="A102" s="13" t="s">
        <v>178</v>
      </c>
      <c r="B102" s="14">
        <v>20</v>
      </c>
      <c r="C102" s="14">
        <v>33.3</v>
      </c>
      <c r="D102" s="14">
        <v>20</v>
      </c>
      <c r="E102" s="14">
        <v>20</v>
      </c>
      <c r="F102" s="14">
        <v>6.7</v>
      </c>
    </row>
    <row r="103" spans="1:8">
      <c r="A103" s="13" t="s">
        <v>395</v>
      </c>
      <c r="B103" s="14">
        <v>12.5</v>
      </c>
      <c r="C103" s="14">
        <v>50</v>
      </c>
      <c r="D103" s="14">
        <v>37.5</v>
      </c>
      <c r="E103" s="14">
        <v>0</v>
      </c>
      <c r="F103" s="14">
        <v>0</v>
      </c>
    </row>
    <row r="104" spans="1:8">
      <c r="A104" s="13" t="s">
        <v>135</v>
      </c>
      <c r="B104" s="14">
        <v>42.1</v>
      </c>
      <c r="C104" s="14">
        <v>44.7</v>
      </c>
      <c r="D104" s="14">
        <v>7.9</v>
      </c>
      <c r="E104" s="14">
        <v>2.6</v>
      </c>
      <c r="F104" s="14">
        <v>2.6</v>
      </c>
    </row>
    <row r="105" spans="1:8">
      <c r="A105" s="13" t="s">
        <v>216</v>
      </c>
      <c r="B105" s="14">
        <v>9.1</v>
      </c>
      <c r="C105" s="14">
        <v>36.4</v>
      </c>
      <c r="D105" s="14">
        <v>18.2</v>
      </c>
      <c r="E105" s="14">
        <v>36.4</v>
      </c>
      <c r="F105" s="14">
        <v>0</v>
      </c>
    </row>
    <row r="108" spans="1:8">
      <c r="A108" s="1" t="s">
        <v>1039</v>
      </c>
    </row>
    <row r="109" spans="1:8">
      <c r="A109" s="3" t="s">
        <v>1008</v>
      </c>
      <c r="B109" s="6" t="s">
        <v>1022</v>
      </c>
      <c r="C109" s="6" t="s">
        <v>1024</v>
      </c>
      <c r="D109" s="6" t="s">
        <v>1021</v>
      </c>
      <c r="E109" s="6" t="s">
        <v>1020</v>
      </c>
      <c r="F109" s="6" t="s">
        <v>1023</v>
      </c>
      <c r="G109" s="6" t="s">
        <v>1025</v>
      </c>
      <c r="H109" s="6" t="s">
        <v>1027</v>
      </c>
    </row>
    <row r="110" spans="1:8">
      <c r="A110" s="13" t="s">
        <v>230</v>
      </c>
      <c r="B110" s="7">
        <v>5</v>
      </c>
      <c r="C110" s="7">
        <v>1</v>
      </c>
      <c r="D110" s="7">
        <v>2</v>
      </c>
      <c r="E110" s="7">
        <v>3</v>
      </c>
      <c r="F110" s="7">
        <v>1</v>
      </c>
      <c r="G110" s="7">
        <v>0</v>
      </c>
      <c r="H110" s="7">
        <v>12</v>
      </c>
    </row>
    <row r="111" spans="1:8">
      <c r="A111" s="13" t="s">
        <v>988</v>
      </c>
      <c r="B111" s="7">
        <v>1</v>
      </c>
      <c r="C111" s="7">
        <v>0</v>
      </c>
      <c r="D111" s="7">
        <v>0</v>
      </c>
      <c r="E111" s="7">
        <v>4</v>
      </c>
      <c r="F111" s="7">
        <v>1</v>
      </c>
      <c r="G111" s="7">
        <v>0</v>
      </c>
      <c r="H111" s="7">
        <v>6</v>
      </c>
    </row>
    <row r="112" spans="1:8">
      <c r="A112" s="13" t="s">
        <v>188</v>
      </c>
      <c r="B112" s="7">
        <v>0</v>
      </c>
      <c r="C112" s="7">
        <v>0</v>
      </c>
      <c r="D112" s="7">
        <v>2</v>
      </c>
      <c r="E112" s="7">
        <v>5</v>
      </c>
      <c r="F112" s="7">
        <v>3</v>
      </c>
      <c r="G112" s="7">
        <v>0</v>
      </c>
      <c r="H112" s="7">
        <v>10</v>
      </c>
    </row>
    <row r="113" spans="1:8">
      <c r="A113" s="13" t="s">
        <v>183</v>
      </c>
      <c r="B113" s="7">
        <v>4</v>
      </c>
      <c r="C113" s="7">
        <v>1</v>
      </c>
      <c r="D113" s="7">
        <v>4</v>
      </c>
      <c r="E113" s="7">
        <v>14</v>
      </c>
      <c r="F113" s="7">
        <v>1</v>
      </c>
      <c r="G113" s="7">
        <v>0</v>
      </c>
      <c r="H113" s="7">
        <v>24</v>
      </c>
    </row>
    <row r="114" spans="1:8">
      <c r="A114" s="13" t="s">
        <v>250</v>
      </c>
      <c r="B114" s="7">
        <v>2</v>
      </c>
      <c r="C114" s="7">
        <v>0</v>
      </c>
      <c r="D114" s="7">
        <v>6</v>
      </c>
      <c r="E114" s="7">
        <v>5</v>
      </c>
      <c r="F114" s="7">
        <v>0</v>
      </c>
      <c r="G114" s="7">
        <v>0</v>
      </c>
      <c r="H114" s="7">
        <v>13</v>
      </c>
    </row>
    <row r="115" spans="1:8">
      <c r="A115" s="13" t="s">
        <v>352</v>
      </c>
      <c r="B115" s="7">
        <v>1</v>
      </c>
      <c r="C115" s="7">
        <v>0</v>
      </c>
      <c r="D115" s="7">
        <v>4</v>
      </c>
      <c r="E115" s="7">
        <v>2</v>
      </c>
      <c r="F115" s="7">
        <v>0</v>
      </c>
      <c r="G115" s="7">
        <v>0</v>
      </c>
      <c r="H115" s="7">
        <v>7</v>
      </c>
    </row>
    <row r="116" spans="1:8">
      <c r="A116" s="13" t="s">
        <v>194</v>
      </c>
      <c r="B116" s="7">
        <v>0</v>
      </c>
      <c r="C116" s="7">
        <v>0</v>
      </c>
      <c r="D116" s="7">
        <v>0</v>
      </c>
      <c r="E116" s="7">
        <v>3</v>
      </c>
      <c r="F116" s="7">
        <v>1</v>
      </c>
      <c r="G116" s="7">
        <v>0</v>
      </c>
      <c r="H116" s="7">
        <v>4</v>
      </c>
    </row>
    <row r="117" spans="1:8">
      <c r="A117" s="13" t="s">
        <v>143</v>
      </c>
      <c r="B117" s="7">
        <v>1</v>
      </c>
      <c r="C117" s="7">
        <v>1</v>
      </c>
      <c r="D117" s="7">
        <v>21</v>
      </c>
      <c r="E117" s="7">
        <v>13</v>
      </c>
      <c r="F117" s="7">
        <v>4</v>
      </c>
      <c r="G117" s="7">
        <v>0</v>
      </c>
      <c r="H117" s="7">
        <v>40</v>
      </c>
    </row>
    <row r="118" spans="1:8">
      <c r="A118" s="13" t="s">
        <v>243</v>
      </c>
      <c r="B118" s="7">
        <v>1</v>
      </c>
      <c r="C118" s="7">
        <v>2</v>
      </c>
      <c r="D118" s="7">
        <v>7</v>
      </c>
      <c r="E118" s="7">
        <v>7</v>
      </c>
      <c r="F118" s="7">
        <v>1</v>
      </c>
      <c r="G118" s="7">
        <v>0</v>
      </c>
      <c r="H118" s="7">
        <v>18</v>
      </c>
    </row>
    <row r="119" spans="1:8">
      <c r="A119" s="13" t="s">
        <v>361</v>
      </c>
      <c r="B119" s="7">
        <v>0</v>
      </c>
      <c r="C119" s="7">
        <v>0</v>
      </c>
      <c r="D119" s="7">
        <v>3</v>
      </c>
      <c r="E119" s="7">
        <v>4</v>
      </c>
      <c r="F119" s="7">
        <v>1</v>
      </c>
      <c r="G119" s="7">
        <v>0</v>
      </c>
      <c r="H119" s="7">
        <v>8</v>
      </c>
    </row>
    <row r="120" spans="1:8">
      <c r="A120" s="13" t="s">
        <v>477</v>
      </c>
      <c r="B120" s="7">
        <v>0</v>
      </c>
      <c r="C120" s="7">
        <v>0</v>
      </c>
      <c r="D120" s="7">
        <v>2</v>
      </c>
      <c r="E120" s="7">
        <v>1</v>
      </c>
      <c r="F120" s="7">
        <v>1</v>
      </c>
      <c r="G120" s="7">
        <v>0</v>
      </c>
      <c r="H120" s="7">
        <v>4</v>
      </c>
    </row>
    <row r="121" spans="1:8">
      <c r="A121" s="13" t="s">
        <v>500</v>
      </c>
      <c r="B121" s="7">
        <v>0</v>
      </c>
      <c r="C121" s="7">
        <v>1</v>
      </c>
      <c r="D121" s="7">
        <v>2</v>
      </c>
      <c r="E121" s="7">
        <v>2</v>
      </c>
      <c r="F121" s="7">
        <v>0</v>
      </c>
      <c r="G121" s="7">
        <v>0</v>
      </c>
      <c r="H121" s="7">
        <v>5</v>
      </c>
    </row>
    <row r="122" spans="1:8">
      <c r="A122" s="13" t="s">
        <v>255</v>
      </c>
      <c r="B122" s="7">
        <v>0</v>
      </c>
      <c r="C122" s="7">
        <v>3</v>
      </c>
      <c r="D122" s="7">
        <v>5</v>
      </c>
      <c r="E122" s="7">
        <v>12</v>
      </c>
      <c r="F122" s="7">
        <v>1</v>
      </c>
      <c r="G122" s="7">
        <v>0</v>
      </c>
      <c r="H122" s="7">
        <v>21</v>
      </c>
    </row>
    <row r="123" spans="1:8">
      <c r="A123" s="13" t="s">
        <v>161</v>
      </c>
      <c r="B123" s="7">
        <v>1</v>
      </c>
      <c r="C123" s="7">
        <v>0</v>
      </c>
      <c r="D123" s="7">
        <v>7</v>
      </c>
      <c r="E123" s="7">
        <v>12</v>
      </c>
      <c r="F123" s="7">
        <v>1</v>
      </c>
      <c r="G123" s="7">
        <v>0</v>
      </c>
      <c r="H123" s="7">
        <v>21</v>
      </c>
    </row>
    <row r="124" spans="1:8">
      <c r="A124" s="13" t="s">
        <v>173</v>
      </c>
      <c r="B124" s="7">
        <v>2</v>
      </c>
      <c r="C124" s="7">
        <v>0</v>
      </c>
      <c r="D124" s="7">
        <v>2</v>
      </c>
      <c r="E124" s="7">
        <v>2</v>
      </c>
      <c r="F124" s="7">
        <v>0</v>
      </c>
      <c r="G124" s="7">
        <v>0</v>
      </c>
      <c r="H124" s="7">
        <v>6</v>
      </c>
    </row>
    <row r="125" spans="1:8">
      <c r="A125" s="13" t="s">
        <v>150</v>
      </c>
      <c r="B125" s="7">
        <v>1</v>
      </c>
      <c r="C125" s="7">
        <v>0</v>
      </c>
      <c r="D125" s="7">
        <v>2</v>
      </c>
      <c r="E125" s="7">
        <v>0</v>
      </c>
      <c r="F125" s="7">
        <v>1</v>
      </c>
      <c r="G125" s="7">
        <v>0</v>
      </c>
      <c r="H125" s="7">
        <v>4</v>
      </c>
    </row>
    <row r="126" spans="1:8">
      <c r="A126" s="13" t="s">
        <v>300</v>
      </c>
      <c r="B126" s="7">
        <v>0</v>
      </c>
      <c r="C126" s="7">
        <v>1</v>
      </c>
      <c r="D126" s="7">
        <v>5</v>
      </c>
      <c r="E126" s="7">
        <v>3</v>
      </c>
      <c r="F126" s="7">
        <v>1</v>
      </c>
      <c r="G126" s="7">
        <v>0</v>
      </c>
      <c r="H126" s="7">
        <v>10</v>
      </c>
    </row>
    <row r="127" spans="1:8">
      <c r="A127" s="13" t="s">
        <v>167</v>
      </c>
      <c r="B127" s="7">
        <v>1</v>
      </c>
      <c r="C127" s="7">
        <v>0</v>
      </c>
      <c r="D127" s="7">
        <v>3</v>
      </c>
      <c r="E127" s="7">
        <v>3</v>
      </c>
      <c r="F127" s="7">
        <v>3</v>
      </c>
      <c r="G127" s="7">
        <v>0</v>
      </c>
      <c r="H127" s="7">
        <v>10</v>
      </c>
    </row>
    <row r="128" spans="1:8">
      <c r="A128" s="13" t="s">
        <v>612</v>
      </c>
      <c r="B128" s="7">
        <v>0</v>
      </c>
      <c r="C128" s="7">
        <v>0</v>
      </c>
      <c r="D128" s="7">
        <v>0</v>
      </c>
      <c r="E128" s="7">
        <v>4</v>
      </c>
      <c r="F128" s="7">
        <v>0</v>
      </c>
      <c r="G128" s="7">
        <v>0</v>
      </c>
      <c r="H128" s="7">
        <v>4</v>
      </c>
    </row>
    <row r="129" spans="1:8">
      <c r="A129" s="13" t="s">
        <v>178</v>
      </c>
      <c r="B129" s="7">
        <v>3</v>
      </c>
      <c r="C129" s="7">
        <v>1</v>
      </c>
      <c r="D129" s="7">
        <v>3</v>
      </c>
      <c r="E129" s="7">
        <v>6</v>
      </c>
      <c r="F129" s="7">
        <v>2</v>
      </c>
      <c r="G129" s="7">
        <v>0</v>
      </c>
      <c r="H129" s="7">
        <v>15</v>
      </c>
    </row>
    <row r="130" spans="1:8">
      <c r="A130" s="13" t="s">
        <v>395</v>
      </c>
      <c r="B130" s="7">
        <v>0</v>
      </c>
      <c r="C130" s="7">
        <v>1</v>
      </c>
      <c r="D130" s="7">
        <v>4</v>
      </c>
      <c r="E130" s="7">
        <v>3</v>
      </c>
      <c r="F130" s="7">
        <v>0</v>
      </c>
      <c r="G130" s="7">
        <v>0</v>
      </c>
      <c r="H130" s="7">
        <v>8</v>
      </c>
    </row>
    <row r="131" spans="1:8">
      <c r="A131" s="13" t="s">
        <v>135</v>
      </c>
      <c r="B131" s="7">
        <v>6</v>
      </c>
      <c r="C131" s="7">
        <v>5</v>
      </c>
      <c r="D131" s="7">
        <v>18</v>
      </c>
      <c r="E131" s="7">
        <v>7</v>
      </c>
      <c r="F131" s="7">
        <v>1</v>
      </c>
      <c r="G131" s="7">
        <v>1</v>
      </c>
      <c r="H131" s="7">
        <v>38</v>
      </c>
    </row>
    <row r="132" spans="1:8">
      <c r="A132" s="13" t="s">
        <v>216</v>
      </c>
      <c r="B132" s="7">
        <v>0</v>
      </c>
      <c r="C132" s="7">
        <v>0</v>
      </c>
      <c r="D132" s="7">
        <v>5</v>
      </c>
      <c r="E132" s="7">
        <v>5</v>
      </c>
      <c r="F132" s="7">
        <v>1</v>
      </c>
      <c r="G132" s="7">
        <v>0</v>
      </c>
      <c r="H132" s="7">
        <v>11</v>
      </c>
    </row>
    <row r="134" spans="1:8">
      <c r="A134" s="3" t="s">
        <v>1028</v>
      </c>
      <c r="B134" s="6" t="s">
        <v>1022</v>
      </c>
      <c r="C134" s="6" t="s">
        <v>1024</v>
      </c>
      <c r="D134" s="6" t="s">
        <v>1021</v>
      </c>
      <c r="E134" s="6" t="s">
        <v>1020</v>
      </c>
      <c r="F134" s="6" t="s">
        <v>1023</v>
      </c>
      <c r="G134" s="6" t="s">
        <v>1025</v>
      </c>
    </row>
    <row r="135" spans="1:8">
      <c r="A135" s="13" t="s">
        <v>230</v>
      </c>
      <c r="B135" s="14">
        <v>41.7</v>
      </c>
      <c r="C135" s="14">
        <v>8.300000000000001</v>
      </c>
      <c r="D135" s="14">
        <v>16.7</v>
      </c>
      <c r="E135" s="14">
        <v>25</v>
      </c>
      <c r="F135" s="14">
        <v>8.300000000000001</v>
      </c>
      <c r="G135" s="14">
        <v>0</v>
      </c>
    </row>
    <row r="136" spans="1:8">
      <c r="A136" s="13" t="s">
        <v>988</v>
      </c>
      <c r="B136" s="14">
        <v>16.7</v>
      </c>
      <c r="C136" s="14">
        <v>0</v>
      </c>
      <c r="D136" s="14">
        <v>0</v>
      </c>
      <c r="E136" s="14">
        <v>66.7</v>
      </c>
      <c r="F136" s="14">
        <v>16.7</v>
      </c>
      <c r="G136" s="14">
        <v>0</v>
      </c>
    </row>
    <row r="137" spans="1:8">
      <c r="A137" s="13" t="s">
        <v>188</v>
      </c>
      <c r="B137" s="14">
        <v>0</v>
      </c>
      <c r="C137" s="14">
        <v>0</v>
      </c>
      <c r="D137" s="14">
        <v>20</v>
      </c>
      <c r="E137" s="14">
        <v>50</v>
      </c>
      <c r="F137" s="14">
        <v>30</v>
      </c>
      <c r="G137" s="14">
        <v>0</v>
      </c>
    </row>
    <row r="138" spans="1:8">
      <c r="A138" s="13" t="s">
        <v>183</v>
      </c>
      <c r="B138" s="14">
        <v>16.7</v>
      </c>
      <c r="C138" s="14">
        <v>4.2</v>
      </c>
      <c r="D138" s="14">
        <v>16.7</v>
      </c>
      <c r="E138" s="14">
        <v>58.3</v>
      </c>
      <c r="F138" s="14">
        <v>4.2</v>
      </c>
      <c r="G138" s="14">
        <v>0</v>
      </c>
    </row>
    <row r="139" spans="1:8">
      <c r="A139" s="13" t="s">
        <v>250</v>
      </c>
      <c r="B139" s="14">
        <v>15.4</v>
      </c>
      <c r="C139" s="14">
        <v>0</v>
      </c>
      <c r="D139" s="14">
        <v>46.2</v>
      </c>
      <c r="E139" s="14">
        <v>38.5</v>
      </c>
      <c r="F139" s="14">
        <v>0</v>
      </c>
      <c r="G139" s="14">
        <v>0</v>
      </c>
    </row>
    <row r="140" spans="1:8">
      <c r="A140" s="13" t="s">
        <v>352</v>
      </c>
      <c r="B140" s="14">
        <v>14.3</v>
      </c>
      <c r="C140" s="14">
        <v>0</v>
      </c>
      <c r="D140" s="14">
        <v>57.1</v>
      </c>
      <c r="E140" s="14">
        <v>28.6</v>
      </c>
      <c r="F140" s="14">
        <v>0</v>
      </c>
      <c r="G140" s="14">
        <v>0</v>
      </c>
    </row>
    <row r="141" spans="1:8">
      <c r="A141" s="13" t="s">
        <v>194</v>
      </c>
      <c r="B141" s="14">
        <v>0</v>
      </c>
      <c r="C141" s="14">
        <v>0</v>
      </c>
      <c r="D141" s="14">
        <v>0</v>
      </c>
      <c r="E141" s="14">
        <v>75</v>
      </c>
      <c r="F141" s="14">
        <v>25</v>
      </c>
      <c r="G141" s="14">
        <v>0</v>
      </c>
    </row>
    <row r="142" spans="1:8">
      <c r="A142" s="13" t="s">
        <v>143</v>
      </c>
      <c r="B142" s="14">
        <v>2.5</v>
      </c>
      <c r="C142" s="14">
        <v>2.5</v>
      </c>
      <c r="D142" s="14">
        <v>52.5</v>
      </c>
      <c r="E142" s="14">
        <v>32.5</v>
      </c>
      <c r="F142" s="14">
        <v>10</v>
      </c>
      <c r="G142" s="14">
        <v>0</v>
      </c>
    </row>
    <row r="143" spans="1:8">
      <c r="A143" s="13" t="s">
        <v>243</v>
      </c>
      <c r="B143" s="14">
        <v>5.6</v>
      </c>
      <c r="C143" s="14">
        <v>11.1</v>
      </c>
      <c r="D143" s="14">
        <v>38.9</v>
      </c>
      <c r="E143" s="14">
        <v>38.9</v>
      </c>
      <c r="F143" s="14">
        <v>5.6</v>
      </c>
      <c r="G143" s="14">
        <v>0</v>
      </c>
    </row>
    <row r="144" spans="1:8">
      <c r="A144" s="13" t="s">
        <v>361</v>
      </c>
      <c r="B144" s="14">
        <v>0</v>
      </c>
      <c r="C144" s="14">
        <v>0</v>
      </c>
      <c r="D144" s="14">
        <v>37.5</v>
      </c>
      <c r="E144" s="14">
        <v>50</v>
      </c>
      <c r="F144" s="14">
        <v>12.5</v>
      </c>
      <c r="G144" s="14">
        <v>0</v>
      </c>
    </row>
    <row r="145" spans="1:7">
      <c r="A145" s="13" t="s">
        <v>477</v>
      </c>
      <c r="B145" s="14">
        <v>0</v>
      </c>
      <c r="C145" s="14">
        <v>0</v>
      </c>
      <c r="D145" s="14">
        <v>50</v>
      </c>
      <c r="E145" s="14">
        <v>25</v>
      </c>
      <c r="F145" s="14">
        <v>25</v>
      </c>
      <c r="G145" s="14">
        <v>0</v>
      </c>
    </row>
    <row r="146" spans="1:7">
      <c r="A146" s="13" t="s">
        <v>500</v>
      </c>
      <c r="B146" s="14">
        <v>0</v>
      </c>
      <c r="C146" s="14">
        <v>20</v>
      </c>
      <c r="D146" s="14">
        <v>40</v>
      </c>
      <c r="E146" s="14">
        <v>40</v>
      </c>
      <c r="F146" s="14">
        <v>0</v>
      </c>
      <c r="G146" s="14">
        <v>0</v>
      </c>
    </row>
    <row r="147" spans="1:7">
      <c r="A147" s="13" t="s">
        <v>255</v>
      </c>
      <c r="B147" s="14">
        <v>0</v>
      </c>
      <c r="C147" s="14">
        <v>14.3</v>
      </c>
      <c r="D147" s="14">
        <v>23.8</v>
      </c>
      <c r="E147" s="14">
        <v>57.1</v>
      </c>
      <c r="F147" s="14">
        <v>4.8</v>
      </c>
      <c r="G147" s="14">
        <v>0</v>
      </c>
    </row>
    <row r="148" spans="1:7">
      <c r="A148" s="13" t="s">
        <v>161</v>
      </c>
      <c r="B148" s="14">
        <v>4.8</v>
      </c>
      <c r="C148" s="14">
        <v>0</v>
      </c>
      <c r="D148" s="14">
        <v>33.3</v>
      </c>
      <c r="E148" s="14">
        <v>57.1</v>
      </c>
      <c r="F148" s="14">
        <v>4.8</v>
      </c>
      <c r="G148" s="14">
        <v>0</v>
      </c>
    </row>
    <row r="149" spans="1:7">
      <c r="A149" s="13" t="s">
        <v>173</v>
      </c>
      <c r="B149" s="14">
        <v>33.3</v>
      </c>
      <c r="C149" s="14">
        <v>0</v>
      </c>
      <c r="D149" s="14">
        <v>33.3</v>
      </c>
      <c r="E149" s="14">
        <v>33.3</v>
      </c>
      <c r="F149" s="14">
        <v>0</v>
      </c>
      <c r="G149" s="14">
        <v>0</v>
      </c>
    </row>
    <row r="150" spans="1:7">
      <c r="A150" s="13" t="s">
        <v>150</v>
      </c>
      <c r="B150" s="14">
        <v>25</v>
      </c>
      <c r="C150" s="14">
        <v>0</v>
      </c>
      <c r="D150" s="14">
        <v>50</v>
      </c>
      <c r="E150" s="14">
        <v>0</v>
      </c>
      <c r="F150" s="14">
        <v>25</v>
      </c>
      <c r="G150" s="14">
        <v>0</v>
      </c>
    </row>
    <row r="151" spans="1:7">
      <c r="A151" s="13" t="s">
        <v>300</v>
      </c>
      <c r="B151" s="14">
        <v>0</v>
      </c>
      <c r="C151" s="14">
        <v>10</v>
      </c>
      <c r="D151" s="14">
        <v>50</v>
      </c>
      <c r="E151" s="14">
        <v>30</v>
      </c>
      <c r="F151" s="14">
        <v>10</v>
      </c>
      <c r="G151" s="14">
        <v>0</v>
      </c>
    </row>
    <row r="152" spans="1:7">
      <c r="A152" s="13" t="s">
        <v>167</v>
      </c>
      <c r="B152" s="14">
        <v>10</v>
      </c>
      <c r="C152" s="14">
        <v>0</v>
      </c>
      <c r="D152" s="14">
        <v>30</v>
      </c>
      <c r="E152" s="14">
        <v>30</v>
      </c>
      <c r="F152" s="14">
        <v>30</v>
      </c>
      <c r="G152" s="14">
        <v>0</v>
      </c>
    </row>
    <row r="153" spans="1:7">
      <c r="A153" s="13" t="s">
        <v>612</v>
      </c>
      <c r="B153" s="14">
        <v>0</v>
      </c>
      <c r="C153" s="14">
        <v>0</v>
      </c>
      <c r="D153" s="14">
        <v>0</v>
      </c>
      <c r="E153" s="14">
        <v>100</v>
      </c>
      <c r="F153" s="14">
        <v>0</v>
      </c>
      <c r="G153" s="14">
        <v>0</v>
      </c>
    </row>
    <row r="154" spans="1:7">
      <c r="A154" s="13" t="s">
        <v>178</v>
      </c>
      <c r="B154" s="14">
        <v>20</v>
      </c>
      <c r="C154" s="14">
        <v>6.7</v>
      </c>
      <c r="D154" s="14">
        <v>20</v>
      </c>
      <c r="E154" s="14">
        <v>40</v>
      </c>
      <c r="F154" s="14">
        <v>13.3</v>
      </c>
      <c r="G154" s="14">
        <v>0</v>
      </c>
    </row>
    <row r="155" spans="1:7">
      <c r="A155" s="13" t="s">
        <v>395</v>
      </c>
      <c r="B155" s="14">
        <v>0</v>
      </c>
      <c r="C155" s="14">
        <v>12.5</v>
      </c>
      <c r="D155" s="14">
        <v>50</v>
      </c>
      <c r="E155" s="14">
        <v>37.5</v>
      </c>
      <c r="F155" s="14">
        <v>0</v>
      </c>
      <c r="G155" s="14">
        <v>0</v>
      </c>
    </row>
    <row r="156" spans="1:7">
      <c r="A156" s="13" t="s">
        <v>135</v>
      </c>
      <c r="B156" s="14">
        <v>15.8</v>
      </c>
      <c r="C156" s="14">
        <v>13.2</v>
      </c>
      <c r="D156" s="14">
        <v>47.4</v>
      </c>
      <c r="E156" s="14">
        <v>18.4</v>
      </c>
      <c r="F156" s="14">
        <v>2.6</v>
      </c>
      <c r="G156" s="14">
        <v>2.6</v>
      </c>
    </row>
    <row r="157" spans="1:7">
      <c r="A157" s="13" t="s">
        <v>216</v>
      </c>
      <c r="B157" s="14">
        <v>0</v>
      </c>
      <c r="C157" s="14">
        <v>0</v>
      </c>
      <c r="D157" s="14">
        <v>45.5</v>
      </c>
      <c r="E157" s="14">
        <v>45.5</v>
      </c>
      <c r="F157" s="14">
        <v>9.1</v>
      </c>
      <c r="G157" s="14">
        <v>0</v>
      </c>
    </row>
  </sheetData>
  <mergeCells count="1">
    <mergeCell ref="A2:I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2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6" width="12.7109375" customWidth="1"/>
    <col min="7" max="7" width="60.7109375" customWidth="1"/>
  </cols>
  <sheetData>
    <row r="1" spans="1:8">
      <c r="A1" s="1" t="s">
        <v>1040</v>
      </c>
    </row>
    <row r="2" spans="1:8" ht="30" customHeight="1">
      <c r="A2" s="2" t="s">
        <v>1041</v>
      </c>
      <c r="B2" s="2"/>
      <c r="C2" s="2"/>
      <c r="D2" s="2"/>
      <c r="E2" s="2"/>
      <c r="F2" s="2"/>
      <c r="G2" s="2"/>
      <c r="H2" s="2"/>
    </row>
    <row r="4" spans="1:8">
      <c r="A4" s="6" t="s">
        <v>120</v>
      </c>
      <c r="B4" s="6" t="s">
        <v>122</v>
      </c>
      <c r="C4" s="6" t="s">
        <v>121</v>
      </c>
      <c r="D4" s="6" t="s">
        <v>944</v>
      </c>
      <c r="E4" s="6" t="s">
        <v>1042</v>
      </c>
      <c r="F4" s="6" t="s">
        <v>1043</v>
      </c>
      <c r="G4" s="6" t="s">
        <v>1044</v>
      </c>
    </row>
    <row r="5" spans="1:8">
      <c r="A5" s="4" t="s">
        <v>962</v>
      </c>
      <c r="B5" s="4" t="s">
        <v>135</v>
      </c>
      <c r="C5" s="4" t="s">
        <v>134</v>
      </c>
      <c r="D5" s="8">
        <v>2350000</v>
      </c>
      <c r="E5" s="8">
        <v>5397181</v>
      </c>
      <c r="F5" s="11">
        <v>-56.5</v>
      </c>
      <c r="G5" s="4" t="s">
        <v>1045</v>
      </c>
    </row>
    <row r="6" spans="1:8">
      <c r="A6" s="4" t="s">
        <v>980</v>
      </c>
      <c r="B6" s="4" t="s">
        <v>135</v>
      </c>
      <c r="C6" s="4" t="s">
        <v>193</v>
      </c>
      <c r="D6" s="8">
        <v>1995000</v>
      </c>
      <c r="E6" s="8">
        <v>4329202</v>
      </c>
      <c r="F6" s="11">
        <v>-53.9</v>
      </c>
      <c r="G6" s="4" t="s">
        <v>1046</v>
      </c>
    </row>
    <row r="7" spans="1:8">
      <c r="A7" s="4" t="s">
        <v>964</v>
      </c>
      <c r="B7" s="4" t="s">
        <v>161</v>
      </c>
      <c r="C7" s="4" t="s">
        <v>134</v>
      </c>
      <c r="D7" s="8">
        <v>1900000</v>
      </c>
      <c r="E7" s="8">
        <v>3990870</v>
      </c>
      <c r="F7" s="11">
        <v>-52.4</v>
      </c>
      <c r="G7" s="4" t="s">
        <v>1047</v>
      </c>
    </row>
    <row r="8" spans="1:8">
      <c r="A8" s="4" t="s">
        <v>961</v>
      </c>
      <c r="B8" s="4" t="s">
        <v>143</v>
      </c>
      <c r="C8" s="4" t="s">
        <v>172</v>
      </c>
      <c r="D8" s="8">
        <v>750000</v>
      </c>
      <c r="E8" s="8">
        <v>1527733</v>
      </c>
      <c r="F8" s="11">
        <v>-50.9</v>
      </c>
      <c r="G8" s="4" t="s">
        <v>1048</v>
      </c>
    </row>
    <row r="9" spans="1:8">
      <c r="A9" s="4" t="s">
        <v>711</v>
      </c>
      <c r="B9" s="4" t="s">
        <v>167</v>
      </c>
      <c r="C9" s="4" t="s">
        <v>166</v>
      </c>
      <c r="D9" s="8">
        <v>799900</v>
      </c>
      <c r="E9" s="8">
        <v>1544192</v>
      </c>
      <c r="F9" s="11">
        <v>-48.2</v>
      </c>
      <c r="G9" s="4" t="s">
        <v>1049</v>
      </c>
    </row>
    <row r="10" spans="1:8">
      <c r="A10" s="4" t="s">
        <v>958</v>
      </c>
      <c r="B10" s="4" t="s">
        <v>290</v>
      </c>
      <c r="C10" s="4" t="s">
        <v>160</v>
      </c>
      <c r="D10" s="8">
        <v>1300000</v>
      </c>
      <c r="E10" s="8">
        <v>2462321</v>
      </c>
      <c r="F10" s="11">
        <v>-47.2</v>
      </c>
      <c r="G10" s="4" t="s">
        <v>1050</v>
      </c>
    </row>
    <row r="11" spans="1:8">
      <c r="A11" s="4" t="s">
        <v>723</v>
      </c>
      <c r="B11" s="4" t="s">
        <v>135</v>
      </c>
      <c r="C11" s="4" t="s">
        <v>193</v>
      </c>
      <c r="D11" s="8">
        <v>799000</v>
      </c>
      <c r="E11" s="8">
        <v>1359022</v>
      </c>
      <c r="F11" s="11">
        <v>-41.2</v>
      </c>
      <c r="G11" s="4" t="s">
        <v>1051</v>
      </c>
    </row>
    <row r="12" spans="1:8">
      <c r="A12" s="4" t="s">
        <v>677</v>
      </c>
      <c r="B12" s="4" t="s">
        <v>678</v>
      </c>
      <c r="C12" s="4" t="s">
        <v>172</v>
      </c>
      <c r="D12" s="8">
        <v>1050000</v>
      </c>
      <c r="E12" s="8">
        <v>1650725</v>
      </c>
      <c r="F12" s="11">
        <v>-36.4</v>
      </c>
      <c r="G12" s="4" t="s">
        <v>1052</v>
      </c>
    </row>
    <row r="13" spans="1:8">
      <c r="A13" s="4" t="s">
        <v>677</v>
      </c>
      <c r="B13" s="4" t="s">
        <v>678</v>
      </c>
      <c r="C13" s="4" t="s">
        <v>172</v>
      </c>
      <c r="D13" s="8">
        <v>1050000</v>
      </c>
      <c r="E13" s="8">
        <v>1650725</v>
      </c>
      <c r="F13" s="11">
        <v>-36.4</v>
      </c>
      <c r="G13" s="4" t="s">
        <v>1052</v>
      </c>
    </row>
    <row r="14" spans="1:8">
      <c r="A14" s="4" t="s">
        <v>959</v>
      </c>
      <c r="B14" s="4" t="s">
        <v>135</v>
      </c>
      <c r="C14" s="4" t="s">
        <v>134</v>
      </c>
      <c r="D14" s="8">
        <v>875000</v>
      </c>
      <c r="E14" s="8">
        <v>1324224</v>
      </c>
      <c r="F14" s="11">
        <v>-33.9</v>
      </c>
      <c r="G14" s="4" t="s">
        <v>1053</v>
      </c>
    </row>
    <row r="15" spans="1:8">
      <c r="A15" s="4" t="s">
        <v>967</v>
      </c>
      <c r="B15" s="4" t="s">
        <v>255</v>
      </c>
      <c r="C15" s="4" t="s">
        <v>149</v>
      </c>
      <c r="D15" s="8">
        <v>1750000</v>
      </c>
      <c r="E15" s="8">
        <v>2616300</v>
      </c>
      <c r="F15" s="11">
        <v>-33.1</v>
      </c>
      <c r="G15" s="4" t="s">
        <v>1054</v>
      </c>
    </row>
    <row r="16" spans="1:8">
      <c r="A16" s="4" t="s">
        <v>504</v>
      </c>
      <c r="B16" s="4" t="s">
        <v>135</v>
      </c>
      <c r="C16" s="4" t="s">
        <v>160</v>
      </c>
      <c r="D16" s="8">
        <v>1750000</v>
      </c>
      <c r="E16" s="8">
        <v>2551358</v>
      </c>
      <c r="F16" s="11">
        <v>-31.4</v>
      </c>
      <c r="G16" s="4" t="s">
        <v>1055</v>
      </c>
    </row>
    <row r="17" spans="1:7">
      <c r="A17" s="4" t="s">
        <v>970</v>
      </c>
      <c r="B17" s="4" t="s">
        <v>173</v>
      </c>
      <c r="C17" s="4" t="s">
        <v>134</v>
      </c>
      <c r="D17" s="8">
        <v>2900000</v>
      </c>
      <c r="E17" s="8">
        <v>4152720</v>
      </c>
      <c r="F17" s="11">
        <v>-30.2</v>
      </c>
      <c r="G17" s="4" t="s">
        <v>1056</v>
      </c>
    </row>
    <row r="18" spans="1:7">
      <c r="A18" s="4" t="s">
        <v>978</v>
      </c>
      <c r="B18" s="4" t="s">
        <v>143</v>
      </c>
      <c r="C18" s="4" t="s">
        <v>142</v>
      </c>
      <c r="D18" s="8">
        <v>7995000</v>
      </c>
      <c r="E18" s="8">
        <v>11393249</v>
      </c>
      <c r="F18" s="11">
        <v>-29.8</v>
      </c>
      <c r="G18" s="4" t="s">
        <v>1057</v>
      </c>
    </row>
    <row r="19" spans="1:7">
      <c r="A19" s="4" t="s">
        <v>960</v>
      </c>
      <c r="B19" s="4" t="s">
        <v>161</v>
      </c>
      <c r="C19" s="4" t="s">
        <v>134</v>
      </c>
      <c r="D19" s="8">
        <v>975000</v>
      </c>
      <c r="E19" s="8">
        <v>1355200</v>
      </c>
      <c r="F19" s="11">
        <v>-28.1</v>
      </c>
      <c r="G19" s="4" t="s">
        <v>1058</v>
      </c>
    </row>
    <row r="20" spans="1:7">
      <c r="A20" s="4" t="s">
        <v>963</v>
      </c>
      <c r="B20" s="4" t="s">
        <v>135</v>
      </c>
      <c r="C20" s="4" t="s">
        <v>166</v>
      </c>
      <c r="D20" s="8">
        <v>1100000</v>
      </c>
      <c r="E20" s="8">
        <v>1518955</v>
      </c>
      <c r="F20" s="11">
        <v>-27.6</v>
      </c>
      <c r="G20" s="4" t="s">
        <v>1059</v>
      </c>
    </row>
    <row r="21" spans="1:7">
      <c r="A21" s="4" t="s">
        <v>973</v>
      </c>
      <c r="B21" s="4" t="s">
        <v>255</v>
      </c>
      <c r="C21" s="4" t="s">
        <v>160</v>
      </c>
      <c r="D21" s="8">
        <v>1399990</v>
      </c>
      <c r="E21" s="8">
        <v>1806595</v>
      </c>
      <c r="F21" s="11">
        <v>-22.5</v>
      </c>
      <c r="G21" s="4" t="s">
        <v>1060</v>
      </c>
    </row>
    <row r="22" spans="1:7">
      <c r="A22" s="4" t="s">
        <v>659</v>
      </c>
      <c r="B22" s="4" t="s">
        <v>216</v>
      </c>
      <c r="C22" s="4" t="s">
        <v>160</v>
      </c>
      <c r="D22" s="8">
        <v>975000</v>
      </c>
      <c r="E22" s="8">
        <v>1204396</v>
      </c>
      <c r="F22" s="11">
        <v>-19</v>
      </c>
      <c r="G22" s="4" t="s">
        <v>1061</v>
      </c>
    </row>
    <row r="23" spans="1:7">
      <c r="A23" s="4" t="s">
        <v>968</v>
      </c>
      <c r="B23" s="4" t="s">
        <v>178</v>
      </c>
      <c r="C23" s="4" t="s">
        <v>142</v>
      </c>
      <c r="D23" s="8">
        <v>6000000</v>
      </c>
      <c r="E23" s="8">
        <v>6712588</v>
      </c>
      <c r="F23" s="11">
        <v>-10.6</v>
      </c>
      <c r="G23" s="4" t="s">
        <v>1062</v>
      </c>
    </row>
  </sheetData>
  <autoFilter ref="A4:G23"/>
  <mergeCells count="1">
    <mergeCell ref="A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H4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2.7109375" customWidth="1"/>
    <col min="2" max="7" width="12.7109375" customWidth="1"/>
  </cols>
  <sheetData>
    <row r="1" spans="1:8">
      <c r="A1" s="1" t="s">
        <v>1063</v>
      </c>
    </row>
    <row r="2" spans="1:8" ht="30" customHeight="1">
      <c r="A2" s="2" t="s">
        <v>1064</v>
      </c>
      <c r="B2" s="2"/>
      <c r="C2" s="2"/>
      <c r="D2" s="2"/>
      <c r="E2" s="2"/>
      <c r="F2" s="2"/>
      <c r="G2" s="2"/>
      <c r="H2" s="2"/>
    </row>
    <row r="4" spans="1:8">
      <c r="A4" s="6" t="s">
        <v>120</v>
      </c>
      <c r="B4" s="6" t="s">
        <v>122</v>
      </c>
      <c r="C4" s="6" t="s">
        <v>121</v>
      </c>
      <c r="D4" s="6" t="s">
        <v>126</v>
      </c>
      <c r="E4" s="6" t="s">
        <v>1065</v>
      </c>
      <c r="F4" s="6" t="s">
        <v>1066</v>
      </c>
      <c r="G4" s="6" t="s">
        <v>1067</v>
      </c>
    </row>
    <row r="5" spans="1:8">
      <c r="A5" s="4" t="s">
        <v>1003</v>
      </c>
      <c r="B5" s="4" t="s">
        <v>188</v>
      </c>
      <c r="C5" s="4" t="s">
        <v>193</v>
      </c>
      <c r="D5" s="8">
        <v>21000000</v>
      </c>
      <c r="E5" s="8">
        <v>557</v>
      </c>
      <c r="F5" s="8">
        <v>59</v>
      </c>
      <c r="G5" s="11">
        <v>842.9</v>
      </c>
    </row>
    <row r="6" spans="1:8">
      <c r="A6" s="4" t="s">
        <v>1002</v>
      </c>
      <c r="B6" s="4" t="s">
        <v>460</v>
      </c>
      <c r="C6" s="4" t="s">
        <v>193</v>
      </c>
      <c r="D6" s="8">
        <v>12500000</v>
      </c>
      <c r="E6" s="8">
        <v>805</v>
      </c>
      <c r="F6" s="8">
        <v>95</v>
      </c>
      <c r="G6" s="11">
        <v>749.3</v>
      </c>
    </row>
    <row r="7" spans="1:8">
      <c r="A7" s="4" t="s">
        <v>1001</v>
      </c>
      <c r="B7" s="4" t="s">
        <v>230</v>
      </c>
      <c r="C7" s="4" t="s">
        <v>172</v>
      </c>
      <c r="D7" s="8">
        <v>7995000</v>
      </c>
      <c r="E7" s="8">
        <v>643</v>
      </c>
      <c r="F7" s="8">
        <v>77</v>
      </c>
      <c r="G7" s="11">
        <v>730.9</v>
      </c>
    </row>
    <row r="8" spans="1:8">
      <c r="A8" s="4" t="s">
        <v>1000</v>
      </c>
      <c r="B8" s="4" t="s">
        <v>255</v>
      </c>
      <c r="C8" s="4" t="s">
        <v>160</v>
      </c>
      <c r="D8" s="8">
        <v>5200000</v>
      </c>
      <c r="E8" s="8">
        <v>1932</v>
      </c>
      <c r="F8" s="8">
        <v>329</v>
      </c>
      <c r="G8" s="11">
        <v>487.2</v>
      </c>
    </row>
    <row r="9" spans="1:8">
      <c r="A9" s="4" t="s">
        <v>999</v>
      </c>
      <c r="B9" s="4" t="s">
        <v>988</v>
      </c>
      <c r="C9" s="4" t="s">
        <v>134</v>
      </c>
      <c r="D9" s="8">
        <v>23000000</v>
      </c>
      <c r="E9" s="8">
        <v>812</v>
      </c>
      <c r="F9" s="8">
        <v>148</v>
      </c>
      <c r="G9" s="11">
        <v>448.6</v>
      </c>
    </row>
    <row r="10" spans="1:8">
      <c r="A10" s="4" t="s">
        <v>998</v>
      </c>
      <c r="B10" s="4" t="s">
        <v>230</v>
      </c>
      <c r="C10" s="4" t="s">
        <v>160</v>
      </c>
      <c r="D10" s="8">
        <v>6895000</v>
      </c>
      <c r="E10" s="8">
        <v>690</v>
      </c>
      <c r="F10" s="8">
        <v>129</v>
      </c>
      <c r="G10" s="11">
        <v>435.7</v>
      </c>
    </row>
    <row r="11" spans="1:8">
      <c r="A11" s="4" t="s">
        <v>997</v>
      </c>
      <c r="B11" s="4" t="s">
        <v>167</v>
      </c>
      <c r="C11" s="4" t="s">
        <v>166</v>
      </c>
      <c r="D11" s="8">
        <v>11250000</v>
      </c>
      <c r="E11" s="8">
        <v>653</v>
      </c>
      <c r="F11" s="8">
        <v>139</v>
      </c>
      <c r="G11" s="11">
        <v>371.2</v>
      </c>
    </row>
    <row r="12" spans="1:8">
      <c r="A12" s="4" t="s">
        <v>996</v>
      </c>
      <c r="B12" s="4" t="s">
        <v>155</v>
      </c>
      <c r="C12" s="4" t="s">
        <v>142</v>
      </c>
      <c r="D12" s="8">
        <v>12000000</v>
      </c>
      <c r="E12" s="8">
        <v>1920</v>
      </c>
      <c r="F12" s="8">
        <v>515</v>
      </c>
      <c r="G12" s="11">
        <v>272.8</v>
      </c>
    </row>
    <row r="13" spans="1:8">
      <c r="A13" s="4" t="s">
        <v>995</v>
      </c>
      <c r="B13" s="4" t="s">
        <v>766</v>
      </c>
      <c r="C13" s="4" t="s">
        <v>134</v>
      </c>
      <c r="D13" s="8">
        <v>13900000</v>
      </c>
      <c r="E13" s="8">
        <v>562</v>
      </c>
      <c r="F13" s="8">
        <v>159</v>
      </c>
      <c r="G13" s="11">
        <v>252.8</v>
      </c>
    </row>
    <row r="14" spans="1:8">
      <c r="A14" s="4" t="s">
        <v>171</v>
      </c>
      <c r="B14" s="4" t="s">
        <v>173</v>
      </c>
      <c r="C14" s="4" t="s">
        <v>172</v>
      </c>
      <c r="D14" s="8">
        <v>7000000</v>
      </c>
      <c r="E14" s="8">
        <v>415</v>
      </c>
      <c r="F14" s="8">
        <v>127</v>
      </c>
      <c r="G14" s="11">
        <v>226.9</v>
      </c>
    </row>
    <row r="15" spans="1:8">
      <c r="A15" s="4" t="s">
        <v>994</v>
      </c>
      <c r="B15" s="4" t="s">
        <v>988</v>
      </c>
      <c r="C15" s="4" t="s">
        <v>142</v>
      </c>
      <c r="D15" s="8">
        <v>14750000</v>
      </c>
      <c r="E15" s="8">
        <v>1137</v>
      </c>
      <c r="F15" s="8">
        <v>349</v>
      </c>
      <c r="G15" s="11">
        <v>225.8</v>
      </c>
    </row>
    <row r="16" spans="1:8">
      <c r="A16" s="4" t="s">
        <v>993</v>
      </c>
      <c r="B16" s="4" t="s">
        <v>988</v>
      </c>
      <c r="C16" s="4" t="s">
        <v>142</v>
      </c>
      <c r="D16" s="8">
        <v>14999000</v>
      </c>
      <c r="E16" s="8">
        <v>1112</v>
      </c>
      <c r="F16" s="8">
        <v>342</v>
      </c>
      <c r="G16" s="11">
        <v>225.4</v>
      </c>
    </row>
    <row r="17" spans="1:7">
      <c r="A17" s="4" t="s">
        <v>220</v>
      </c>
      <c r="B17" s="4" t="s">
        <v>135</v>
      </c>
      <c r="C17" s="4" t="s">
        <v>221</v>
      </c>
      <c r="D17" s="8">
        <v>5000000</v>
      </c>
      <c r="E17" s="8">
        <v>577</v>
      </c>
      <c r="F17" s="8">
        <v>184</v>
      </c>
      <c r="G17" s="11">
        <v>214.3</v>
      </c>
    </row>
    <row r="18" spans="1:7">
      <c r="A18" s="4" t="s">
        <v>165</v>
      </c>
      <c r="B18" s="4" t="s">
        <v>167</v>
      </c>
      <c r="C18" s="4" t="s">
        <v>166</v>
      </c>
      <c r="D18" s="8">
        <v>8900000</v>
      </c>
      <c r="E18" s="8">
        <v>335</v>
      </c>
      <c r="F18" s="8">
        <v>110</v>
      </c>
      <c r="G18" s="11">
        <v>204</v>
      </c>
    </row>
    <row r="19" spans="1:7">
      <c r="A19" s="4" t="s">
        <v>992</v>
      </c>
      <c r="B19" s="4" t="s">
        <v>988</v>
      </c>
      <c r="C19" s="4" t="s">
        <v>160</v>
      </c>
      <c r="D19" s="8">
        <v>10795000</v>
      </c>
      <c r="E19" s="8">
        <v>506</v>
      </c>
      <c r="F19" s="8">
        <v>168</v>
      </c>
      <c r="G19" s="11">
        <v>201.8</v>
      </c>
    </row>
    <row r="20" spans="1:7">
      <c r="A20" s="4" t="s">
        <v>987</v>
      </c>
      <c r="B20" s="4" t="s">
        <v>352</v>
      </c>
      <c r="C20" s="4" t="s">
        <v>172</v>
      </c>
      <c r="D20" s="8">
        <v>2200000</v>
      </c>
      <c r="E20" s="8">
        <v>1190</v>
      </c>
      <c r="F20" s="8">
        <v>411</v>
      </c>
      <c r="G20" s="11">
        <v>189.2</v>
      </c>
    </row>
    <row r="21" spans="1:7">
      <c r="A21" s="4" t="s">
        <v>192</v>
      </c>
      <c r="B21" s="4" t="s">
        <v>194</v>
      </c>
      <c r="C21" s="4" t="s">
        <v>193</v>
      </c>
      <c r="D21" s="8">
        <v>5999999</v>
      </c>
      <c r="E21" s="8">
        <v>179</v>
      </c>
      <c r="F21" s="8">
        <v>63</v>
      </c>
      <c r="G21" s="11">
        <v>184.6</v>
      </c>
    </row>
    <row r="22" spans="1:7">
      <c r="A22" s="4" t="s">
        <v>991</v>
      </c>
      <c r="B22" s="4" t="s">
        <v>988</v>
      </c>
      <c r="C22" s="4" t="s">
        <v>142</v>
      </c>
      <c r="D22" s="8">
        <v>12400000</v>
      </c>
      <c r="E22" s="8">
        <v>992</v>
      </c>
      <c r="F22" s="8">
        <v>356</v>
      </c>
      <c r="G22" s="11">
        <v>179</v>
      </c>
    </row>
    <row r="23" spans="1:7">
      <c r="A23" s="4" t="s">
        <v>451</v>
      </c>
      <c r="B23" s="4" t="s">
        <v>135</v>
      </c>
      <c r="C23" s="4" t="s">
        <v>193</v>
      </c>
      <c r="D23" s="8">
        <v>2043000</v>
      </c>
      <c r="E23" s="8">
        <v>450</v>
      </c>
      <c r="F23" s="8">
        <v>162</v>
      </c>
      <c r="G23" s="11">
        <v>177.7</v>
      </c>
    </row>
    <row r="24" spans="1:7">
      <c r="A24" s="4" t="s">
        <v>337</v>
      </c>
      <c r="B24" s="4" t="s">
        <v>188</v>
      </c>
      <c r="C24" s="4" t="s">
        <v>193</v>
      </c>
      <c r="D24" s="8">
        <v>2850000</v>
      </c>
      <c r="E24" s="8">
        <v>380</v>
      </c>
      <c r="F24" s="8">
        <v>140</v>
      </c>
      <c r="G24" s="11">
        <v>172</v>
      </c>
    </row>
    <row r="25" spans="1:7">
      <c r="A25" s="4" t="s">
        <v>337</v>
      </c>
      <c r="B25" s="4" t="s">
        <v>347</v>
      </c>
      <c r="C25" s="4" t="s">
        <v>193</v>
      </c>
      <c r="D25" s="8">
        <v>2800000</v>
      </c>
      <c r="E25" s="8">
        <v>373</v>
      </c>
      <c r="F25" s="8">
        <v>139</v>
      </c>
      <c r="G25" s="11">
        <v>167.7</v>
      </c>
    </row>
    <row r="26" spans="1:7">
      <c r="A26" s="4" t="s">
        <v>165</v>
      </c>
      <c r="B26" s="4" t="s">
        <v>167</v>
      </c>
      <c r="C26" s="4" t="s">
        <v>166</v>
      </c>
      <c r="D26" s="8">
        <v>7600000</v>
      </c>
      <c r="E26" s="8">
        <v>286</v>
      </c>
      <c r="F26" s="8">
        <v>110</v>
      </c>
      <c r="G26" s="11">
        <v>159.6</v>
      </c>
    </row>
    <row r="27" spans="1:7">
      <c r="A27" s="4" t="s">
        <v>989</v>
      </c>
      <c r="B27" s="4" t="s">
        <v>250</v>
      </c>
      <c r="C27" s="4" t="s">
        <v>423</v>
      </c>
      <c r="D27" s="8">
        <v>5000000</v>
      </c>
      <c r="E27" s="8">
        <v>875</v>
      </c>
      <c r="F27" s="8">
        <v>347</v>
      </c>
      <c r="G27" s="11">
        <v>151.8</v>
      </c>
    </row>
    <row r="28" spans="1:7">
      <c r="A28" s="4" t="s">
        <v>451</v>
      </c>
      <c r="B28" s="4" t="s">
        <v>135</v>
      </c>
      <c r="C28" s="4" t="s">
        <v>193</v>
      </c>
      <c r="D28" s="8">
        <v>1740000</v>
      </c>
      <c r="E28" s="8">
        <v>383</v>
      </c>
      <c r="F28" s="8">
        <v>162</v>
      </c>
      <c r="G28" s="11">
        <v>136.5</v>
      </c>
    </row>
    <row r="29" spans="1:7">
      <c r="A29" s="4" t="s">
        <v>451</v>
      </c>
      <c r="B29" s="4" t="s">
        <v>135</v>
      </c>
      <c r="C29" s="4" t="s">
        <v>193</v>
      </c>
      <c r="D29" s="8">
        <v>1700000</v>
      </c>
      <c r="E29" s="8">
        <v>392</v>
      </c>
      <c r="F29" s="8">
        <v>166</v>
      </c>
      <c r="G29" s="11">
        <v>136</v>
      </c>
    </row>
    <row r="30" spans="1:7">
      <c r="A30" s="4" t="s">
        <v>171</v>
      </c>
      <c r="B30" s="4" t="s">
        <v>178</v>
      </c>
      <c r="C30" s="4" t="s">
        <v>172</v>
      </c>
      <c r="D30" s="8">
        <v>7000000</v>
      </c>
      <c r="E30" s="8">
        <v>415</v>
      </c>
      <c r="F30" s="8">
        <v>177</v>
      </c>
      <c r="G30" s="11">
        <v>134.4</v>
      </c>
    </row>
    <row r="31" spans="1:7">
      <c r="A31" s="4" t="s">
        <v>289</v>
      </c>
      <c r="B31" s="4" t="s">
        <v>290</v>
      </c>
      <c r="C31" s="4" t="s">
        <v>193</v>
      </c>
      <c r="D31" s="8">
        <v>3500000</v>
      </c>
      <c r="E31" s="8">
        <v>197</v>
      </c>
      <c r="F31" s="8">
        <v>88</v>
      </c>
      <c r="G31" s="11">
        <v>123.3</v>
      </c>
    </row>
    <row r="32" spans="1:7">
      <c r="A32" s="4" t="s">
        <v>373</v>
      </c>
      <c r="B32" s="4" t="s">
        <v>161</v>
      </c>
      <c r="C32" s="4" t="s">
        <v>172</v>
      </c>
      <c r="D32" s="8">
        <v>2650000</v>
      </c>
      <c r="E32" s="8">
        <v>337</v>
      </c>
      <c r="F32" s="8">
        <v>152</v>
      </c>
      <c r="G32" s="11">
        <v>121.8</v>
      </c>
    </row>
    <row r="33" spans="1:7">
      <c r="A33" s="4" t="s">
        <v>987</v>
      </c>
      <c r="B33" s="4" t="s">
        <v>988</v>
      </c>
      <c r="C33" s="4" t="s">
        <v>134</v>
      </c>
      <c r="D33" s="8">
        <v>2500000</v>
      </c>
      <c r="E33" s="8">
        <v>1352</v>
      </c>
      <c r="F33" s="8">
        <v>633</v>
      </c>
      <c r="G33" s="11">
        <v>113.5</v>
      </c>
    </row>
    <row r="34" spans="1:7">
      <c r="A34" s="4" t="s">
        <v>159</v>
      </c>
      <c r="B34" s="4" t="s">
        <v>161</v>
      </c>
      <c r="C34" s="4" t="s">
        <v>160</v>
      </c>
      <c r="D34" s="8">
        <v>7950000</v>
      </c>
      <c r="E34" s="8">
        <v>204</v>
      </c>
      <c r="F34" s="8">
        <v>97</v>
      </c>
      <c r="G34" s="11">
        <v>111</v>
      </c>
    </row>
    <row r="35" spans="1:7">
      <c r="A35" s="4" t="s">
        <v>624</v>
      </c>
      <c r="B35" s="4" t="s">
        <v>135</v>
      </c>
      <c r="C35" s="4" t="s">
        <v>193</v>
      </c>
      <c r="D35" s="8">
        <v>1250000</v>
      </c>
      <c r="E35" s="8">
        <v>379</v>
      </c>
      <c r="F35" s="8">
        <v>192</v>
      </c>
      <c r="G35" s="11">
        <v>97.7</v>
      </c>
    </row>
    <row r="36" spans="1:7">
      <c r="A36" s="4" t="s">
        <v>986</v>
      </c>
      <c r="B36" s="4" t="s">
        <v>216</v>
      </c>
      <c r="C36" s="4" t="s">
        <v>134</v>
      </c>
      <c r="D36" s="8">
        <v>6000000</v>
      </c>
      <c r="E36" s="8">
        <v>738</v>
      </c>
      <c r="F36" s="8">
        <v>380</v>
      </c>
      <c r="G36" s="11">
        <v>94.5</v>
      </c>
    </row>
    <row r="37" spans="1:7">
      <c r="A37" s="4" t="s">
        <v>984</v>
      </c>
      <c r="B37" s="4" t="s">
        <v>230</v>
      </c>
      <c r="C37" s="4" t="s">
        <v>160</v>
      </c>
      <c r="D37" s="8">
        <v>1575000</v>
      </c>
      <c r="E37" s="8">
        <v>414</v>
      </c>
      <c r="F37" s="8">
        <v>216</v>
      </c>
      <c r="G37" s="11">
        <v>92.09999999999999</v>
      </c>
    </row>
    <row r="38" spans="1:7">
      <c r="A38" s="4" t="s">
        <v>985</v>
      </c>
      <c r="B38" s="4" t="s">
        <v>183</v>
      </c>
      <c r="C38" s="4" t="s">
        <v>160</v>
      </c>
      <c r="D38" s="8">
        <v>4795000</v>
      </c>
      <c r="E38" s="8">
        <v>480</v>
      </c>
      <c r="F38" s="8">
        <v>250</v>
      </c>
      <c r="G38" s="11">
        <v>91.90000000000001</v>
      </c>
    </row>
    <row r="39" spans="1:7">
      <c r="A39" s="4" t="s">
        <v>688</v>
      </c>
      <c r="B39" s="4" t="s">
        <v>135</v>
      </c>
      <c r="C39" s="4" t="s">
        <v>193</v>
      </c>
      <c r="D39" s="8">
        <v>1020000</v>
      </c>
      <c r="E39" s="8">
        <v>425</v>
      </c>
      <c r="F39" s="8">
        <v>227</v>
      </c>
      <c r="G39" s="11">
        <v>87.2</v>
      </c>
    </row>
    <row r="40" spans="1:7">
      <c r="A40" s="4" t="s">
        <v>133</v>
      </c>
      <c r="B40" s="4" t="s">
        <v>135</v>
      </c>
      <c r="C40" s="4" t="s">
        <v>134</v>
      </c>
      <c r="D40" s="8">
        <v>11900000</v>
      </c>
      <c r="E40" s="8">
        <v>132</v>
      </c>
      <c r="F40" s="8">
        <v>71</v>
      </c>
      <c r="G40" s="11">
        <v>85.8</v>
      </c>
    </row>
    <row r="41" spans="1:7">
      <c r="A41" s="4" t="s">
        <v>688</v>
      </c>
      <c r="B41" s="4" t="s">
        <v>135</v>
      </c>
      <c r="C41" s="4" t="s">
        <v>193</v>
      </c>
      <c r="D41" s="8">
        <v>1000000</v>
      </c>
      <c r="E41" s="8">
        <v>417</v>
      </c>
      <c r="F41" s="8">
        <v>227</v>
      </c>
      <c r="G41" s="11">
        <v>83.59999999999999</v>
      </c>
    </row>
    <row r="42" spans="1:7">
      <c r="A42" s="4" t="s">
        <v>983</v>
      </c>
      <c r="B42" s="4" t="s">
        <v>183</v>
      </c>
      <c r="C42" s="4" t="s">
        <v>160</v>
      </c>
      <c r="D42" s="8">
        <v>4490000</v>
      </c>
      <c r="E42" s="8">
        <v>449</v>
      </c>
      <c r="F42" s="8">
        <v>250</v>
      </c>
      <c r="G42" s="11">
        <v>79.7</v>
      </c>
    </row>
    <row r="43" spans="1:7">
      <c r="A43" s="4" t="s">
        <v>225</v>
      </c>
      <c r="B43" s="4" t="s">
        <v>135</v>
      </c>
      <c r="C43" s="4" t="s">
        <v>134</v>
      </c>
      <c r="D43" s="8">
        <v>4600000</v>
      </c>
      <c r="E43" s="8">
        <v>362</v>
      </c>
      <c r="F43" s="8">
        <v>202</v>
      </c>
      <c r="G43" s="11">
        <v>79.40000000000001</v>
      </c>
    </row>
    <row r="44" spans="1:7">
      <c r="A44" s="4" t="s">
        <v>982</v>
      </c>
      <c r="B44" s="4" t="s">
        <v>395</v>
      </c>
      <c r="C44" s="4" t="s">
        <v>160</v>
      </c>
      <c r="D44" s="8">
        <v>4500000</v>
      </c>
      <c r="E44" s="8">
        <v>444</v>
      </c>
      <c r="F44" s="8">
        <v>249</v>
      </c>
      <c r="G44" s="11">
        <v>78.3</v>
      </c>
    </row>
  </sheetData>
  <autoFilter ref="A4:G44"/>
  <mergeCells count="1">
    <mergeCell ref="A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I39"/>
  <sheetViews>
    <sheetView workbookViewId="0">
      <pane ySplit="15" topLeftCell="A16" activePane="bottomLeft" state="frozen"/>
      <selection pane="bottomLeft"/>
    </sheetView>
  </sheetViews>
  <sheetFormatPr defaultRowHeight="15"/>
  <cols>
    <col min="1" max="1" width="18.7109375" customWidth="1"/>
    <col min="2" max="9" width="12.7109375" customWidth="1"/>
  </cols>
  <sheetData>
    <row r="1" spans="1:9">
      <c r="A1" s="1" t="s">
        <v>1068</v>
      </c>
    </row>
    <row r="2" spans="1:9" ht="30" customHeight="1">
      <c r="A2" s="2" t="s">
        <v>1069</v>
      </c>
      <c r="B2" s="2"/>
      <c r="C2" s="2"/>
      <c r="D2" s="2"/>
      <c r="E2" s="2"/>
      <c r="F2" s="2"/>
      <c r="G2" s="2"/>
      <c r="H2" s="2"/>
      <c r="I2" s="2"/>
    </row>
    <row r="4" spans="1:9">
      <c r="A4" s="6" t="s">
        <v>121</v>
      </c>
      <c r="B4" s="6" t="s">
        <v>71</v>
      </c>
      <c r="C4" s="6" t="s">
        <v>1070</v>
      </c>
      <c r="D4" s="6" t="s">
        <v>1071</v>
      </c>
      <c r="E4" s="6" t="s">
        <v>1072</v>
      </c>
      <c r="F4" s="6" t="s">
        <v>1073</v>
      </c>
      <c r="G4" s="6" t="s">
        <v>919</v>
      </c>
      <c r="H4" s="6" t="s">
        <v>1074</v>
      </c>
      <c r="I4" s="6" t="s">
        <v>1075</v>
      </c>
    </row>
    <row r="5" spans="1:9">
      <c r="A5" s="4" t="s">
        <v>160</v>
      </c>
      <c r="B5" s="8">
        <v>15.4</v>
      </c>
      <c r="C5" s="8">
        <v>13.7</v>
      </c>
      <c r="D5" s="8">
        <v>20.2</v>
      </c>
      <c r="E5" s="7">
        <v>3</v>
      </c>
      <c r="F5" s="8">
        <v>177</v>
      </c>
      <c r="G5" s="9">
        <v>0.08690000000000001</v>
      </c>
      <c r="H5" s="9">
        <v>0.0474</v>
      </c>
      <c r="I5" s="9">
        <v>0.055</v>
      </c>
    </row>
    <row r="6" spans="1:9">
      <c r="A6" s="4" t="s">
        <v>193</v>
      </c>
      <c r="B6" s="8">
        <v>17</v>
      </c>
      <c r="C6" s="8">
        <v>7.1</v>
      </c>
      <c r="D6" s="8">
        <v>25</v>
      </c>
      <c r="E6" s="7">
        <v>41</v>
      </c>
      <c r="F6" s="8">
        <v>197</v>
      </c>
      <c r="G6" s="9">
        <v>0.0862</v>
      </c>
      <c r="H6" s="9">
        <v>0.0403</v>
      </c>
      <c r="I6" s="9">
        <v>0.08</v>
      </c>
    </row>
    <row r="7" spans="1:9">
      <c r="A7" s="4" t="s">
        <v>172</v>
      </c>
      <c r="B7" s="8">
        <v>28</v>
      </c>
      <c r="C7" s="8">
        <v>20.5</v>
      </c>
      <c r="D7" s="8">
        <v>40</v>
      </c>
      <c r="E7" s="7">
        <v>59</v>
      </c>
      <c r="F7" s="8">
        <v>247</v>
      </c>
      <c r="G7" s="9">
        <v>0.1136</v>
      </c>
      <c r="H7" s="9">
        <v>0.0815</v>
      </c>
      <c r="I7" s="9">
        <v>0.0675</v>
      </c>
    </row>
    <row r="8" spans="1:9">
      <c r="A8" s="4" t="s">
        <v>149</v>
      </c>
      <c r="B8" s="8">
        <v>19.4</v>
      </c>
      <c r="C8" s="8">
        <v>11.8</v>
      </c>
      <c r="D8" s="8">
        <v>20</v>
      </c>
      <c r="E8" s="7">
        <v>24</v>
      </c>
      <c r="F8" s="8">
        <v>150</v>
      </c>
      <c r="G8" s="9">
        <v>0.1296</v>
      </c>
      <c r="H8" s="9">
        <v>0.1047</v>
      </c>
      <c r="I8" s="9">
        <v>0.0625</v>
      </c>
    </row>
    <row r="9" spans="1:9">
      <c r="A9" s="4" t="s">
        <v>166</v>
      </c>
      <c r="B9" s="8">
        <v>20.2</v>
      </c>
      <c r="C9" s="8">
        <v>8.199999999999999</v>
      </c>
      <c r="D9" s="8">
        <v>28.3</v>
      </c>
      <c r="E9" s="7">
        <v>24</v>
      </c>
      <c r="F9" s="8">
        <v>136</v>
      </c>
      <c r="G9" s="9">
        <v>0.1481</v>
      </c>
      <c r="H9" s="9">
        <v>0.0866</v>
      </c>
      <c r="I9" s="9">
        <v>0.0675</v>
      </c>
    </row>
    <row r="10" spans="1:9">
      <c r="A10" s="4" t="s">
        <v>221</v>
      </c>
      <c r="B10" s="8">
        <v>22.6</v>
      </c>
      <c r="C10" s="8">
        <v>9.199999999999999</v>
      </c>
      <c r="D10" s="8">
        <v>28.2</v>
      </c>
      <c r="E10" s="7">
        <v>7</v>
      </c>
      <c r="F10" s="8">
        <v>365</v>
      </c>
      <c r="G10" s="9">
        <v>0.0619</v>
      </c>
      <c r="H10" s="9">
        <v>0.0446</v>
      </c>
      <c r="I10" s="9">
        <v>0.065</v>
      </c>
    </row>
    <row r="11" spans="1:9">
      <c r="A11" s="4" t="s">
        <v>386</v>
      </c>
      <c r="B11" s="8">
        <v>7.3</v>
      </c>
      <c r="C11" s="8">
        <v>6.7</v>
      </c>
      <c r="D11" s="8">
        <v>9.1</v>
      </c>
      <c r="E11" s="7">
        <v>4</v>
      </c>
      <c r="F11" s="8">
        <v>319</v>
      </c>
      <c r="G11" s="9">
        <v>0.0229</v>
      </c>
      <c r="H11" s="9">
        <v>0.0136</v>
      </c>
      <c r="I11" s="9">
        <v>0.075</v>
      </c>
    </row>
    <row r="12" spans="1:9">
      <c r="A12" s="4" t="s">
        <v>134</v>
      </c>
      <c r="B12" s="8">
        <v>26.5</v>
      </c>
      <c r="C12" s="8">
        <v>14.1</v>
      </c>
      <c r="D12" s="8">
        <v>34.2</v>
      </c>
      <c r="E12" s="7">
        <v>80</v>
      </c>
      <c r="F12" s="8">
        <v>195</v>
      </c>
      <c r="G12" s="9">
        <v>0.1362</v>
      </c>
      <c r="H12" s="9">
        <v>0.0839</v>
      </c>
      <c r="I12" s="9">
        <v>0.07000000000000001</v>
      </c>
    </row>
    <row r="14" spans="1:9">
      <c r="A14" s="1" t="s">
        <v>1076</v>
      </c>
    </row>
    <row r="15" spans="1:9">
      <c r="A15" s="6" t="s">
        <v>913</v>
      </c>
      <c r="B15" s="6" t="s">
        <v>914</v>
      </c>
      <c r="C15" s="6" t="s">
        <v>71</v>
      </c>
      <c r="D15" s="6" t="s">
        <v>1072</v>
      </c>
      <c r="E15" s="6" t="s">
        <v>836</v>
      </c>
      <c r="F15" s="6" t="s">
        <v>1077</v>
      </c>
      <c r="G15" s="6" t="s">
        <v>1073</v>
      </c>
      <c r="H15" s="6" t="s">
        <v>919</v>
      </c>
    </row>
    <row r="16" spans="1:9">
      <c r="A16" s="4" t="s">
        <v>395</v>
      </c>
      <c r="B16" s="4" t="s">
        <v>1078</v>
      </c>
      <c r="C16" s="8">
        <v>35</v>
      </c>
      <c r="D16" s="7">
        <v>13</v>
      </c>
      <c r="E16" s="7">
        <v>6</v>
      </c>
      <c r="F16" s="7">
        <v>0</v>
      </c>
      <c r="G16" s="8">
        <v>382</v>
      </c>
      <c r="H16" s="9">
        <v>0.0916</v>
      </c>
    </row>
    <row r="17" spans="1:8">
      <c r="A17" s="4" t="s">
        <v>230</v>
      </c>
      <c r="B17" s="4" t="s">
        <v>1079</v>
      </c>
      <c r="C17" s="8">
        <v>32</v>
      </c>
      <c r="D17" s="7">
        <v>6</v>
      </c>
      <c r="E17" s="7">
        <v>0</v>
      </c>
      <c r="F17" s="7">
        <v>2</v>
      </c>
      <c r="G17" s="8">
        <v>190</v>
      </c>
      <c r="H17" s="9">
        <v>0.1682</v>
      </c>
    </row>
    <row r="18" spans="1:8">
      <c r="A18" s="4" t="s">
        <v>250</v>
      </c>
      <c r="B18" s="4" t="s">
        <v>928</v>
      </c>
      <c r="C18" s="8">
        <v>32</v>
      </c>
      <c r="D18" s="7">
        <v>3</v>
      </c>
      <c r="E18" s="7">
        <v>0</v>
      </c>
      <c r="F18" s="7">
        <v>0</v>
      </c>
      <c r="G18" s="8">
        <v>197</v>
      </c>
      <c r="H18" s="9">
        <v>0.1626</v>
      </c>
    </row>
    <row r="19" spans="1:8">
      <c r="A19" s="4" t="s">
        <v>183</v>
      </c>
      <c r="B19" s="4" t="s">
        <v>1080</v>
      </c>
      <c r="C19" s="8">
        <v>30</v>
      </c>
      <c r="D19" s="7">
        <v>23</v>
      </c>
      <c r="E19" s="7">
        <v>8</v>
      </c>
      <c r="F19" s="7">
        <v>5</v>
      </c>
      <c r="G19" s="8">
        <v>238</v>
      </c>
      <c r="H19" s="9">
        <v>0.1261</v>
      </c>
    </row>
    <row r="20" spans="1:8">
      <c r="A20" s="4" t="s">
        <v>352</v>
      </c>
      <c r="B20" s="4" t="s">
        <v>1081</v>
      </c>
      <c r="C20" s="8">
        <v>29.5</v>
      </c>
      <c r="D20" s="7">
        <v>18</v>
      </c>
      <c r="E20" s="7">
        <v>4</v>
      </c>
      <c r="F20" s="7">
        <v>4</v>
      </c>
      <c r="G20" s="8">
        <v>324</v>
      </c>
      <c r="H20" s="9">
        <v>0.0912</v>
      </c>
    </row>
    <row r="21" spans="1:8">
      <c r="A21" s="4" t="s">
        <v>477</v>
      </c>
      <c r="B21" s="4" t="s">
        <v>939</v>
      </c>
      <c r="C21" s="8">
        <v>28</v>
      </c>
      <c r="D21" s="7">
        <v>3</v>
      </c>
      <c r="E21" s="7">
        <v>1</v>
      </c>
      <c r="F21" s="7">
        <v>0</v>
      </c>
      <c r="G21" s="8">
        <v>148</v>
      </c>
      <c r="H21" s="9">
        <v>0.1896</v>
      </c>
    </row>
    <row r="22" spans="1:8">
      <c r="A22" s="4" t="s">
        <v>143</v>
      </c>
      <c r="B22" s="4" t="s">
        <v>1082</v>
      </c>
      <c r="C22" s="8">
        <v>25.5</v>
      </c>
      <c r="D22" s="7">
        <v>30</v>
      </c>
      <c r="E22" s="7">
        <v>7</v>
      </c>
      <c r="F22" s="7">
        <v>8</v>
      </c>
      <c r="G22" s="8">
        <v>142</v>
      </c>
      <c r="H22" s="9">
        <v>0.179</v>
      </c>
    </row>
    <row r="23" spans="1:8">
      <c r="A23" s="4" t="s">
        <v>400</v>
      </c>
      <c r="B23" s="4" t="s">
        <v>1083</v>
      </c>
      <c r="C23" s="8">
        <v>25</v>
      </c>
      <c r="D23" s="7">
        <v>5</v>
      </c>
      <c r="E23" s="7">
        <v>2</v>
      </c>
      <c r="F23" s="7">
        <v>0</v>
      </c>
      <c r="G23" s="8">
        <v>209</v>
      </c>
      <c r="H23" s="9">
        <v>0.1195</v>
      </c>
    </row>
    <row r="24" spans="1:8">
      <c r="A24" s="4" t="s">
        <v>194</v>
      </c>
      <c r="B24" s="4" t="s">
        <v>1084</v>
      </c>
      <c r="C24" s="8">
        <v>25</v>
      </c>
      <c r="D24" s="7">
        <v>5</v>
      </c>
      <c r="E24" s="7">
        <v>1</v>
      </c>
      <c r="F24" s="7">
        <v>1</v>
      </c>
      <c r="G24" s="8">
        <v>144</v>
      </c>
      <c r="H24" s="9">
        <v>0.1739</v>
      </c>
    </row>
    <row r="25" spans="1:8">
      <c r="A25" s="4" t="s">
        <v>173</v>
      </c>
      <c r="B25" s="4" t="s">
        <v>1085</v>
      </c>
      <c r="C25" s="8">
        <v>24.7</v>
      </c>
      <c r="D25" s="7">
        <v>3</v>
      </c>
      <c r="E25" s="7">
        <v>1</v>
      </c>
      <c r="F25" s="7">
        <v>0</v>
      </c>
      <c r="G25" s="8">
        <v>272</v>
      </c>
      <c r="H25" s="9">
        <v>0.09080000000000001</v>
      </c>
    </row>
    <row r="26" spans="1:8">
      <c r="A26" s="4" t="s">
        <v>161</v>
      </c>
      <c r="B26" s="4"/>
      <c r="C26" s="8">
        <v>23.1</v>
      </c>
      <c r="D26" s="7">
        <v>8</v>
      </c>
      <c r="E26" s="7">
        <v>0</v>
      </c>
      <c r="F26" s="7">
        <v>2</v>
      </c>
      <c r="G26" s="8">
        <v>168</v>
      </c>
      <c r="H26" s="9">
        <v>0.1375</v>
      </c>
    </row>
    <row r="27" spans="1:8">
      <c r="A27" s="4" t="s">
        <v>243</v>
      </c>
      <c r="B27" s="4" t="s">
        <v>930</v>
      </c>
      <c r="C27" s="8">
        <v>23</v>
      </c>
      <c r="D27" s="7">
        <v>18</v>
      </c>
      <c r="E27" s="7">
        <v>3</v>
      </c>
      <c r="F27" s="7">
        <v>5</v>
      </c>
      <c r="G27" s="8">
        <v>284</v>
      </c>
      <c r="H27" s="9">
        <v>0.081</v>
      </c>
    </row>
    <row r="28" spans="1:8">
      <c r="A28" s="4" t="s">
        <v>255</v>
      </c>
      <c r="B28" s="4"/>
      <c r="C28" s="8">
        <v>20</v>
      </c>
      <c r="D28" s="7">
        <v>15</v>
      </c>
      <c r="E28" s="7">
        <v>0</v>
      </c>
      <c r="F28" s="7">
        <v>3</v>
      </c>
      <c r="G28" s="8">
        <v>138</v>
      </c>
      <c r="H28" s="9">
        <v>0.1446</v>
      </c>
    </row>
    <row r="29" spans="1:8">
      <c r="A29" s="4" t="s">
        <v>500</v>
      </c>
      <c r="B29" s="4" t="s">
        <v>1086</v>
      </c>
      <c r="C29" s="8">
        <v>20</v>
      </c>
      <c r="D29" s="7">
        <v>11</v>
      </c>
      <c r="E29" s="7">
        <v>0</v>
      </c>
      <c r="F29" s="7">
        <v>4</v>
      </c>
      <c r="G29" s="8">
        <v>110</v>
      </c>
      <c r="H29" s="9">
        <v>0.1811</v>
      </c>
    </row>
    <row r="30" spans="1:8">
      <c r="A30" s="4" t="s">
        <v>361</v>
      </c>
      <c r="B30" s="4" t="s">
        <v>1087</v>
      </c>
      <c r="C30" s="8">
        <v>20</v>
      </c>
      <c r="D30" s="7">
        <v>3</v>
      </c>
      <c r="E30" s="7">
        <v>1</v>
      </c>
      <c r="F30" s="7">
        <v>0</v>
      </c>
      <c r="G30" s="8">
        <v>114</v>
      </c>
      <c r="H30" s="9">
        <v>0.1759</v>
      </c>
    </row>
    <row r="31" spans="1:8">
      <c r="A31" s="4" t="s">
        <v>167</v>
      </c>
      <c r="B31" s="4" t="s">
        <v>928</v>
      </c>
      <c r="C31" s="8">
        <v>18</v>
      </c>
      <c r="D31" s="7">
        <v>11</v>
      </c>
      <c r="E31" s="7">
        <v>1</v>
      </c>
      <c r="F31" s="7">
        <v>1</v>
      </c>
      <c r="G31" s="8">
        <v>216</v>
      </c>
      <c r="H31" s="9">
        <v>0.0835</v>
      </c>
    </row>
    <row r="32" spans="1:8">
      <c r="A32" s="4" t="s">
        <v>188</v>
      </c>
      <c r="B32" s="4" t="s">
        <v>1088</v>
      </c>
      <c r="C32" s="8">
        <v>17</v>
      </c>
      <c r="D32" s="7">
        <v>5</v>
      </c>
      <c r="E32" s="7">
        <v>3</v>
      </c>
      <c r="F32" s="7">
        <v>0</v>
      </c>
      <c r="G32" s="8">
        <v>247</v>
      </c>
      <c r="H32" s="9">
        <v>0.0689</v>
      </c>
    </row>
    <row r="33" spans="1:8">
      <c r="A33" s="4" t="s">
        <v>988</v>
      </c>
      <c r="B33" s="4" t="s">
        <v>1089</v>
      </c>
      <c r="C33" s="8">
        <v>13.4</v>
      </c>
      <c r="D33" s="7">
        <v>3</v>
      </c>
      <c r="E33" s="7">
        <v>1</v>
      </c>
      <c r="F33" s="7">
        <v>1</v>
      </c>
      <c r="G33" s="8">
        <v>1052</v>
      </c>
      <c r="H33" s="9">
        <v>0.0127</v>
      </c>
    </row>
    <row r="34" spans="1:8">
      <c r="A34" s="4" t="s">
        <v>460</v>
      </c>
      <c r="B34" s="4"/>
      <c r="C34" s="8">
        <v>11.6</v>
      </c>
      <c r="D34" s="7">
        <v>3</v>
      </c>
      <c r="E34" s="7">
        <v>0</v>
      </c>
      <c r="F34" s="7">
        <v>0</v>
      </c>
      <c r="G34" s="8">
        <v>594</v>
      </c>
      <c r="H34" s="9">
        <v>0.0195</v>
      </c>
    </row>
    <row r="35" spans="1:8">
      <c r="A35" s="4" t="s">
        <v>135</v>
      </c>
      <c r="B35" s="4" t="s">
        <v>936</v>
      </c>
      <c r="C35" s="8">
        <v>11.4</v>
      </c>
      <c r="D35" s="7">
        <v>22</v>
      </c>
      <c r="E35" s="7">
        <v>6</v>
      </c>
      <c r="F35" s="7">
        <v>1</v>
      </c>
      <c r="G35" s="8">
        <v>134</v>
      </c>
      <c r="H35" s="9">
        <v>0.0848</v>
      </c>
    </row>
    <row r="36" spans="1:8">
      <c r="A36" s="4" t="s">
        <v>150</v>
      </c>
      <c r="B36" s="4"/>
      <c r="C36" s="8">
        <v>10.7</v>
      </c>
      <c r="D36" s="7">
        <v>5</v>
      </c>
      <c r="E36" s="7">
        <v>1</v>
      </c>
      <c r="F36" s="7">
        <v>0</v>
      </c>
      <c r="G36" s="8">
        <v>248</v>
      </c>
      <c r="H36" s="9">
        <v>0.0432</v>
      </c>
    </row>
    <row r="37" spans="1:8">
      <c r="A37" s="4" t="s">
        <v>155</v>
      </c>
      <c r="B37" s="4" t="s">
        <v>1090</v>
      </c>
      <c r="C37" s="8">
        <v>10</v>
      </c>
      <c r="D37" s="7">
        <v>3</v>
      </c>
      <c r="E37" s="7">
        <v>1</v>
      </c>
      <c r="F37" s="7">
        <v>0</v>
      </c>
      <c r="G37" s="8">
        <v>1181</v>
      </c>
      <c r="H37" s="9">
        <v>0.008500000000000001</v>
      </c>
    </row>
    <row r="38" spans="1:8">
      <c r="A38" s="4" t="s">
        <v>300</v>
      </c>
      <c r="B38" s="4" t="s">
        <v>1091</v>
      </c>
      <c r="C38" s="8">
        <v>8.199999999999999</v>
      </c>
      <c r="D38" s="7">
        <v>5</v>
      </c>
      <c r="E38" s="7">
        <v>0</v>
      </c>
      <c r="F38" s="7">
        <v>2</v>
      </c>
      <c r="G38" s="8">
        <v>171</v>
      </c>
      <c r="H38" s="9">
        <v>0.0479</v>
      </c>
    </row>
    <row r="39" spans="1:8">
      <c r="A39" s="4" t="s">
        <v>178</v>
      </c>
      <c r="B39" s="4" t="s">
        <v>934</v>
      </c>
      <c r="C39" s="8">
        <v>8.199999999999999</v>
      </c>
      <c r="D39" s="7">
        <v>3</v>
      </c>
      <c r="E39" s="7">
        <v>0</v>
      </c>
      <c r="F39" s="7">
        <v>0</v>
      </c>
      <c r="G39" s="8">
        <v>280</v>
      </c>
      <c r="H39" s="9">
        <v>0.0293</v>
      </c>
    </row>
  </sheetData>
  <autoFilter ref="A15:H39"/>
  <mergeCells count="1">
    <mergeCell ref="A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I7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9" width="12.7109375" customWidth="1"/>
  </cols>
  <sheetData>
    <row r="1" spans="1:9">
      <c r="A1" s="1" t="s">
        <v>1092</v>
      </c>
    </row>
    <row r="2" spans="1:9" ht="30" customHeight="1">
      <c r="A2" s="2" t="s">
        <v>1093</v>
      </c>
      <c r="B2" s="2"/>
      <c r="C2" s="2"/>
      <c r="D2" s="2"/>
      <c r="E2" s="2"/>
      <c r="F2" s="2"/>
      <c r="G2" s="2"/>
      <c r="H2" s="2"/>
      <c r="I2" s="2"/>
    </row>
    <row r="4" spans="1:9">
      <c r="A4" s="6" t="s">
        <v>120</v>
      </c>
      <c r="B4" s="6" t="s">
        <v>122</v>
      </c>
      <c r="C4" s="6" t="s">
        <v>121</v>
      </c>
      <c r="D4" s="6" t="s">
        <v>125</v>
      </c>
      <c r="E4" s="6" t="s">
        <v>1094</v>
      </c>
      <c r="F4" s="6" t="s">
        <v>1095</v>
      </c>
      <c r="G4" s="6" t="s">
        <v>1065</v>
      </c>
      <c r="H4" s="6" t="s">
        <v>1096</v>
      </c>
    </row>
    <row r="5" spans="1:9">
      <c r="A5" s="4" t="s">
        <v>1097</v>
      </c>
      <c r="B5" s="4" t="s">
        <v>1098</v>
      </c>
      <c r="C5" s="4" t="s">
        <v>149</v>
      </c>
      <c r="D5" s="7">
        <v>1500</v>
      </c>
      <c r="E5" s="7">
        <v>2004</v>
      </c>
      <c r="F5" s="8">
        <v>895000</v>
      </c>
      <c r="G5" s="8">
        <v>597</v>
      </c>
      <c r="H5" s="11">
        <v>2.2</v>
      </c>
    </row>
    <row r="6" spans="1:9">
      <c r="A6" s="4" t="s">
        <v>508</v>
      </c>
      <c r="B6" s="4" t="s">
        <v>509</v>
      </c>
      <c r="C6" s="4" t="s">
        <v>160</v>
      </c>
      <c r="D6" s="7">
        <v>13402</v>
      </c>
      <c r="E6" s="7">
        <v>1959</v>
      </c>
      <c r="F6" s="8">
        <v>1800000</v>
      </c>
      <c r="G6" s="8">
        <v>134</v>
      </c>
      <c r="H6" s="11">
        <v>-14.8</v>
      </c>
    </row>
    <row r="7" spans="1:9">
      <c r="A7" s="4" t="s">
        <v>1099</v>
      </c>
      <c r="B7" s="4" t="s">
        <v>230</v>
      </c>
      <c r="C7" s="4" t="s">
        <v>160</v>
      </c>
      <c r="D7" s="7">
        <v>12500</v>
      </c>
      <c r="E7" s="7">
        <v>1959</v>
      </c>
      <c r="F7" s="8">
        <v>2700000</v>
      </c>
      <c r="G7" s="8">
        <v>216</v>
      </c>
      <c r="H7" s="11">
        <v>156.1</v>
      </c>
    </row>
    <row r="8" spans="1:9">
      <c r="A8" s="4" t="s">
        <v>1100</v>
      </c>
      <c r="B8" s="4" t="s">
        <v>230</v>
      </c>
      <c r="C8" s="4" t="s">
        <v>134</v>
      </c>
      <c r="D8" s="7">
        <v>1938</v>
      </c>
      <c r="E8" s="10" t="s">
        <v>144</v>
      </c>
      <c r="F8" s="8">
        <v>325000</v>
      </c>
      <c r="G8" s="8">
        <v>168</v>
      </c>
      <c r="H8" s="11">
        <v>-28.7</v>
      </c>
    </row>
    <row r="9" spans="1:9">
      <c r="A9" s="4" t="s">
        <v>1101</v>
      </c>
      <c r="B9" s="4" t="s">
        <v>230</v>
      </c>
      <c r="C9" s="4" t="s">
        <v>193</v>
      </c>
      <c r="D9" s="7">
        <v>5200</v>
      </c>
      <c r="E9" s="7">
        <v>1974</v>
      </c>
      <c r="F9" s="8">
        <v>200000</v>
      </c>
      <c r="G9" s="8">
        <v>38</v>
      </c>
      <c r="H9" s="11">
        <v>-40.4</v>
      </c>
    </row>
    <row r="10" spans="1:9">
      <c r="A10" s="4" t="s">
        <v>1102</v>
      </c>
      <c r="B10" s="4" t="s">
        <v>230</v>
      </c>
      <c r="C10" s="4" t="s">
        <v>134</v>
      </c>
      <c r="D10" s="7">
        <v>1938</v>
      </c>
      <c r="E10" s="10" t="s">
        <v>144</v>
      </c>
      <c r="F10" s="8">
        <v>185000</v>
      </c>
      <c r="G10" s="8">
        <v>95</v>
      </c>
      <c r="H10" s="11">
        <v>-59.4</v>
      </c>
    </row>
    <row r="11" spans="1:9">
      <c r="A11" s="4" t="s">
        <v>1103</v>
      </c>
      <c r="B11" s="4" t="s">
        <v>1104</v>
      </c>
      <c r="C11" s="4" t="s">
        <v>149</v>
      </c>
      <c r="D11" s="7">
        <v>10289</v>
      </c>
      <c r="E11" s="7">
        <v>1952</v>
      </c>
      <c r="F11" s="8">
        <v>1350000</v>
      </c>
      <c r="G11" s="8">
        <v>131</v>
      </c>
      <c r="H11" s="11">
        <v>-37.1</v>
      </c>
    </row>
    <row r="12" spans="1:9">
      <c r="A12" s="4" t="s">
        <v>1105</v>
      </c>
      <c r="B12" s="4" t="s">
        <v>188</v>
      </c>
      <c r="C12" s="4" t="s">
        <v>166</v>
      </c>
      <c r="D12" s="7">
        <v>36491</v>
      </c>
      <c r="E12" s="7">
        <v>1960</v>
      </c>
      <c r="F12" s="8">
        <v>3500000</v>
      </c>
      <c r="G12" s="8">
        <v>96</v>
      </c>
      <c r="H12" s="11">
        <v>39.8</v>
      </c>
    </row>
    <row r="13" spans="1:9">
      <c r="A13" s="4" t="s">
        <v>1106</v>
      </c>
      <c r="B13" s="4" t="s">
        <v>183</v>
      </c>
      <c r="C13" s="4" t="s">
        <v>134</v>
      </c>
      <c r="D13" s="7">
        <v>17001</v>
      </c>
      <c r="E13" s="7">
        <v>1964</v>
      </c>
      <c r="F13" s="8">
        <v>3450000</v>
      </c>
      <c r="G13" s="8">
        <v>203</v>
      </c>
      <c r="H13" s="11">
        <v>41.3</v>
      </c>
    </row>
    <row r="14" spans="1:9">
      <c r="A14" s="4" t="s">
        <v>1107</v>
      </c>
      <c r="B14" s="4" t="s">
        <v>183</v>
      </c>
      <c r="C14" s="4" t="s">
        <v>160</v>
      </c>
      <c r="D14" s="7">
        <v>22496</v>
      </c>
      <c r="E14" s="7">
        <v>1957</v>
      </c>
      <c r="F14" s="8">
        <v>2700000</v>
      </c>
      <c r="G14" s="8">
        <v>120</v>
      </c>
      <c r="H14" s="11">
        <v>0.3</v>
      </c>
    </row>
    <row r="15" spans="1:9">
      <c r="A15" s="4" t="s">
        <v>1108</v>
      </c>
      <c r="B15" s="4" t="s">
        <v>250</v>
      </c>
      <c r="C15" s="4" t="s">
        <v>160</v>
      </c>
      <c r="D15" s="7">
        <v>12960</v>
      </c>
      <c r="E15" s="7">
        <v>1955</v>
      </c>
      <c r="F15" s="8">
        <v>2550000</v>
      </c>
      <c r="G15" s="8">
        <v>197</v>
      </c>
      <c r="H15" s="11">
        <v>22.7</v>
      </c>
    </row>
    <row r="16" spans="1:9">
      <c r="A16" s="4" t="s">
        <v>1109</v>
      </c>
      <c r="B16" s="4" t="s">
        <v>250</v>
      </c>
      <c r="C16" s="4" t="s">
        <v>160</v>
      </c>
      <c r="D16" s="7">
        <v>6750</v>
      </c>
      <c r="E16" s="7">
        <v>1946</v>
      </c>
      <c r="F16" s="8">
        <v>1015000</v>
      </c>
      <c r="G16" s="8">
        <v>150</v>
      </c>
      <c r="H16" s="11">
        <v>-33.7</v>
      </c>
    </row>
    <row r="17" spans="1:8">
      <c r="A17" s="4" t="s">
        <v>1110</v>
      </c>
      <c r="B17" s="4" t="s">
        <v>352</v>
      </c>
      <c r="C17" s="4" t="s">
        <v>160</v>
      </c>
      <c r="D17" s="7">
        <v>5500</v>
      </c>
      <c r="E17" s="7">
        <v>1956</v>
      </c>
      <c r="F17" s="8">
        <v>1950000</v>
      </c>
      <c r="G17" s="8">
        <v>355</v>
      </c>
      <c r="H17" s="11">
        <v>40.1</v>
      </c>
    </row>
    <row r="18" spans="1:8">
      <c r="A18" s="4" t="s">
        <v>1111</v>
      </c>
      <c r="B18" s="4" t="s">
        <v>352</v>
      </c>
      <c r="C18" s="4" t="s">
        <v>160</v>
      </c>
      <c r="D18" s="7">
        <v>5500</v>
      </c>
      <c r="E18" s="7">
        <v>1961</v>
      </c>
      <c r="F18" s="8">
        <v>1780000</v>
      </c>
      <c r="G18" s="8">
        <v>324</v>
      </c>
      <c r="H18" s="11">
        <v>27.9</v>
      </c>
    </row>
    <row r="19" spans="1:8">
      <c r="A19" s="4" t="s">
        <v>1112</v>
      </c>
      <c r="B19" s="4" t="s">
        <v>352</v>
      </c>
      <c r="C19" s="4" t="s">
        <v>160</v>
      </c>
      <c r="D19" s="7">
        <v>6192</v>
      </c>
      <c r="E19" s="7">
        <v>1953</v>
      </c>
      <c r="F19" s="8">
        <v>1195000</v>
      </c>
      <c r="G19" s="8">
        <v>193</v>
      </c>
      <c r="H19" s="11">
        <v>-18.7</v>
      </c>
    </row>
    <row r="20" spans="1:8">
      <c r="A20" s="4" t="s">
        <v>1113</v>
      </c>
      <c r="B20" s="4" t="s">
        <v>1114</v>
      </c>
      <c r="C20" s="4" t="s">
        <v>160</v>
      </c>
      <c r="D20" s="7">
        <v>11349</v>
      </c>
      <c r="E20" s="7">
        <v>1960</v>
      </c>
      <c r="F20" s="8">
        <v>1080000</v>
      </c>
      <c r="G20" s="8">
        <v>95</v>
      </c>
      <c r="H20" s="11">
        <v>-44.7</v>
      </c>
    </row>
    <row r="21" spans="1:8">
      <c r="A21" s="4" t="s">
        <v>1115</v>
      </c>
      <c r="B21" s="4" t="s">
        <v>194</v>
      </c>
      <c r="C21" s="4" t="s">
        <v>149</v>
      </c>
      <c r="D21" s="7">
        <v>11736</v>
      </c>
      <c r="E21" s="7">
        <v>1959</v>
      </c>
      <c r="F21" s="8">
        <v>1575244</v>
      </c>
      <c r="G21" s="8">
        <v>134</v>
      </c>
      <c r="H21" s="11">
        <v>-31</v>
      </c>
    </row>
    <row r="22" spans="1:8">
      <c r="A22" s="4" t="s">
        <v>1116</v>
      </c>
      <c r="B22" s="4" t="s">
        <v>194</v>
      </c>
      <c r="C22" s="4" t="s">
        <v>149</v>
      </c>
      <c r="D22" s="7">
        <v>10000</v>
      </c>
      <c r="E22" s="7">
        <v>1952</v>
      </c>
      <c r="F22" s="8">
        <v>1075000</v>
      </c>
      <c r="G22" s="8">
        <v>108</v>
      </c>
      <c r="H22" s="11">
        <v>-49.2</v>
      </c>
    </row>
    <row r="23" spans="1:8">
      <c r="A23" s="4" t="s">
        <v>1117</v>
      </c>
      <c r="B23" s="4" t="s">
        <v>143</v>
      </c>
      <c r="C23" s="4" t="s">
        <v>160</v>
      </c>
      <c r="D23" s="7">
        <v>13683</v>
      </c>
      <c r="E23" s="7">
        <v>1971</v>
      </c>
      <c r="F23" s="8">
        <v>2600000</v>
      </c>
      <c r="G23" s="8">
        <v>190</v>
      </c>
      <c r="H23" s="11">
        <v>25.7</v>
      </c>
    </row>
    <row r="24" spans="1:8">
      <c r="A24" s="4" t="s">
        <v>1118</v>
      </c>
      <c r="B24" s="4" t="s">
        <v>143</v>
      </c>
      <c r="C24" s="4" t="s">
        <v>134</v>
      </c>
      <c r="D24" s="7">
        <v>9998</v>
      </c>
      <c r="E24" s="7">
        <v>1959</v>
      </c>
      <c r="F24" s="8">
        <v>1765000</v>
      </c>
      <c r="G24" s="8">
        <v>177</v>
      </c>
      <c r="H24" s="11">
        <v>-4.3</v>
      </c>
    </row>
    <row r="25" spans="1:8">
      <c r="A25" s="4" t="s">
        <v>1119</v>
      </c>
      <c r="B25" s="4" t="s">
        <v>143</v>
      </c>
      <c r="C25" s="4" t="s">
        <v>134</v>
      </c>
      <c r="D25" s="7">
        <v>16500</v>
      </c>
      <c r="E25" s="7">
        <v>1968</v>
      </c>
      <c r="F25" s="8">
        <v>1725000</v>
      </c>
      <c r="G25" s="8">
        <v>105</v>
      </c>
      <c r="H25" s="11">
        <v>-26.1</v>
      </c>
    </row>
    <row r="26" spans="1:8">
      <c r="A26" s="4" t="s">
        <v>1120</v>
      </c>
      <c r="B26" s="4" t="s">
        <v>143</v>
      </c>
      <c r="C26" s="4" t="s">
        <v>160</v>
      </c>
      <c r="D26" s="7">
        <v>11662</v>
      </c>
      <c r="E26" s="7">
        <v>1950</v>
      </c>
      <c r="F26" s="8">
        <v>1395000</v>
      </c>
      <c r="G26" s="8">
        <v>120</v>
      </c>
      <c r="H26" s="11">
        <v>-27.1</v>
      </c>
    </row>
    <row r="27" spans="1:8">
      <c r="A27" s="4" t="s">
        <v>1121</v>
      </c>
      <c r="B27" s="4" t="s">
        <v>143</v>
      </c>
      <c r="C27" s="4" t="s">
        <v>134</v>
      </c>
      <c r="D27" s="7">
        <v>11662</v>
      </c>
      <c r="E27" s="7">
        <v>1950</v>
      </c>
      <c r="F27" s="8">
        <v>1365000</v>
      </c>
      <c r="G27" s="8">
        <v>117</v>
      </c>
      <c r="H27" s="11">
        <v>-31</v>
      </c>
    </row>
    <row r="28" spans="1:8">
      <c r="A28" s="4" t="s">
        <v>1122</v>
      </c>
      <c r="B28" s="4" t="s">
        <v>143</v>
      </c>
      <c r="C28" s="4" t="s">
        <v>160</v>
      </c>
      <c r="D28" s="7">
        <v>6003</v>
      </c>
      <c r="E28" s="7">
        <v>1974</v>
      </c>
      <c r="F28" s="8">
        <v>1200000</v>
      </c>
      <c r="G28" s="8">
        <v>200</v>
      </c>
      <c r="H28" s="11">
        <v>-14.7</v>
      </c>
    </row>
    <row r="29" spans="1:8">
      <c r="A29" s="4" t="s">
        <v>1123</v>
      </c>
      <c r="B29" s="4" t="s">
        <v>143</v>
      </c>
      <c r="C29" s="4" t="s">
        <v>134</v>
      </c>
      <c r="D29" s="7">
        <v>3429</v>
      </c>
      <c r="E29" s="7">
        <v>1961</v>
      </c>
      <c r="F29" s="8">
        <v>1175000</v>
      </c>
      <c r="G29" s="8">
        <v>343</v>
      </c>
      <c r="H29" s="11">
        <v>5.1</v>
      </c>
    </row>
    <row r="30" spans="1:8">
      <c r="A30" s="4" t="s">
        <v>1124</v>
      </c>
      <c r="B30" s="4" t="s">
        <v>143</v>
      </c>
      <c r="C30" s="4" t="s">
        <v>172</v>
      </c>
      <c r="D30" s="7">
        <v>6110</v>
      </c>
      <c r="E30" s="7">
        <v>1965</v>
      </c>
      <c r="F30" s="8">
        <v>1150000</v>
      </c>
      <c r="G30" s="8">
        <v>188</v>
      </c>
      <c r="H30" s="11">
        <v>20.9</v>
      </c>
    </row>
    <row r="31" spans="1:8">
      <c r="A31" s="4" t="s">
        <v>1125</v>
      </c>
      <c r="B31" s="4" t="s">
        <v>143</v>
      </c>
      <c r="C31" s="4" t="s">
        <v>134</v>
      </c>
      <c r="D31" s="7">
        <v>9828</v>
      </c>
      <c r="E31" s="7">
        <v>2000</v>
      </c>
      <c r="F31" s="8">
        <v>1115000</v>
      </c>
      <c r="G31" s="8">
        <v>113</v>
      </c>
      <c r="H31" s="11">
        <v>-39.3</v>
      </c>
    </row>
    <row r="32" spans="1:8">
      <c r="A32" s="4" t="s">
        <v>1126</v>
      </c>
      <c r="B32" s="4" t="s">
        <v>143</v>
      </c>
      <c r="C32" s="4" t="s">
        <v>160</v>
      </c>
      <c r="D32" s="7">
        <v>7004</v>
      </c>
      <c r="E32" s="7">
        <v>1956</v>
      </c>
      <c r="F32" s="8">
        <v>885000</v>
      </c>
      <c r="G32" s="8">
        <v>126</v>
      </c>
      <c r="H32" s="11">
        <v>-41.4</v>
      </c>
    </row>
    <row r="33" spans="1:8">
      <c r="A33" s="4" t="s">
        <v>1127</v>
      </c>
      <c r="B33" s="4" t="s">
        <v>143</v>
      </c>
      <c r="C33" s="4" t="s">
        <v>134</v>
      </c>
      <c r="D33" s="7">
        <v>1258</v>
      </c>
      <c r="E33" s="7">
        <v>2006</v>
      </c>
      <c r="F33" s="8">
        <v>580000</v>
      </c>
      <c r="G33" s="8">
        <v>461</v>
      </c>
      <c r="H33" s="11">
        <v>-17.4</v>
      </c>
    </row>
    <row r="34" spans="1:8">
      <c r="A34" s="4" t="s">
        <v>1128</v>
      </c>
      <c r="B34" s="4" t="s">
        <v>243</v>
      </c>
      <c r="C34" s="4" t="s">
        <v>160</v>
      </c>
      <c r="D34" s="7">
        <v>35087</v>
      </c>
      <c r="E34" s="7">
        <v>1972</v>
      </c>
      <c r="F34" s="8">
        <v>6300000</v>
      </c>
      <c r="G34" s="8">
        <v>180</v>
      </c>
      <c r="H34" s="11">
        <v>51.1</v>
      </c>
    </row>
    <row r="35" spans="1:8">
      <c r="A35" s="4" t="s">
        <v>365</v>
      </c>
      <c r="B35" s="4" t="s">
        <v>243</v>
      </c>
      <c r="C35" s="4" t="s">
        <v>221</v>
      </c>
      <c r="D35" s="7">
        <v>7960</v>
      </c>
      <c r="E35" s="7">
        <v>1962</v>
      </c>
      <c r="F35" s="8">
        <v>2150000</v>
      </c>
      <c r="G35" s="8">
        <v>270</v>
      </c>
      <c r="H35" s="11">
        <v>35.2</v>
      </c>
    </row>
    <row r="36" spans="1:8">
      <c r="A36" s="4" t="s">
        <v>1129</v>
      </c>
      <c r="B36" s="4" t="s">
        <v>243</v>
      </c>
      <c r="C36" s="4" t="s">
        <v>160</v>
      </c>
      <c r="D36" s="7">
        <v>13512</v>
      </c>
      <c r="E36" s="7">
        <v>1952</v>
      </c>
      <c r="F36" s="8">
        <v>2051000</v>
      </c>
      <c r="G36" s="8">
        <v>152</v>
      </c>
      <c r="H36" s="11">
        <v>-22.9</v>
      </c>
    </row>
    <row r="37" spans="1:8">
      <c r="A37" s="4" t="s">
        <v>1130</v>
      </c>
      <c r="B37" s="4" t="s">
        <v>243</v>
      </c>
      <c r="C37" s="4" t="s">
        <v>160</v>
      </c>
      <c r="D37" s="7">
        <v>11480</v>
      </c>
      <c r="E37" s="7">
        <v>1969</v>
      </c>
      <c r="F37" s="8">
        <v>1750000</v>
      </c>
      <c r="G37" s="8">
        <v>152</v>
      </c>
      <c r="H37" s="11">
        <v>-29.2</v>
      </c>
    </row>
    <row r="38" spans="1:8">
      <c r="A38" s="4" t="s">
        <v>1131</v>
      </c>
      <c r="B38" s="4" t="s">
        <v>243</v>
      </c>
      <c r="C38" s="4" t="s">
        <v>160</v>
      </c>
      <c r="D38" s="7">
        <v>6752</v>
      </c>
      <c r="E38" s="7">
        <v>1964</v>
      </c>
      <c r="F38" s="8">
        <v>1150000</v>
      </c>
      <c r="G38" s="8">
        <v>170</v>
      </c>
      <c r="H38" s="11">
        <v>-40.3</v>
      </c>
    </row>
    <row r="39" spans="1:8">
      <c r="A39" s="4" t="s">
        <v>1132</v>
      </c>
      <c r="B39" s="4" t="s">
        <v>243</v>
      </c>
      <c r="C39" s="4" t="s">
        <v>134</v>
      </c>
      <c r="D39" s="7">
        <v>1276</v>
      </c>
      <c r="E39" s="7">
        <v>2007</v>
      </c>
      <c r="F39" s="8">
        <v>575000</v>
      </c>
      <c r="G39" s="8">
        <v>451</v>
      </c>
      <c r="H39" s="11">
        <v>-37.3</v>
      </c>
    </row>
    <row r="40" spans="1:8">
      <c r="A40" s="4" t="s">
        <v>1133</v>
      </c>
      <c r="B40" s="4" t="s">
        <v>477</v>
      </c>
      <c r="C40" s="4" t="s">
        <v>134</v>
      </c>
      <c r="D40" s="7">
        <v>25024</v>
      </c>
      <c r="E40" s="7">
        <v>1962</v>
      </c>
      <c r="F40" s="8">
        <v>4500000</v>
      </c>
      <c r="G40" s="8">
        <v>180</v>
      </c>
      <c r="H40" s="11">
        <v>53.8</v>
      </c>
    </row>
    <row r="41" spans="1:8">
      <c r="A41" s="4" t="s">
        <v>1134</v>
      </c>
      <c r="B41" s="4" t="s">
        <v>477</v>
      </c>
      <c r="C41" s="4" t="s">
        <v>221</v>
      </c>
      <c r="D41" s="7">
        <v>6250</v>
      </c>
      <c r="E41" s="7">
        <v>1954</v>
      </c>
      <c r="F41" s="8">
        <v>1140000</v>
      </c>
      <c r="G41" s="8">
        <v>182</v>
      </c>
      <c r="H41" s="11">
        <v>0.9</v>
      </c>
    </row>
    <row r="42" spans="1:8">
      <c r="A42" s="4" t="s">
        <v>1135</v>
      </c>
      <c r="B42" s="4" t="s">
        <v>500</v>
      </c>
      <c r="C42" s="4" t="s">
        <v>149</v>
      </c>
      <c r="D42" s="7">
        <v>20250</v>
      </c>
      <c r="E42" s="7">
        <v>1953</v>
      </c>
      <c r="F42" s="8">
        <v>2575000</v>
      </c>
      <c r="G42" s="8">
        <v>127</v>
      </c>
      <c r="H42" s="11">
        <v>-12.6</v>
      </c>
    </row>
    <row r="43" spans="1:8">
      <c r="A43" s="4" t="s">
        <v>791</v>
      </c>
      <c r="B43" s="4" t="s">
        <v>500</v>
      </c>
      <c r="C43" s="4" t="s">
        <v>166</v>
      </c>
      <c r="D43" s="7">
        <v>5268</v>
      </c>
      <c r="E43" s="7">
        <v>1968</v>
      </c>
      <c r="F43" s="8">
        <v>500000</v>
      </c>
      <c r="G43" s="8">
        <v>95</v>
      </c>
      <c r="H43" s="11">
        <v>-50.6</v>
      </c>
    </row>
    <row r="44" spans="1:8">
      <c r="A44" s="4" t="s">
        <v>1136</v>
      </c>
      <c r="B44" s="4" t="s">
        <v>255</v>
      </c>
      <c r="C44" s="4" t="s">
        <v>149</v>
      </c>
      <c r="D44" s="7">
        <v>10125</v>
      </c>
      <c r="E44" s="7">
        <v>1971</v>
      </c>
      <c r="F44" s="8">
        <v>2050000</v>
      </c>
      <c r="G44" s="8">
        <v>202</v>
      </c>
      <c r="H44" s="11">
        <v>47.1</v>
      </c>
    </row>
    <row r="45" spans="1:8">
      <c r="A45" s="4" t="s">
        <v>1137</v>
      </c>
      <c r="B45" s="4" t="s">
        <v>255</v>
      </c>
      <c r="C45" s="4" t="s">
        <v>166</v>
      </c>
      <c r="D45" s="7">
        <v>12217</v>
      </c>
      <c r="E45" s="7">
        <v>1963</v>
      </c>
      <c r="F45" s="8">
        <v>875000</v>
      </c>
      <c r="G45" s="8">
        <v>72</v>
      </c>
      <c r="H45" s="11">
        <v>-10.7</v>
      </c>
    </row>
    <row r="46" spans="1:8">
      <c r="A46" s="4" t="s">
        <v>333</v>
      </c>
      <c r="B46" s="4" t="s">
        <v>161</v>
      </c>
      <c r="C46" s="4" t="s">
        <v>149</v>
      </c>
      <c r="D46" s="7">
        <v>13951</v>
      </c>
      <c r="E46" s="7">
        <v>1957</v>
      </c>
      <c r="F46" s="8">
        <v>2464500</v>
      </c>
      <c r="G46" s="8">
        <v>177</v>
      </c>
      <c r="H46" s="11">
        <v>24.7</v>
      </c>
    </row>
    <row r="47" spans="1:8">
      <c r="A47" s="4" t="s">
        <v>1138</v>
      </c>
      <c r="B47" s="4" t="s">
        <v>161</v>
      </c>
      <c r="C47" s="4" t="s">
        <v>166</v>
      </c>
      <c r="D47" s="7">
        <v>15800</v>
      </c>
      <c r="E47" s="10" t="s">
        <v>144</v>
      </c>
      <c r="F47" s="8">
        <v>1726650</v>
      </c>
      <c r="G47" s="8">
        <v>109</v>
      </c>
      <c r="H47" s="11">
        <v>27.8</v>
      </c>
    </row>
    <row r="48" spans="1:8">
      <c r="A48" s="4" t="s">
        <v>542</v>
      </c>
      <c r="B48" s="4" t="s">
        <v>161</v>
      </c>
      <c r="C48" s="4" t="s">
        <v>160</v>
      </c>
      <c r="D48" s="7">
        <v>13802</v>
      </c>
      <c r="E48" s="7">
        <v>1975</v>
      </c>
      <c r="F48" s="8">
        <v>1550000</v>
      </c>
      <c r="G48" s="8">
        <v>112</v>
      </c>
      <c r="H48" s="11">
        <v>-9.5</v>
      </c>
    </row>
    <row r="49" spans="1:8">
      <c r="A49" s="4" t="s">
        <v>1139</v>
      </c>
      <c r="B49" s="4" t="s">
        <v>161</v>
      </c>
      <c r="C49" s="4" t="s">
        <v>149</v>
      </c>
      <c r="D49" s="7">
        <v>1488</v>
      </c>
      <c r="E49" s="7">
        <v>1999</v>
      </c>
      <c r="F49" s="8">
        <v>595000</v>
      </c>
      <c r="G49" s="8">
        <v>400</v>
      </c>
      <c r="H49" s="11">
        <v>-14.5</v>
      </c>
    </row>
    <row r="50" spans="1:8">
      <c r="A50" s="4" t="s">
        <v>1140</v>
      </c>
      <c r="B50" s="4" t="s">
        <v>150</v>
      </c>
      <c r="C50" s="4" t="s">
        <v>160</v>
      </c>
      <c r="D50" s="7">
        <v>9445</v>
      </c>
      <c r="E50" s="7">
        <v>1946</v>
      </c>
      <c r="F50" s="8">
        <v>3000000</v>
      </c>
      <c r="G50" s="8">
        <v>318</v>
      </c>
      <c r="H50" s="11">
        <v>67.59999999999999</v>
      </c>
    </row>
    <row r="51" spans="1:8">
      <c r="A51" s="4" t="s">
        <v>1141</v>
      </c>
      <c r="B51" s="4" t="s">
        <v>300</v>
      </c>
      <c r="C51" s="4" t="s">
        <v>149</v>
      </c>
      <c r="D51" s="7">
        <v>31764</v>
      </c>
      <c r="E51" s="7">
        <v>1957</v>
      </c>
      <c r="F51" s="8">
        <v>4050000</v>
      </c>
      <c r="G51" s="8">
        <v>128</v>
      </c>
      <c r="H51" s="11">
        <v>23.6</v>
      </c>
    </row>
    <row r="52" spans="1:8">
      <c r="A52" s="4" t="s">
        <v>1142</v>
      </c>
      <c r="B52" s="4" t="s">
        <v>300</v>
      </c>
      <c r="C52" s="4" t="s">
        <v>134</v>
      </c>
      <c r="D52" s="7">
        <v>4250</v>
      </c>
      <c r="E52" s="7">
        <v>2003</v>
      </c>
      <c r="F52" s="8">
        <v>1262500</v>
      </c>
      <c r="G52" s="8">
        <v>297</v>
      </c>
      <c r="H52" s="11">
        <v>9.4</v>
      </c>
    </row>
    <row r="53" spans="1:8">
      <c r="A53" s="4" t="s">
        <v>1143</v>
      </c>
      <c r="B53" s="4" t="s">
        <v>300</v>
      </c>
      <c r="C53" s="4" t="s">
        <v>134</v>
      </c>
      <c r="D53" s="7">
        <v>5250</v>
      </c>
      <c r="E53" s="7">
        <v>1990</v>
      </c>
      <c r="F53" s="8">
        <v>1262500</v>
      </c>
      <c r="G53" s="8">
        <v>240</v>
      </c>
      <c r="H53" s="11">
        <v>-0.8</v>
      </c>
    </row>
    <row r="54" spans="1:8">
      <c r="A54" s="4" t="s">
        <v>1144</v>
      </c>
      <c r="B54" s="4" t="s">
        <v>300</v>
      </c>
      <c r="C54" s="4" t="s">
        <v>134</v>
      </c>
      <c r="D54" s="7">
        <v>6250</v>
      </c>
      <c r="E54" s="7">
        <v>1971</v>
      </c>
      <c r="F54" s="8">
        <v>700000</v>
      </c>
      <c r="G54" s="8">
        <v>112</v>
      </c>
      <c r="H54" s="11">
        <v>-49.2</v>
      </c>
    </row>
    <row r="55" spans="1:8">
      <c r="A55" s="4" t="s">
        <v>1145</v>
      </c>
      <c r="B55" s="4" t="s">
        <v>178</v>
      </c>
      <c r="C55" s="4" t="s">
        <v>134</v>
      </c>
      <c r="D55" s="7">
        <v>12300</v>
      </c>
      <c r="E55" s="7">
        <v>1958</v>
      </c>
      <c r="F55" s="8">
        <v>1750000</v>
      </c>
      <c r="G55" s="8">
        <v>142</v>
      </c>
      <c r="H55" s="11">
        <v>-40.2</v>
      </c>
    </row>
    <row r="56" spans="1:8">
      <c r="A56" s="4" t="s">
        <v>1146</v>
      </c>
      <c r="B56" s="4" t="s">
        <v>178</v>
      </c>
      <c r="C56" s="4" t="s">
        <v>172</v>
      </c>
      <c r="D56" s="7">
        <v>3921</v>
      </c>
      <c r="E56" s="7">
        <v>1959</v>
      </c>
      <c r="F56" s="8">
        <v>1200000</v>
      </c>
      <c r="G56" s="8">
        <v>306</v>
      </c>
      <c r="H56" s="11">
        <v>7.9</v>
      </c>
    </row>
    <row r="57" spans="1:8">
      <c r="A57" s="4" t="s">
        <v>1147</v>
      </c>
      <c r="B57" s="4" t="s">
        <v>178</v>
      </c>
      <c r="C57" s="4" t="s">
        <v>172</v>
      </c>
      <c r="D57" s="7">
        <v>1200</v>
      </c>
      <c r="E57" s="7">
        <v>1962</v>
      </c>
      <c r="F57" s="8">
        <v>675000</v>
      </c>
      <c r="G57" s="8">
        <v>562</v>
      </c>
      <c r="H57" s="11">
        <v>5.6</v>
      </c>
    </row>
    <row r="58" spans="1:8">
      <c r="A58" s="4" t="s">
        <v>1148</v>
      </c>
      <c r="B58" s="4" t="s">
        <v>178</v>
      </c>
      <c r="C58" s="4" t="s">
        <v>172</v>
      </c>
      <c r="D58" s="7">
        <v>1200</v>
      </c>
      <c r="E58" s="7">
        <v>1961</v>
      </c>
      <c r="F58" s="8">
        <v>483600</v>
      </c>
      <c r="G58" s="8">
        <v>403</v>
      </c>
      <c r="H58" s="11">
        <v>-24.4</v>
      </c>
    </row>
    <row r="59" spans="1:8">
      <c r="A59" s="4" t="s">
        <v>1149</v>
      </c>
      <c r="B59" s="4" t="s">
        <v>1150</v>
      </c>
      <c r="C59" s="4" t="s">
        <v>221</v>
      </c>
      <c r="D59" s="7">
        <v>15756</v>
      </c>
      <c r="E59" s="10" t="s">
        <v>144</v>
      </c>
      <c r="F59" s="8">
        <v>901000</v>
      </c>
      <c r="G59" s="8">
        <v>57</v>
      </c>
      <c r="H59" s="11">
        <v>-48.3</v>
      </c>
    </row>
    <row r="60" spans="1:8">
      <c r="A60" s="4" t="s">
        <v>1151</v>
      </c>
      <c r="B60" s="4" t="s">
        <v>395</v>
      </c>
      <c r="C60" s="4" t="s">
        <v>160</v>
      </c>
      <c r="D60" s="7">
        <v>10125</v>
      </c>
      <c r="E60" s="7">
        <v>1959</v>
      </c>
      <c r="F60" s="8">
        <v>3767690</v>
      </c>
      <c r="G60" s="8">
        <v>372</v>
      </c>
      <c r="H60" s="11">
        <v>103.4</v>
      </c>
    </row>
    <row r="61" spans="1:8">
      <c r="A61" s="4" t="s">
        <v>1152</v>
      </c>
      <c r="B61" s="4" t="s">
        <v>395</v>
      </c>
      <c r="C61" s="4" t="s">
        <v>134</v>
      </c>
      <c r="D61" s="7">
        <v>6997</v>
      </c>
      <c r="E61" s="7">
        <v>1964</v>
      </c>
      <c r="F61" s="8">
        <v>3200000</v>
      </c>
      <c r="G61" s="8">
        <v>457</v>
      </c>
      <c r="H61" s="11">
        <v>98.59999999999999</v>
      </c>
    </row>
    <row r="62" spans="1:8">
      <c r="A62" s="4" t="s">
        <v>1153</v>
      </c>
      <c r="B62" s="4" t="s">
        <v>395</v>
      </c>
      <c r="C62" s="4" t="s">
        <v>172</v>
      </c>
      <c r="D62" s="7">
        <v>5625</v>
      </c>
      <c r="E62" s="7">
        <v>1959</v>
      </c>
      <c r="F62" s="8">
        <v>1600000</v>
      </c>
      <c r="G62" s="8">
        <v>284</v>
      </c>
      <c r="H62" s="11">
        <v>69.40000000000001</v>
      </c>
    </row>
    <row r="63" spans="1:8">
      <c r="A63" s="4" t="s">
        <v>1154</v>
      </c>
      <c r="B63" s="4" t="s">
        <v>395</v>
      </c>
      <c r="C63" s="4" t="s">
        <v>172</v>
      </c>
      <c r="D63" s="7">
        <v>12496</v>
      </c>
      <c r="E63" s="7">
        <v>1961</v>
      </c>
      <c r="F63" s="8">
        <v>950000</v>
      </c>
      <c r="G63" s="8">
        <v>76</v>
      </c>
      <c r="H63" s="11">
        <v>-30.8</v>
      </c>
    </row>
    <row r="64" spans="1:8">
      <c r="A64" s="4" t="s">
        <v>1155</v>
      </c>
      <c r="B64" s="4" t="s">
        <v>135</v>
      </c>
      <c r="C64" s="4" t="s">
        <v>134</v>
      </c>
      <c r="D64" s="7">
        <v>7000</v>
      </c>
      <c r="E64" s="7">
        <v>1960</v>
      </c>
      <c r="F64" s="8">
        <v>1400000</v>
      </c>
      <c r="G64" s="8">
        <v>200</v>
      </c>
      <c r="H64" s="11">
        <v>-2</v>
      </c>
    </row>
    <row r="65" spans="1:8">
      <c r="A65" s="4" t="s">
        <v>682</v>
      </c>
      <c r="B65" s="4" t="s">
        <v>135</v>
      </c>
      <c r="C65" s="4" t="s">
        <v>134</v>
      </c>
      <c r="D65" s="7">
        <v>1412</v>
      </c>
      <c r="E65" s="7">
        <v>1939</v>
      </c>
      <c r="F65" s="8">
        <v>985000</v>
      </c>
      <c r="G65" s="8">
        <v>698</v>
      </c>
      <c r="H65" s="11">
        <v>46.3</v>
      </c>
    </row>
    <row r="66" spans="1:8">
      <c r="A66" s="4" t="s">
        <v>1156</v>
      </c>
      <c r="B66" s="4" t="s">
        <v>135</v>
      </c>
      <c r="C66" s="4" t="s">
        <v>149</v>
      </c>
      <c r="D66" s="7">
        <v>1671</v>
      </c>
      <c r="E66" s="7">
        <v>1998</v>
      </c>
      <c r="F66" s="8">
        <v>905000</v>
      </c>
      <c r="G66" s="8">
        <v>542</v>
      </c>
      <c r="H66" s="11">
        <v>10.9</v>
      </c>
    </row>
    <row r="67" spans="1:8">
      <c r="A67" s="4" t="s">
        <v>1157</v>
      </c>
      <c r="B67" s="4" t="s">
        <v>135</v>
      </c>
      <c r="C67" s="4" t="s">
        <v>193</v>
      </c>
      <c r="D67" s="7">
        <v>6250</v>
      </c>
      <c r="E67" s="7">
        <v>1925</v>
      </c>
      <c r="F67" s="8">
        <v>700000</v>
      </c>
      <c r="G67" s="8">
        <v>112</v>
      </c>
      <c r="H67" s="11">
        <v>11.9</v>
      </c>
    </row>
    <row r="68" spans="1:8">
      <c r="A68" s="4" t="s">
        <v>1158</v>
      </c>
      <c r="B68" s="4" t="s">
        <v>135</v>
      </c>
      <c r="C68" s="4" t="s">
        <v>134</v>
      </c>
      <c r="D68" s="7">
        <v>6776</v>
      </c>
      <c r="E68" s="7">
        <v>1959</v>
      </c>
      <c r="F68" s="8">
        <v>660000</v>
      </c>
      <c r="G68" s="8">
        <v>97</v>
      </c>
      <c r="H68" s="11">
        <v>-53.1</v>
      </c>
    </row>
    <row r="69" spans="1:8">
      <c r="A69" s="4" t="s">
        <v>1159</v>
      </c>
      <c r="B69" s="4" t="s">
        <v>135</v>
      </c>
      <c r="C69" s="4" t="s">
        <v>166</v>
      </c>
      <c r="D69" s="7">
        <v>4633</v>
      </c>
      <c r="E69" s="7">
        <v>1949</v>
      </c>
      <c r="F69" s="8">
        <v>600000</v>
      </c>
      <c r="G69" s="8">
        <v>130</v>
      </c>
      <c r="H69" s="11">
        <v>-28.8</v>
      </c>
    </row>
    <row r="70" spans="1:8">
      <c r="A70" s="4" t="s">
        <v>1160</v>
      </c>
      <c r="B70" s="4" t="s">
        <v>135</v>
      </c>
      <c r="C70" s="4" t="s">
        <v>193</v>
      </c>
      <c r="D70" s="7">
        <v>7380</v>
      </c>
      <c r="E70" s="7">
        <v>1960</v>
      </c>
      <c r="F70" s="8">
        <v>505000</v>
      </c>
      <c r="G70" s="8">
        <v>68</v>
      </c>
      <c r="H70" s="11">
        <v>-25.6</v>
      </c>
    </row>
    <row r="71" spans="1:8">
      <c r="A71" s="4" t="s">
        <v>1161</v>
      </c>
      <c r="B71" s="4" t="s">
        <v>216</v>
      </c>
      <c r="C71" s="4" t="s">
        <v>134</v>
      </c>
      <c r="D71" s="7">
        <v>31542</v>
      </c>
      <c r="E71" s="7">
        <v>1963</v>
      </c>
      <c r="F71" s="8">
        <v>3450000</v>
      </c>
      <c r="G71" s="8">
        <v>109</v>
      </c>
      <c r="H71" s="11">
        <v>-19.7</v>
      </c>
    </row>
    <row r="72" spans="1:8">
      <c r="A72" s="4" t="s">
        <v>1162</v>
      </c>
      <c r="B72" s="4" t="s">
        <v>216</v>
      </c>
      <c r="C72" s="4" t="s">
        <v>160</v>
      </c>
      <c r="D72" s="7">
        <v>13500</v>
      </c>
      <c r="E72" s="7">
        <v>1973</v>
      </c>
      <c r="F72" s="8">
        <v>1950000</v>
      </c>
      <c r="G72" s="8">
        <v>144</v>
      </c>
      <c r="H72" s="11">
        <v>-30.3</v>
      </c>
    </row>
    <row r="73" spans="1:8">
      <c r="A73" s="4" t="s">
        <v>1163</v>
      </c>
      <c r="B73" s="4" t="s">
        <v>1164</v>
      </c>
      <c r="C73" s="4" t="s">
        <v>149</v>
      </c>
      <c r="D73" s="7">
        <v>5170</v>
      </c>
      <c r="E73" s="7">
        <v>2000</v>
      </c>
      <c r="F73" s="8">
        <v>1725000</v>
      </c>
      <c r="G73" s="8">
        <v>334</v>
      </c>
      <c r="H73" s="11">
        <v>10.4</v>
      </c>
    </row>
  </sheetData>
  <autoFilter ref="A4:H73"/>
  <mergeCells count="1">
    <mergeCell ref="A2:I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F101"/>
  <sheetViews>
    <sheetView workbookViewId="0"/>
  </sheetViews>
  <sheetFormatPr defaultRowHeight="15"/>
  <cols>
    <col min="1" max="1" width="36.7109375" customWidth="1"/>
    <col min="2" max="6" width="22.7109375" customWidth="1"/>
  </cols>
  <sheetData>
    <row r="1" spans="1:6">
      <c r="A1" s="1" t="s">
        <v>1165</v>
      </c>
    </row>
    <row r="2" spans="1:6" ht="30" customHeight="1">
      <c r="A2" s="2" t="s">
        <v>1166</v>
      </c>
      <c r="B2" s="2"/>
      <c r="C2" s="2"/>
      <c r="D2" s="2"/>
      <c r="E2" s="2"/>
      <c r="F2" s="2"/>
    </row>
    <row r="4" spans="1:6">
      <c r="A4" s="1" t="s">
        <v>1167</v>
      </c>
    </row>
    <row r="5" spans="1:6">
      <c r="A5" s="6" t="s">
        <v>1007</v>
      </c>
      <c r="B5" s="6" t="s">
        <v>1168</v>
      </c>
      <c r="C5" s="6" t="s">
        <v>1169</v>
      </c>
      <c r="D5" s="6" t="s">
        <v>1073</v>
      </c>
      <c r="E5" s="6" t="s">
        <v>1170</v>
      </c>
      <c r="F5" s="6" t="s">
        <v>1171</v>
      </c>
    </row>
    <row r="6" spans="1:6" ht="30" customHeight="1">
      <c r="A6" s="3" t="s">
        <v>160</v>
      </c>
      <c r="B6" s="4" t="s">
        <v>1172</v>
      </c>
      <c r="C6" s="4" t="s">
        <v>1173</v>
      </c>
      <c r="D6" s="4" t="s">
        <v>1174</v>
      </c>
      <c r="E6" s="4" t="s">
        <v>1175</v>
      </c>
      <c r="F6" s="4" t="s">
        <v>1176</v>
      </c>
    </row>
    <row r="7" spans="1:6" ht="30" customHeight="1">
      <c r="A7" s="3" t="s">
        <v>193</v>
      </c>
      <c r="B7" s="4" t="s">
        <v>1177</v>
      </c>
      <c r="C7" s="4" t="s">
        <v>1178</v>
      </c>
      <c r="D7" s="4" t="s">
        <v>1179</v>
      </c>
      <c r="E7" s="4" t="s">
        <v>1180</v>
      </c>
      <c r="F7" s="4" t="s">
        <v>1181</v>
      </c>
    </row>
    <row r="8" spans="1:6" ht="30" customHeight="1">
      <c r="A8" s="3" t="s">
        <v>172</v>
      </c>
      <c r="B8" s="4" t="s">
        <v>1182</v>
      </c>
      <c r="C8" s="4" t="s">
        <v>1183</v>
      </c>
      <c r="D8" s="4" t="s">
        <v>1184</v>
      </c>
      <c r="E8" s="4" t="s">
        <v>1185</v>
      </c>
      <c r="F8" s="4" t="s">
        <v>1186</v>
      </c>
    </row>
    <row r="9" spans="1:6" ht="30" customHeight="1">
      <c r="A9" s="3" t="s">
        <v>149</v>
      </c>
      <c r="B9" s="4" t="s">
        <v>1187</v>
      </c>
      <c r="C9" s="4" t="s">
        <v>1188</v>
      </c>
      <c r="D9" s="4" t="s">
        <v>1189</v>
      </c>
      <c r="E9" s="4" t="s">
        <v>1190</v>
      </c>
      <c r="F9" s="4" t="s">
        <v>1191</v>
      </c>
    </row>
    <row r="10" spans="1:6" ht="30" customHeight="1">
      <c r="A10" s="3" t="s">
        <v>142</v>
      </c>
      <c r="B10" s="4" t="s">
        <v>1192</v>
      </c>
      <c r="C10" s="4" t="s">
        <v>1193</v>
      </c>
      <c r="D10" s="4" t="s">
        <v>1194</v>
      </c>
      <c r="E10" s="4" t="s">
        <v>1195</v>
      </c>
      <c r="F10" s="4" t="s">
        <v>1196</v>
      </c>
    </row>
    <row r="11" spans="1:6" ht="30" customHeight="1">
      <c r="A11" s="3" t="s">
        <v>166</v>
      </c>
      <c r="B11" s="4" t="s">
        <v>1197</v>
      </c>
      <c r="C11" s="4" t="s">
        <v>1198</v>
      </c>
      <c r="D11" s="4" t="s">
        <v>1199</v>
      </c>
      <c r="E11" s="4" t="s">
        <v>1200</v>
      </c>
      <c r="F11" s="4" t="s">
        <v>1201</v>
      </c>
    </row>
    <row r="13" spans="1:6">
      <c r="A13" s="1" t="s">
        <v>1202</v>
      </c>
    </row>
    <row r="14" spans="1:6">
      <c r="A14" s="3" t="s">
        <v>1203</v>
      </c>
      <c r="B14" s="4" t="s">
        <v>1204</v>
      </c>
      <c r="C14" s="4"/>
      <c r="D14" s="4"/>
      <c r="E14" s="4"/>
      <c r="F14" s="4"/>
    </row>
    <row r="15" spans="1:6">
      <c r="A15" s="3" t="s">
        <v>1205</v>
      </c>
      <c r="B15" s="4" t="s">
        <v>1206</v>
      </c>
      <c r="C15" s="4"/>
      <c r="D15" s="4"/>
      <c r="E15" s="4"/>
      <c r="F15" s="4"/>
    </row>
    <row r="16" spans="1:6">
      <c r="A16" s="3" t="s">
        <v>1207</v>
      </c>
      <c r="B16" s="4" t="s">
        <v>1208</v>
      </c>
      <c r="C16" s="4"/>
      <c r="D16" s="4"/>
      <c r="E16" s="4"/>
      <c r="F16" s="4"/>
    </row>
    <row r="17" spans="1:6">
      <c r="A17" s="3" t="s">
        <v>193</v>
      </c>
      <c r="B17" s="4" t="s">
        <v>1209</v>
      </c>
      <c r="C17" s="4"/>
      <c r="D17" s="4"/>
      <c r="E17" s="4"/>
      <c r="F17" s="4"/>
    </row>
    <row r="18" spans="1:6">
      <c r="A18" s="3" t="s">
        <v>1210</v>
      </c>
      <c r="B18" s="4" t="s">
        <v>1211</v>
      </c>
      <c r="C18" s="4"/>
      <c r="D18" s="4"/>
      <c r="E18" s="4"/>
      <c r="F18" s="4"/>
    </row>
    <row r="19" spans="1:6">
      <c r="A19" s="3" t="s">
        <v>1212</v>
      </c>
      <c r="B19" s="4" t="s">
        <v>1213</v>
      </c>
      <c r="C19" s="4"/>
      <c r="D19" s="4"/>
      <c r="E19" s="4"/>
      <c r="F19" s="4"/>
    </row>
    <row r="20" spans="1:6">
      <c r="A20" s="3" t="s">
        <v>142</v>
      </c>
      <c r="B20" s="4" t="s">
        <v>1214</v>
      </c>
      <c r="C20" s="4"/>
      <c r="D20" s="4"/>
      <c r="E20" s="4"/>
      <c r="F20" s="4"/>
    </row>
    <row r="22" spans="1:6">
      <c r="A22" s="1" t="s">
        <v>1215</v>
      </c>
    </row>
    <row r="23" spans="1:6">
      <c r="A23" s="3" t="s">
        <v>1216</v>
      </c>
      <c r="B23" s="4" t="s">
        <v>1217</v>
      </c>
      <c r="C23" s="4"/>
      <c r="D23" s="4"/>
      <c r="E23" s="4"/>
      <c r="F23" s="4"/>
    </row>
    <row r="24" spans="1:6">
      <c r="A24" s="3" t="s">
        <v>1218</v>
      </c>
      <c r="B24" s="4" t="s">
        <v>1219</v>
      </c>
      <c r="C24" s="4"/>
      <c r="D24" s="4"/>
      <c r="E24" s="4"/>
      <c r="F24" s="4"/>
    </row>
    <row r="25" spans="1:6">
      <c r="A25" s="3" t="s">
        <v>1220</v>
      </c>
      <c r="B25" s="4" t="s">
        <v>1221</v>
      </c>
      <c r="C25" s="4"/>
      <c r="D25" s="4"/>
      <c r="E25" s="4"/>
      <c r="F25" s="4"/>
    </row>
    <row r="26" spans="1:6">
      <c r="A26" s="3" t="s">
        <v>1222</v>
      </c>
      <c r="B26" s="4" t="s">
        <v>1223</v>
      </c>
      <c r="C26" s="4"/>
      <c r="D26" s="4"/>
      <c r="E26" s="4"/>
      <c r="F26" s="4"/>
    </row>
    <row r="27" spans="1:6">
      <c r="A27" s="3" t="s">
        <v>1224</v>
      </c>
      <c r="B27" s="4" t="s">
        <v>1225</v>
      </c>
      <c r="C27" s="4"/>
      <c r="D27" s="4"/>
      <c r="E27" s="4"/>
      <c r="F27" s="4"/>
    </row>
    <row r="29" spans="1:6">
      <c r="A29" s="1" t="s">
        <v>1226</v>
      </c>
    </row>
    <row r="30" spans="1:6">
      <c r="A30" s="3" t="s">
        <v>1227</v>
      </c>
      <c r="B30" s="4" t="s">
        <v>1228</v>
      </c>
      <c r="C30" s="4"/>
      <c r="D30" s="4"/>
      <c r="E30" s="4"/>
      <c r="F30" s="4"/>
    </row>
    <row r="31" spans="1:6">
      <c r="A31" s="3" t="s">
        <v>1229</v>
      </c>
      <c r="B31" s="4" t="s">
        <v>1230</v>
      </c>
      <c r="C31" s="4"/>
      <c r="D31" s="4"/>
      <c r="E31" s="4"/>
      <c r="F31" s="4"/>
    </row>
    <row r="32" spans="1:6">
      <c r="A32" s="3" t="s">
        <v>1231</v>
      </c>
      <c r="B32" s="4" t="s">
        <v>1232</v>
      </c>
      <c r="C32" s="4"/>
      <c r="D32" s="4"/>
      <c r="E32" s="4"/>
      <c r="F32" s="4"/>
    </row>
    <row r="33" spans="1:6">
      <c r="A33" s="3" t="s">
        <v>1233</v>
      </c>
      <c r="B33" s="4" t="s">
        <v>1234</v>
      </c>
      <c r="C33" s="4"/>
      <c r="D33" s="4"/>
      <c r="E33" s="4"/>
      <c r="F33" s="4"/>
    </row>
    <row r="34" spans="1:6">
      <c r="A34" s="3" t="s">
        <v>1235</v>
      </c>
      <c r="B34" s="4" t="s">
        <v>1236</v>
      </c>
      <c r="C34" s="4"/>
      <c r="D34" s="4"/>
      <c r="E34" s="4"/>
      <c r="F34" s="4"/>
    </row>
    <row r="36" spans="1:6">
      <c r="A36" s="1" t="s">
        <v>1237</v>
      </c>
    </row>
    <row r="37" spans="1:6">
      <c r="A37" s="3" t="s">
        <v>1238</v>
      </c>
      <c r="B37" s="4" t="s">
        <v>1239</v>
      </c>
      <c r="C37" s="4"/>
      <c r="D37" s="4"/>
      <c r="E37" s="4"/>
      <c r="F37" s="4"/>
    </row>
    <row r="38" spans="1:6">
      <c r="A38" s="3" t="s">
        <v>1240</v>
      </c>
      <c r="B38" s="4" t="s">
        <v>1241</v>
      </c>
      <c r="C38" s="4"/>
      <c r="D38" s="4"/>
      <c r="E38" s="4"/>
      <c r="F38" s="4"/>
    </row>
    <row r="39" spans="1:6">
      <c r="A39" s="3" t="s">
        <v>1242</v>
      </c>
      <c r="B39" s="4" t="s">
        <v>1243</v>
      </c>
      <c r="C39" s="4"/>
      <c r="D39" s="4"/>
      <c r="E39" s="4"/>
      <c r="F39" s="4"/>
    </row>
    <row r="40" spans="1:6">
      <c r="A40" s="3" t="s">
        <v>1244</v>
      </c>
      <c r="B40" s="4" t="s">
        <v>1245</v>
      </c>
      <c r="C40" s="4"/>
      <c r="D40" s="4"/>
      <c r="E40" s="4"/>
      <c r="F40" s="4"/>
    </row>
    <row r="41" spans="1:6">
      <c r="A41" s="3" t="s">
        <v>1246</v>
      </c>
      <c r="B41" s="4" t="s">
        <v>1247</v>
      </c>
      <c r="C41" s="4"/>
      <c r="D41" s="4"/>
      <c r="E41" s="4"/>
      <c r="F41" s="4"/>
    </row>
    <row r="42" spans="1:6">
      <c r="A42" s="3" t="s">
        <v>1248</v>
      </c>
      <c r="B42" s="4" t="s">
        <v>1249</v>
      </c>
      <c r="C42" s="4"/>
      <c r="D42" s="4"/>
      <c r="E42" s="4"/>
      <c r="F42" s="4"/>
    </row>
    <row r="43" spans="1:6">
      <c r="A43" s="3" t="s">
        <v>1250</v>
      </c>
      <c r="B43" s="4" t="s">
        <v>1251</v>
      </c>
      <c r="C43" s="4"/>
      <c r="D43" s="4"/>
      <c r="E43" s="4"/>
      <c r="F43" s="4"/>
    </row>
    <row r="45" spans="1:6">
      <c r="A45" s="1" t="s">
        <v>1252</v>
      </c>
    </row>
    <row r="46" spans="1:6">
      <c r="A46" s="3" t="s">
        <v>1253</v>
      </c>
      <c r="B46" s="4" t="s">
        <v>1254</v>
      </c>
      <c r="C46" s="4"/>
      <c r="D46" s="4"/>
      <c r="E46" s="4"/>
      <c r="F46" s="4"/>
    </row>
    <row r="47" spans="1:6">
      <c r="A47" s="3" t="s">
        <v>1255</v>
      </c>
      <c r="B47" s="4" t="s">
        <v>1256</v>
      </c>
      <c r="C47" s="4"/>
      <c r="D47" s="4"/>
      <c r="E47" s="4"/>
      <c r="F47" s="4"/>
    </row>
    <row r="48" spans="1:6">
      <c r="A48" s="3" t="s">
        <v>1257</v>
      </c>
      <c r="B48" s="4" t="s">
        <v>1258</v>
      </c>
      <c r="C48" s="4"/>
      <c r="D48" s="4"/>
      <c r="E48" s="4"/>
      <c r="F48" s="4"/>
    </row>
    <row r="49" spans="1:6">
      <c r="A49" s="3" t="s">
        <v>1259</v>
      </c>
      <c r="B49" s="4" t="s">
        <v>1260</v>
      </c>
      <c r="C49" s="4"/>
      <c r="D49" s="4"/>
      <c r="E49" s="4"/>
      <c r="F49" s="4"/>
    </row>
    <row r="50" spans="1:6">
      <c r="A50" s="3" t="s">
        <v>1261</v>
      </c>
      <c r="B50" s="4" t="s">
        <v>1262</v>
      </c>
      <c r="C50" s="4"/>
      <c r="D50" s="4"/>
      <c r="E50" s="4"/>
      <c r="F50" s="4"/>
    </row>
    <row r="51" spans="1:6">
      <c r="A51" s="3" t="s">
        <v>1263</v>
      </c>
      <c r="B51" s="4" t="s">
        <v>1264</v>
      </c>
      <c r="C51" s="4"/>
      <c r="D51" s="4"/>
      <c r="E51" s="4"/>
      <c r="F51" s="4"/>
    </row>
    <row r="52" spans="1:6">
      <c r="A52" s="3" t="s">
        <v>1265</v>
      </c>
      <c r="B52" s="4" t="s">
        <v>1266</v>
      </c>
      <c r="C52" s="4"/>
      <c r="D52" s="4"/>
      <c r="E52" s="4"/>
      <c r="F52" s="4"/>
    </row>
    <row r="54" spans="1:6">
      <c r="A54" s="1" t="s">
        <v>1267</v>
      </c>
    </row>
    <row r="55" spans="1:6">
      <c r="A55" s="3" t="s">
        <v>1268</v>
      </c>
      <c r="B55" s="4" t="s">
        <v>1269</v>
      </c>
      <c r="C55" s="4"/>
      <c r="D55" s="4"/>
      <c r="E55" s="4"/>
      <c r="F55" s="4"/>
    </row>
    <row r="56" spans="1:6">
      <c r="A56" s="3" t="s">
        <v>1270</v>
      </c>
      <c r="B56" s="4" t="s">
        <v>1271</v>
      </c>
      <c r="C56" s="4"/>
      <c r="D56" s="4"/>
      <c r="E56" s="4"/>
      <c r="F56" s="4"/>
    </row>
    <row r="57" spans="1:6">
      <c r="A57" s="3" t="s">
        <v>1272</v>
      </c>
      <c r="B57" s="4" t="s">
        <v>1273</v>
      </c>
      <c r="C57" s="4"/>
      <c r="D57" s="4"/>
      <c r="E57" s="4"/>
      <c r="F57" s="4"/>
    </row>
    <row r="58" spans="1:6">
      <c r="A58" s="3" t="s">
        <v>1274</v>
      </c>
      <c r="B58" s="4" t="s">
        <v>1275</v>
      </c>
      <c r="C58" s="4"/>
      <c r="D58" s="4"/>
      <c r="E58" s="4"/>
      <c r="F58" s="4"/>
    </row>
    <row r="59" spans="1:6">
      <c r="A59" s="3" t="s">
        <v>1276</v>
      </c>
      <c r="B59" s="4" t="s">
        <v>1277</v>
      </c>
      <c r="C59" s="4"/>
      <c r="D59" s="4"/>
      <c r="E59" s="4"/>
      <c r="F59" s="4"/>
    </row>
    <row r="61" spans="1:6">
      <c r="A61" s="1" t="s">
        <v>1278</v>
      </c>
    </row>
    <row r="62" spans="1:6">
      <c r="A62" s="3" t="s">
        <v>1279</v>
      </c>
      <c r="B62" s="4" t="s">
        <v>1280</v>
      </c>
      <c r="C62" s="4"/>
      <c r="D62" s="4"/>
      <c r="E62" s="4"/>
      <c r="F62" s="4"/>
    </row>
    <row r="63" spans="1:6">
      <c r="A63" s="3" t="s">
        <v>1281</v>
      </c>
      <c r="B63" s="4" t="s">
        <v>1282</v>
      </c>
      <c r="C63" s="4"/>
      <c r="D63" s="4"/>
      <c r="E63" s="4"/>
      <c r="F63" s="4"/>
    </row>
    <row r="64" spans="1:6">
      <c r="A64" s="3" t="s">
        <v>1283</v>
      </c>
      <c r="B64" s="4" t="s">
        <v>1284</v>
      </c>
      <c r="C64" s="4"/>
      <c r="D64" s="4"/>
      <c r="E64" s="4"/>
      <c r="F64" s="4"/>
    </row>
    <row r="66" spans="1:6">
      <c r="A66" s="1" t="s">
        <v>1285</v>
      </c>
    </row>
    <row r="67" spans="1:6" ht="58" customHeight="1">
      <c r="A67" s="3" t="s">
        <v>1286</v>
      </c>
      <c r="B67" s="4" t="s">
        <v>1287</v>
      </c>
      <c r="C67" s="4"/>
      <c r="D67" s="4"/>
      <c r="E67" s="4"/>
      <c r="F67" s="4"/>
    </row>
    <row r="68" spans="1:6" ht="58" customHeight="1">
      <c r="A68" s="3" t="s">
        <v>1288</v>
      </c>
      <c r="B68" s="4" t="s">
        <v>1289</v>
      </c>
      <c r="C68" s="4"/>
      <c r="D68" s="4"/>
      <c r="E68" s="4"/>
      <c r="F68" s="4"/>
    </row>
    <row r="69" spans="1:6" ht="58" customHeight="1">
      <c r="A69" s="3" t="s">
        <v>1290</v>
      </c>
      <c r="B69" s="4" t="s">
        <v>1291</v>
      </c>
      <c r="C69" s="4"/>
      <c r="D69" s="4"/>
      <c r="E69" s="4"/>
      <c r="F69" s="4"/>
    </row>
    <row r="70" spans="1:6" ht="58" customHeight="1">
      <c r="A70" s="3" t="s">
        <v>1292</v>
      </c>
      <c r="B70" s="4" t="s">
        <v>1293</v>
      </c>
      <c r="C70" s="4"/>
      <c r="D70" s="4"/>
      <c r="E70" s="4"/>
      <c r="F70" s="4"/>
    </row>
    <row r="71" spans="1:6" ht="58" customHeight="1">
      <c r="A71" s="3" t="s">
        <v>1294</v>
      </c>
      <c r="B71" s="4" t="s">
        <v>1295</v>
      </c>
      <c r="C71" s="4"/>
      <c r="D71" s="4"/>
      <c r="E71" s="4"/>
      <c r="F71" s="4"/>
    </row>
    <row r="72" spans="1:6" ht="58" customHeight="1">
      <c r="A72" s="3" t="s">
        <v>1296</v>
      </c>
      <c r="B72" s="4" t="s">
        <v>1295</v>
      </c>
      <c r="C72" s="4"/>
      <c r="D72" s="4"/>
      <c r="E72" s="4"/>
      <c r="F72" s="4"/>
    </row>
    <row r="73" spans="1:6" ht="58" customHeight="1">
      <c r="A73" s="3" t="s">
        <v>1297</v>
      </c>
      <c r="B73" s="4" t="s">
        <v>1298</v>
      </c>
      <c r="C73" s="4"/>
      <c r="D73" s="4"/>
      <c r="E73" s="4"/>
      <c r="F73" s="4"/>
    </row>
    <row r="74" spans="1:6" ht="58" customHeight="1">
      <c r="A74" s="3" t="s">
        <v>1299</v>
      </c>
      <c r="B74" s="4" t="s">
        <v>1289</v>
      </c>
      <c r="C74" s="4"/>
      <c r="D74" s="4"/>
      <c r="E74" s="4"/>
      <c r="F74" s="4"/>
    </row>
    <row r="75" spans="1:6" ht="58" customHeight="1">
      <c r="A75" s="3" t="s">
        <v>1300</v>
      </c>
      <c r="B75" s="4" t="s">
        <v>1301</v>
      </c>
      <c r="C75" s="4"/>
      <c r="D75" s="4"/>
      <c r="E75" s="4"/>
      <c r="F75" s="4"/>
    </row>
    <row r="77" spans="1:6">
      <c r="A77" s="1" t="s">
        <v>1302</v>
      </c>
    </row>
    <row r="78" spans="1:6">
      <c r="A78" s="15" t="s">
        <v>1303</v>
      </c>
    </row>
    <row r="79" spans="1:6">
      <c r="A79" s="15" t="s">
        <v>1304</v>
      </c>
    </row>
    <row r="80" spans="1:6">
      <c r="A80" s="15" t="s">
        <v>1305</v>
      </c>
    </row>
    <row r="81" spans="1:1">
      <c r="A81" s="15" t="s">
        <v>1306</v>
      </c>
    </row>
    <row r="82" spans="1:1">
      <c r="A82" s="15" t="s">
        <v>1307</v>
      </c>
    </row>
    <row r="83" spans="1:1">
      <c r="A83" s="15" t="s">
        <v>1308</v>
      </c>
    </row>
    <row r="84" spans="1:1">
      <c r="A84" s="15" t="s">
        <v>1309</v>
      </c>
    </row>
    <row r="85" spans="1:1">
      <c r="A85" s="15" t="s">
        <v>1310</v>
      </c>
    </row>
    <row r="86" spans="1:1">
      <c r="A86" s="15" t="s">
        <v>1311</v>
      </c>
    </row>
    <row r="87" spans="1:1">
      <c r="A87" s="15" t="s">
        <v>1312</v>
      </c>
    </row>
    <row r="88" spans="1:1">
      <c r="A88" s="15" t="s">
        <v>1313</v>
      </c>
    </row>
    <row r="89" spans="1:1">
      <c r="A89" s="15" t="s">
        <v>1314</v>
      </c>
    </row>
    <row r="90" spans="1:1">
      <c r="A90" s="15" t="s">
        <v>1315</v>
      </c>
    </row>
    <row r="91" spans="1:1">
      <c r="A91" s="15" t="s">
        <v>1316</v>
      </c>
    </row>
    <row r="92" spans="1:1">
      <c r="A92" s="15" t="s">
        <v>1317</v>
      </c>
    </row>
    <row r="93" spans="1:1">
      <c r="A93" s="15" t="s">
        <v>1318</v>
      </c>
    </row>
    <row r="94" spans="1:1">
      <c r="A94" s="15" t="s">
        <v>1319</v>
      </c>
    </row>
    <row r="95" spans="1:1">
      <c r="A95" s="15" t="s">
        <v>1320</v>
      </c>
    </row>
    <row r="96" spans="1:1">
      <c r="A96" s="15" t="s">
        <v>1321</v>
      </c>
    </row>
    <row r="97" spans="1:1">
      <c r="A97" s="15" t="s">
        <v>1322</v>
      </c>
    </row>
    <row r="98" spans="1:1">
      <c r="A98" s="15" t="s">
        <v>1323</v>
      </c>
    </row>
    <row r="99" spans="1:1">
      <c r="A99" s="15" t="s">
        <v>1324</v>
      </c>
    </row>
    <row r="100" spans="1:1">
      <c r="A100" s="15" t="s">
        <v>1325</v>
      </c>
    </row>
    <row r="101" spans="1:1">
      <c r="A101" s="15" t="s">
        <v>1326</v>
      </c>
    </row>
  </sheetData>
  <mergeCells count="49">
    <mergeCell ref="A2:F2"/>
    <mergeCell ref="B14:F14"/>
    <mergeCell ref="B15:F15"/>
    <mergeCell ref="B16:F16"/>
    <mergeCell ref="B17:F17"/>
    <mergeCell ref="B18:F18"/>
    <mergeCell ref="B19:F19"/>
    <mergeCell ref="B20:F20"/>
    <mergeCell ref="B23:F23"/>
    <mergeCell ref="B24:F24"/>
    <mergeCell ref="B25:F25"/>
    <mergeCell ref="B26:F26"/>
    <mergeCell ref="B27:F27"/>
    <mergeCell ref="B30:F30"/>
    <mergeCell ref="B31:F31"/>
    <mergeCell ref="B32:F32"/>
    <mergeCell ref="B33:F33"/>
    <mergeCell ref="B34:F34"/>
    <mergeCell ref="B37:F37"/>
    <mergeCell ref="B38:F38"/>
    <mergeCell ref="B39:F39"/>
    <mergeCell ref="B40:F40"/>
    <mergeCell ref="B41:F41"/>
    <mergeCell ref="B42:F42"/>
    <mergeCell ref="B43:F43"/>
    <mergeCell ref="B46:F46"/>
    <mergeCell ref="B47:F47"/>
    <mergeCell ref="B48:F48"/>
    <mergeCell ref="B49:F49"/>
    <mergeCell ref="B50:F50"/>
    <mergeCell ref="B51:F51"/>
    <mergeCell ref="B52:F52"/>
    <mergeCell ref="B55:F55"/>
    <mergeCell ref="B56:F56"/>
    <mergeCell ref="B57:F57"/>
    <mergeCell ref="B58:F58"/>
    <mergeCell ref="B59:F59"/>
    <mergeCell ref="B62:F62"/>
    <mergeCell ref="B63:F63"/>
    <mergeCell ref="B64:F64"/>
    <mergeCell ref="B67:F67"/>
    <mergeCell ref="B68:F68"/>
    <mergeCell ref="B69:F69"/>
    <mergeCell ref="B70:F70"/>
    <mergeCell ref="B71:F71"/>
    <mergeCell ref="B72:F72"/>
    <mergeCell ref="B73:F73"/>
    <mergeCell ref="B74:F74"/>
    <mergeCell ref="B75:F75"/>
  </mergeCells>
  <hyperlinks>
    <hyperlink ref="A78" r:id="rId1"/>
    <hyperlink ref="A79" r:id="rId2"/>
    <hyperlink ref="A80" r:id="rId3"/>
    <hyperlink ref="A81" r:id="rId4"/>
    <hyperlink ref="A82" r:id="rId5"/>
    <hyperlink ref="A83" r:id="rId6"/>
    <hyperlink ref="A84" r:id="rId7"/>
    <hyperlink ref="A85" r:id="rId8"/>
    <hyperlink ref="A86" r:id="rId9"/>
    <hyperlink ref="A87" r:id="rId10"/>
    <hyperlink ref="A88" r:id="rId11"/>
    <hyperlink ref="A89" r:id="rId12"/>
    <hyperlink ref="A90" r:id="rId13"/>
    <hyperlink ref="A91" r:id="rId14"/>
    <hyperlink ref="A92" r:id="rId15"/>
    <hyperlink ref="A93" r:id="rId16"/>
    <hyperlink ref="A94" r:id="rId17"/>
    <hyperlink ref="A95" r:id="rId18"/>
    <hyperlink ref="A96" r:id="rId19"/>
    <hyperlink ref="A97" r:id="rId20"/>
    <hyperlink ref="A98" r:id="rId21"/>
    <hyperlink ref="A99" r:id="rId22"/>
    <hyperlink ref="A100" r:id="rId23"/>
    <hyperlink ref="A101" r:id="rId24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20.7109375" customWidth="1"/>
    <col min="2" max="7" width="13.7109375" customWidth="1"/>
    <col min="8" max="9" width="14.7109375" customWidth="1"/>
  </cols>
  <sheetData>
    <row r="1" spans="1:9">
      <c r="A1" s="1" t="s">
        <v>1327</v>
      </c>
    </row>
    <row r="2" spans="1:9" ht="30" customHeight="1">
      <c r="A2" s="2" t="s">
        <v>1328</v>
      </c>
      <c r="B2" s="2"/>
      <c r="C2" s="2"/>
      <c r="D2" s="2"/>
      <c r="E2" s="2"/>
      <c r="F2" s="2"/>
      <c r="G2" s="2"/>
      <c r="H2" s="2"/>
    </row>
    <row r="4" spans="1:9">
      <c r="A4" s="6" t="s">
        <v>1007</v>
      </c>
      <c r="B4" s="6" t="s">
        <v>1010</v>
      </c>
      <c r="C4" s="6" t="s">
        <v>1329</v>
      </c>
      <c r="D4" s="6" t="s">
        <v>1330</v>
      </c>
      <c r="E4" s="6" t="s">
        <v>1331</v>
      </c>
      <c r="F4" s="6" t="s">
        <v>1332</v>
      </c>
      <c r="G4" s="6" t="s">
        <v>1074</v>
      </c>
      <c r="H4" s="6" t="s">
        <v>1333</v>
      </c>
      <c r="I4" s="6" t="s">
        <v>1334</v>
      </c>
    </row>
    <row r="5" spans="1:9">
      <c r="A5" s="13" t="s">
        <v>160</v>
      </c>
      <c r="B5" s="8">
        <v>177</v>
      </c>
      <c r="C5" s="16">
        <v>18</v>
      </c>
      <c r="D5" s="17">
        <v>0.06</v>
      </c>
      <c r="E5" s="17">
        <v>0.42</v>
      </c>
      <c r="F5" s="18">
        <v>0.055</v>
      </c>
      <c r="G5" s="19">
        <f>C5*(1-D5)*(1-E5)/B5</f>
        <v>0.05544406779661017</v>
      </c>
      <c r="H5" s="10" t="s">
        <v>144</v>
      </c>
      <c r="I5" s="10" t="s">
        <v>1335</v>
      </c>
    </row>
    <row r="6" spans="1:9">
      <c r="A6" s="13" t="s">
        <v>193</v>
      </c>
      <c r="B6" s="8">
        <v>197</v>
      </c>
      <c r="C6" s="16">
        <v>34</v>
      </c>
      <c r="D6" s="17">
        <v>0.15</v>
      </c>
      <c r="E6" s="17">
        <v>0.45</v>
      </c>
      <c r="F6" s="18">
        <v>0.08</v>
      </c>
      <c r="G6" s="19">
        <f>C6*(1-D6)*(1-E6)/B6</f>
        <v>0.08068527918781726</v>
      </c>
      <c r="H6" s="8">
        <v>17</v>
      </c>
      <c r="I6" s="10" t="s">
        <v>1336</v>
      </c>
    </row>
    <row r="7" spans="1:9">
      <c r="A7" s="13" t="s">
        <v>172</v>
      </c>
      <c r="B7" s="8">
        <v>247</v>
      </c>
      <c r="C7" s="16">
        <v>23</v>
      </c>
      <c r="D7" s="17">
        <v>0.08</v>
      </c>
      <c r="E7" s="17">
        <v>0.22</v>
      </c>
      <c r="F7" s="18">
        <v>0.0675</v>
      </c>
      <c r="G7" s="19">
        <f>C7*(1-D7)*(1-E7)/B7</f>
        <v>0.06682105263157895</v>
      </c>
      <c r="H7" s="8">
        <v>28</v>
      </c>
      <c r="I7" s="10" t="s">
        <v>1337</v>
      </c>
    </row>
    <row r="8" spans="1:9">
      <c r="A8" s="13" t="s">
        <v>149</v>
      </c>
      <c r="B8" s="8">
        <v>150</v>
      </c>
      <c r="C8" s="16">
        <v>12</v>
      </c>
      <c r="D8" s="17">
        <v>0.05</v>
      </c>
      <c r="E8" s="17">
        <v>0.15</v>
      </c>
      <c r="F8" s="18">
        <v>0.0625</v>
      </c>
      <c r="G8" s="19">
        <f>C8*(1-D8)*(1-E8)/B8</f>
        <v>0.06459999999999999</v>
      </c>
      <c r="H8" s="8">
        <v>19.4</v>
      </c>
      <c r="I8" s="10" t="s">
        <v>1335</v>
      </c>
    </row>
    <row r="9" spans="1:9">
      <c r="A9" s="13" t="s">
        <v>166</v>
      </c>
      <c r="B9" s="8">
        <v>136</v>
      </c>
      <c r="C9" s="16">
        <v>16</v>
      </c>
      <c r="D9" s="17">
        <v>0.1</v>
      </c>
      <c r="E9" s="17">
        <v>0.35</v>
      </c>
      <c r="F9" s="18">
        <v>0.0675</v>
      </c>
      <c r="G9" s="19">
        <f>C9*(1-D9)*(1-E9)/B9</f>
        <v>0.06882352941176471</v>
      </c>
      <c r="H9" s="8">
        <v>20.2</v>
      </c>
      <c r="I9" s="10" t="s">
        <v>1337</v>
      </c>
    </row>
    <row r="10" spans="1:9">
      <c r="A10" s="13" t="s">
        <v>142</v>
      </c>
      <c r="B10" s="8">
        <v>347</v>
      </c>
      <c r="C10" s="16">
        <v>100</v>
      </c>
      <c r="D10" s="17">
        <v>0.3</v>
      </c>
      <c r="E10" s="17">
        <v>0.62</v>
      </c>
      <c r="F10" s="18">
        <v>0.08500000000000001</v>
      </c>
      <c r="G10" s="19">
        <f>C10*(1-D10)*(1-E10)/B10</f>
        <v>0.07665706051873199</v>
      </c>
      <c r="H10" s="10" t="s">
        <v>144</v>
      </c>
      <c r="I10" s="10" t="s">
        <v>1336</v>
      </c>
    </row>
    <row r="11" spans="1:9">
      <c r="A11" s="13" t="s">
        <v>221</v>
      </c>
      <c r="B11" s="8">
        <v>365</v>
      </c>
      <c r="C11" s="16">
        <v>33</v>
      </c>
      <c r="D11" s="17">
        <v>0.1</v>
      </c>
      <c r="E11" s="17">
        <v>0.2</v>
      </c>
      <c r="F11" s="18">
        <v>0.065</v>
      </c>
      <c r="G11" s="19">
        <f>C11*(1-D11)*(1-E11)/B11</f>
        <v>0.06509589041095891</v>
      </c>
      <c r="H11" s="8">
        <v>22.6</v>
      </c>
      <c r="I11" s="10" t="s">
        <v>1336</v>
      </c>
    </row>
    <row r="12" spans="1:9">
      <c r="A12" s="13" t="s">
        <v>423</v>
      </c>
      <c r="B12" s="8">
        <v>345</v>
      </c>
      <c r="C12" s="16">
        <v>20</v>
      </c>
      <c r="D12" s="17">
        <v>0.08</v>
      </c>
      <c r="E12" s="17">
        <v>0.2</v>
      </c>
      <c r="F12" s="18">
        <v>0.07000000000000001</v>
      </c>
      <c r="G12" s="19">
        <f>C12*(1-D12)*(1-E12)/B12</f>
        <v>0.04266666666666667</v>
      </c>
      <c r="H12" s="10" t="s">
        <v>144</v>
      </c>
      <c r="I12" s="10" t="s">
        <v>1336</v>
      </c>
    </row>
    <row r="13" spans="1:9">
      <c r="A13" s="13" t="s">
        <v>386</v>
      </c>
      <c r="B13" s="8">
        <v>319</v>
      </c>
      <c r="C13" s="16">
        <v>22</v>
      </c>
      <c r="D13" s="17">
        <v>0.15</v>
      </c>
      <c r="E13" s="17">
        <v>0.3</v>
      </c>
      <c r="F13" s="18">
        <v>0.075</v>
      </c>
      <c r="G13" s="19">
        <f>C13*(1-D13)*(1-E13)/B13</f>
        <v>0.041034482758620684</v>
      </c>
      <c r="H13" s="8">
        <v>7.3</v>
      </c>
      <c r="I13" s="10" t="s">
        <v>1336</v>
      </c>
    </row>
    <row r="14" spans="1:9">
      <c r="A14" s="13" t="s">
        <v>134</v>
      </c>
      <c r="B14" s="8">
        <v>195</v>
      </c>
      <c r="C14" s="16">
        <v>22</v>
      </c>
      <c r="D14" s="17">
        <v>0.12</v>
      </c>
      <c r="E14" s="17">
        <v>0.3</v>
      </c>
      <c r="F14" s="18">
        <v>0.07000000000000001</v>
      </c>
      <c r="G14" s="19">
        <f>C14*(1-D14)*(1-E14)/B14</f>
        <v>0.0694974358974359</v>
      </c>
      <c r="H14" s="8">
        <v>26.5</v>
      </c>
      <c r="I14" s="10" t="s">
        <v>1335</v>
      </c>
    </row>
    <row r="16" spans="1:9">
      <c r="A16" s="2" t="s">
        <v>1338</v>
      </c>
    </row>
  </sheetData>
  <mergeCells count="1">
    <mergeCell ref="A2:H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G49"/>
  <sheetViews>
    <sheetView workbookViewId="0"/>
  </sheetViews>
  <sheetFormatPr defaultRowHeight="15"/>
  <cols>
    <col min="1" max="1" width="30.7109375" customWidth="1"/>
    <col min="2" max="2" width="15.7109375" customWidth="1"/>
    <col min="3" max="3" width="13.7109375" customWidth="1"/>
    <col min="4" max="4" width="24.7109375" customWidth="1"/>
    <col min="5" max="7" width="15.7109375" customWidth="1"/>
  </cols>
  <sheetData>
    <row r="1" spans="1:7">
      <c r="A1" s="1" t="s">
        <v>1339</v>
      </c>
    </row>
    <row r="2" spans="1:7" ht="42" customHeight="1">
      <c r="A2" s="2" t="s">
        <v>1340</v>
      </c>
      <c r="B2" s="2"/>
      <c r="C2" s="2"/>
      <c r="D2" s="2"/>
      <c r="E2" s="2"/>
      <c r="F2" s="2"/>
      <c r="G2" s="2"/>
    </row>
    <row r="4" spans="1:7">
      <c r="A4" s="20" t="s">
        <v>1341</v>
      </c>
      <c r="B4" s="20"/>
      <c r="D4" s="20" t="s">
        <v>1361</v>
      </c>
      <c r="E4" s="20"/>
    </row>
    <row r="5" spans="1:7">
      <c r="A5" s="13" t="s">
        <v>1342</v>
      </c>
      <c r="B5" s="21">
        <v>1800000</v>
      </c>
      <c r="D5" s="3" t="s">
        <v>1362</v>
      </c>
      <c r="E5" s="22">
        <f>($B$6*$B$8*(1-$B$9))</f>
        <v>226761.84</v>
      </c>
    </row>
    <row r="6" spans="1:7">
      <c r="A6" s="13" t="s">
        <v>1343</v>
      </c>
      <c r="B6" s="23">
        <v>13402</v>
      </c>
      <c r="D6" s="3" t="s">
        <v>1363</v>
      </c>
      <c r="E6" s="24">
        <f>E5*(1-$B$10)</f>
        <v>131521.8672</v>
      </c>
    </row>
    <row r="7" spans="1:7">
      <c r="A7" s="20" t="s">
        <v>1344</v>
      </c>
      <c r="B7" s="20"/>
      <c r="D7" s="3" t="s">
        <v>1364</v>
      </c>
      <c r="E7" s="19">
        <f>E6/$B$5</f>
        <v>0.07306770400000001</v>
      </c>
    </row>
    <row r="8" spans="1:7">
      <c r="A8" s="13" t="s">
        <v>1345</v>
      </c>
      <c r="B8" s="21">
        <v>18</v>
      </c>
      <c r="D8" s="3" t="s">
        <v>1365</v>
      </c>
      <c r="E8" s="24">
        <f>E6/$B$11</f>
        <v>2391306.6763636363</v>
      </c>
    </row>
    <row r="9" spans="1:7">
      <c r="A9" s="13" t="s">
        <v>1346</v>
      </c>
      <c r="B9" s="25">
        <v>0.06</v>
      </c>
      <c r="D9" s="3" t="s">
        <v>1366</v>
      </c>
      <c r="E9" s="19">
        <f>$B$14+$B$16/10000</f>
        <v>0.0675</v>
      </c>
    </row>
    <row r="10" spans="1:7">
      <c r="A10" s="13" t="s">
        <v>1347</v>
      </c>
      <c r="B10" s="25">
        <v>0.42</v>
      </c>
      <c r="D10" s="3" t="s">
        <v>1367</v>
      </c>
      <c r="E10" s="22">
        <f>$B$5*$B$13</f>
        <v>1080000.0</v>
      </c>
    </row>
    <row r="11" spans="1:7">
      <c r="A11" s="13" t="s">
        <v>1348</v>
      </c>
      <c r="B11" s="26">
        <v>0.055</v>
      </c>
      <c r="D11" s="3" t="s">
        <v>1368</v>
      </c>
      <c r="E11" s="24">
        <f>$B$5*(1-$B$13)+$B$5*$B$23</f>
        <v>756000.0</v>
      </c>
    </row>
    <row r="12" spans="1:7">
      <c r="A12" s="20" t="s">
        <v>1349</v>
      </c>
      <c r="B12" s="20"/>
      <c r="D12" s="3" t="s">
        <v>1369</v>
      </c>
      <c r="E12" s="22">
        <f>E10*(E9/12)/(1-(1+E9/12)^-($B$15*12))*12</f>
        <v>89542.13366755907</v>
      </c>
    </row>
    <row r="13" spans="1:7">
      <c r="A13" s="13" t="s">
        <v>1350</v>
      </c>
      <c r="B13" s="25">
        <v>0.6</v>
      </c>
      <c r="D13" s="3" t="s">
        <v>1370</v>
      </c>
      <c r="E13" s="27">
        <f>E6/E12</f>
        <v>1.468826593839031</v>
      </c>
    </row>
    <row r="14" spans="1:7">
      <c r="A14" s="13" t="s">
        <v>1351</v>
      </c>
      <c r="B14" s="26">
        <v>0.0675</v>
      </c>
      <c r="D14" s="3" t="s">
        <v>1371</v>
      </c>
      <c r="E14" s="28">
        <f>E6/E10</f>
        <v>0.12177950666666668</v>
      </c>
    </row>
    <row r="15" spans="1:7">
      <c r="A15" s="13" t="s">
        <v>1352</v>
      </c>
      <c r="B15" s="23">
        <v>25</v>
      </c>
      <c r="D15" s="3" t="s">
        <v>1372</v>
      </c>
      <c r="E15" s="28">
        <f>(D29-E12)/E11</f>
        <v>0.06137776377307005</v>
      </c>
    </row>
    <row r="16" spans="1:7">
      <c r="A16" s="13" t="s">
        <v>1353</v>
      </c>
      <c r="B16" s="29">
        <v>0</v>
      </c>
      <c r="D16" s="3" t="s">
        <v>1373</v>
      </c>
      <c r="E16" s="22">
        <f>($B$6*$B$8*(1-$B$9))*(1+$B$19)^$B$21-(($B$6*$B$8*(1-$B$9))*$B$10)*(1+$B$20)^$B$21</f>
        <v>155123.83473116503</v>
      </c>
    </row>
    <row r="17" spans="1:7">
      <c r="A17" s="20" t="s">
        <v>1354</v>
      </c>
      <c r="B17" s="20"/>
      <c r="D17" s="3" t="s">
        <v>1374</v>
      </c>
      <c r="E17" s="24">
        <f>E16/$B$18</f>
        <v>2697805.8214115654</v>
      </c>
    </row>
    <row r="18" spans="1:7">
      <c r="A18" s="13" t="s">
        <v>1355</v>
      </c>
      <c r="B18" s="26">
        <v>0.0575</v>
      </c>
      <c r="D18" s="3" t="s">
        <v>1375</v>
      </c>
      <c r="E18" s="22">
        <f>E10*((1+E9/12)^($B$15*12)-(1+E9/12)^($B$21*12))/((1+E9/12)^($B$15*12)-1)</f>
        <v>981351.6127126849</v>
      </c>
    </row>
    <row r="19" spans="1:7">
      <c r="A19" s="13" t="s">
        <v>1356</v>
      </c>
      <c r="B19" s="25">
        <v>0.03</v>
      </c>
      <c r="D19" s="3" t="s">
        <v>1376</v>
      </c>
      <c r="E19" s="24">
        <f>E17*(1-$B$22)-E18</f>
        <v>1662498.092270649</v>
      </c>
    </row>
    <row r="20" spans="1:7">
      <c r="A20" s="13" t="s">
        <v>1357</v>
      </c>
      <c r="B20" s="25">
        <v>0.025</v>
      </c>
      <c r="D20" s="3" t="s">
        <v>1377</v>
      </c>
      <c r="E20" s="28">
        <f>IRR(G28:G38)</f>
        <v>0.22481131800675067</v>
      </c>
    </row>
    <row r="21" spans="1:7">
      <c r="A21" s="13" t="s">
        <v>1358</v>
      </c>
      <c r="B21" s="23">
        <v>5</v>
      </c>
      <c r="D21" s="3" t="s">
        <v>1378</v>
      </c>
      <c r="E21" s="27">
        <f>SUM(G29:G38)/E11</f>
        <v>2.5683680048856083</v>
      </c>
    </row>
    <row r="22" spans="1:7">
      <c r="A22" s="13" t="s">
        <v>1359</v>
      </c>
      <c r="B22" s="25">
        <v>0.02</v>
      </c>
    </row>
    <row r="23" spans="1:7">
      <c r="A23" s="13" t="s">
        <v>1360</v>
      </c>
      <c r="B23" s="25">
        <v>0.02</v>
      </c>
    </row>
    <row r="26" spans="1:7">
      <c r="A26" s="1" t="s">
        <v>1379</v>
      </c>
    </row>
    <row r="27" spans="1:7">
      <c r="A27" s="6" t="s">
        <v>1380</v>
      </c>
      <c r="B27" s="6" t="s">
        <v>1381</v>
      </c>
      <c r="C27" s="6" t="s">
        <v>1382</v>
      </c>
      <c r="D27" s="6" t="s">
        <v>1383</v>
      </c>
      <c r="E27" s="6" t="s">
        <v>1384</v>
      </c>
      <c r="F27" s="6" t="s">
        <v>1385</v>
      </c>
      <c r="G27" s="6" t="s">
        <v>1386</v>
      </c>
    </row>
    <row r="28" spans="1:7">
      <c r="A28" s="30">
        <v>0</v>
      </c>
      <c r="B28" s="10"/>
      <c r="C28" s="10"/>
      <c r="D28" s="10"/>
      <c r="E28" s="10"/>
      <c r="F28" s="10"/>
      <c r="G28" s="22">
        <f>-E11</f>
        <v>-756000.0</v>
      </c>
    </row>
    <row r="29" spans="1:7">
      <c r="A29" s="30">
        <v>1</v>
      </c>
      <c r="B29" s="22">
        <f>IF(1&lt;=$B$21,($B$6*$B$8*(1-$B$9))*(1+$B$19)^1,0)</f>
        <v>233564.69520000002</v>
      </c>
      <c r="C29" s="22">
        <f>IF(1&lt;=$B$21,(($B$6*$B$8*(1-$B$9))*$B$10)*(1+$B$20)^1,0)</f>
        <v>97620.97211999998</v>
      </c>
      <c r="D29" s="22">
        <f>B29-C29</f>
        <v>135943.72308000003</v>
      </c>
      <c r="E29" s="22">
        <f>IF(1&lt;=$B$21,E12,0)</f>
        <v>89542.13366755907</v>
      </c>
      <c r="F29" s="22">
        <f>IF(1&lt;=$B$21,D29-E29,0)</f>
        <v>46401.58941244095</v>
      </c>
      <c r="G29" s="22">
        <f>F29+IF(1=$B$21,E19,0)</f>
        <v>46401.58941244095</v>
      </c>
    </row>
    <row r="30" spans="1:7">
      <c r="A30" s="30">
        <v>2</v>
      </c>
      <c r="B30" s="22">
        <f>IF(2&lt;=$B$21,($B$6*$B$8*(1-$B$9))*(1+$B$19)^2,0)</f>
        <v>240571.636056</v>
      </c>
      <c r="C30" s="22">
        <f>IF(2&lt;=$B$21,(($B$6*$B$8*(1-$B$9))*$B$10)*(1+$B$20)^2,0)</f>
        <v>100061.49642299998</v>
      </c>
      <c r="D30" s="22">
        <f>B30-C30</f>
        <v>140510.139633</v>
      </c>
      <c r="E30" s="22">
        <f>IF(2&lt;=$B$21,E12,0)</f>
        <v>89542.13366755907</v>
      </c>
      <c r="F30" s="22">
        <f>IF(2&lt;=$B$21,D30-E30,0)</f>
        <v>50968.00596544094</v>
      </c>
      <c r="G30" s="22">
        <f>F30+IF(2=$B$21,E19,0)</f>
        <v>50968.00596544094</v>
      </c>
    </row>
    <row r="31" spans="1:7">
      <c r="A31" s="30">
        <v>3</v>
      </c>
      <c r="B31" s="22">
        <f>IF(3&lt;=$B$21,($B$6*$B$8*(1-$B$9))*(1+$B$19)^3,0)</f>
        <v>247788.78513768</v>
      </c>
      <c r="C31" s="22">
        <f>IF(3&lt;=$B$21,(($B$6*$B$8*(1-$B$9))*$B$10)*(1+$B$20)^3,0)</f>
        <v>102563.03383357495</v>
      </c>
      <c r="D31" s="22">
        <f>B31-C31</f>
        <v>145225.75130410504</v>
      </c>
      <c r="E31" s="22">
        <f>IF(3&lt;=$B$21,E12,0)</f>
        <v>89542.13366755907</v>
      </c>
      <c r="F31" s="22">
        <f>IF(3&lt;=$B$21,D31-E31,0)</f>
        <v>55683.61763654597</v>
      </c>
      <c r="G31" s="22">
        <f>F31+IF(3=$B$21,E19,0)</f>
        <v>55683.61763654597</v>
      </c>
    </row>
    <row r="32" spans="1:7">
      <c r="A32" s="30">
        <v>4</v>
      </c>
      <c r="B32" s="22">
        <f>IF(4&lt;=$B$21,($B$6*$B$8*(1-$B$9))*(1+$B$19)^4,0)</f>
        <v>255222.44869181042</v>
      </c>
      <c r="C32" s="22">
        <f>IF(4&lt;=$B$21,(($B$6*$B$8*(1-$B$9))*$B$10)*(1+$B$20)^4,0)</f>
        <v>105127.10967941432</v>
      </c>
      <c r="D32" s="22">
        <f>B32-C32</f>
        <v>150095.3390123961</v>
      </c>
      <c r="E32" s="22">
        <f>IF(4&lt;=$B$21,E12,0)</f>
        <v>89542.13366755907</v>
      </c>
      <c r="F32" s="22">
        <f>IF(4&lt;=$B$21,D32-E32,0)</f>
        <v>60553.20534483704</v>
      </c>
      <c r="G32" s="22">
        <f>F32+IF(4=$B$21,E19,0)</f>
        <v>60553.20534483704</v>
      </c>
    </row>
    <row r="33" spans="1:7">
      <c r="A33" s="30">
        <v>5</v>
      </c>
      <c r="B33" s="22">
        <f>IF(5&lt;=$B$21,($B$6*$B$8*(1-$B$9))*(1+$B$19)^5,0)</f>
        <v>262879.1221525647</v>
      </c>
      <c r="C33" s="22">
        <f>IF(5&lt;=$B$21,(($B$6*$B$8*(1-$B$9))*$B$10)*(1+$B$20)^5,0)</f>
        <v>107755.28742139967</v>
      </c>
      <c r="D33" s="22">
        <f>B33-C33</f>
        <v>155123.83473116503</v>
      </c>
      <c r="E33" s="22">
        <f>IF(5&lt;=$B$21,E12,0)</f>
        <v>89542.13366755907</v>
      </c>
      <c r="F33" s="22">
        <f>IF(5&lt;=$B$21,D33-E33,0)</f>
        <v>65581.70106360596</v>
      </c>
      <c r="G33" s="22">
        <f>F33+IF(5=$B$21,E19,0)</f>
        <v>1728079.793334255</v>
      </c>
    </row>
    <row r="34" spans="1:7">
      <c r="A34" s="30">
        <v>6</v>
      </c>
      <c r="B34" s="22">
        <f>IF(6&lt;=$B$21,($B$6*$B$8*(1-$B$9))*(1+$B$19)^6,0)</f>
        <v>0</v>
      </c>
      <c r="C34" s="22">
        <f>IF(6&lt;=$B$21,(($B$6*$B$8*(1-$B$9))*$B$10)*(1+$B$20)^6,0)</f>
        <v>0</v>
      </c>
      <c r="D34" s="22">
        <f>B34-C34</f>
        <v>0</v>
      </c>
      <c r="E34" s="22">
        <f>IF(6&lt;=$B$21,E12,0)</f>
        <v>0</v>
      </c>
      <c r="F34" s="22">
        <f>IF(6&lt;=$B$21,D34-E34,0)</f>
        <v>0</v>
      </c>
      <c r="G34" s="22">
        <f>F34+IF(6=$B$21,E19,0)</f>
        <v>0</v>
      </c>
    </row>
    <row r="35" spans="1:7">
      <c r="A35" s="30">
        <v>7</v>
      </c>
      <c r="B35" s="22">
        <f>IF(7&lt;=$B$21,($B$6*$B$8*(1-$B$9))*(1+$B$19)^7,0)</f>
        <v>0</v>
      </c>
      <c r="C35" s="22">
        <f>IF(7&lt;=$B$21,(($B$6*$B$8*(1-$B$9))*$B$10)*(1+$B$20)^7,0)</f>
        <v>0</v>
      </c>
      <c r="D35" s="22">
        <f>B35-C35</f>
        <v>0</v>
      </c>
      <c r="E35" s="22">
        <f>IF(7&lt;=$B$21,E12,0)</f>
        <v>0</v>
      </c>
      <c r="F35" s="22">
        <f>IF(7&lt;=$B$21,D35-E35,0)</f>
        <v>0</v>
      </c>
      <c r="G35" s="22">
        <f>F35+IF(7=$B$21,E19,0)</f>
        <v>0</v>
      </c>
    </row>
    <row r="36" spans="1:7">
      <c r="A36" s="30">
        <v>8</v>
      </c>
      <c r="B36" s="22">
        <f>IF(8&lt;=$B$21,($B$6*$B$8*(1-$B$9))*(1+$B$19)^8,0)</f>
        <v>0</v>
      </c>
      <c r="C36" s="22">
        <f>IF(8&lt;=$B$21,(($B$6*$B$8*(1-$B$9))*$B$10)*(1+$B$20)^8,0)</f>
        <v>0</v>
      </c>
      <c r="D36" s="22">
        <f>B36-C36</f>
        <v>0</v>
      </c>
      <c r="E36" s="22">
        <f>IF(8&lt;=$B$21,E12,0)</f>
        <v>0</v>
      </c>
      <c r="F36" s="22">
        <f>IF(8&lt;=$B$21,D36-E36,0)</f>
        <v>0</v>
      </c>
      <c r="G36" s="22">
        <f>F36+IF(8=$B$21,E19,0)</f>
        <v>0</v>
      </c>
    </row>
    <row r="37" spans="1:7">
      <c r="A37" s="30">
        <v>9</v>
      </c>
      <c r="B37" s="22">
        <f>IF(9&lt;=$B$21,($B$6*$B$8*(1-$B$9))*(1+$B$19)^9,0)</f>
        <v>0</v>
      </c>
      <c r="C37" s="22">
        <f>IF(9&lt;=$B$21,(($B$6*$B$8*(1-$B$9))*$B$10)*(1+$B$20)^9,0)</f>
        <v>0</v>
      </c>
      <c r="D37" s="22">
        <f>B37-C37</f>
        <v>0</v>
      </c>
      <c r="E37" s="22">
        <f>IF(9&lt;=$B$21,E12,0)</f>
        <v>0</v>
      </c>
      <c r="F37" s="22">
        <f>IF(9&lt;=$B$21,D37-E37,0)</f>
        <v>0</v>
      </c>
      <c r="G37" s="22">
        <f>F37+IF(9=$B$21,E19,0)</f>
        <v>0</v>
      </c>
    </row>
    <row r="38" spans="1:7">
      <c r="A38" s="30">
        <v>10</v>
      </c>
      <c r="B38" s="22">
        <f>IF(10&lt;=$B$21,($B$6*$B$8*(1-$B$9))*(1+$B$19)^10,0)</f>
        <v>0</v>
      </c>
      <c r="C38" s="22">
        <f>IF(10&lt;=$B$21,(($B$6*$B$8*(1-$B$9))*$B$10)*(1+$B$20)^10,0)</f>
        <v>0</v>
      </c>
      <c r="D38" s="22">
        <f>B38-C38</f>
        <v>0</v>
      </c>
      <c r="E38" s="22">
        <f>IF(10&lt;=$B$21,E12,0)</f>
        <v>0</v>
      </c>
      <c r="F38" s="22">
        <f>IF(10&lt;=$B$21,D38-E38,0)</f>
        <v>0</v>
      </c>
      <c r="G38" s="22">
        <f>F38+IF(10=$B$21,E19,0)</f>
        <v>0</v>
      </c>
    </row>
    <row r="40" spans="1:7">
      <c r="A40" s="1" t="s">
        <v>1387</v>
      </c>
    </row>
    <row r="41" spans="1:7">
      <c r="A41" s="6" t="s">
        <v>1388</v>
      </c>
      <c r="B41" s="6" t="s">
        <v>1374</v>
      </c>
      <c r="C41" s="6" t="s">
        <v>1389</v>
      </c>
      <c r="D41" s="6" t="s">
        <v>1378</v>
      </c>
    </row>
    <row r="42" spans="1:7">
      <c r="A42" s="31">
        <v>0.05</v>
      </c>
      <c r="B42" s="22">
        <f>$E$16/A42</f>
        <v>3102476.6946233003</v>
      </c>
      <c r="C42" s="22">
        <f>B42*(1-$B$22)-$E$18</f>
        <v>2059075.548018149</v>
      </c>
      <c r="D42" s="27">
        <f>$E$21+(C42-$E$19)/$E$11</f>
        <v>3.092941359048968</v>
      </c>
    </row>
    <row r="43" spans="1:7">
      <c r="A43" s="31">
        <v>0.0525</v>
      </c>
      <c r="B43" s="22">
        <f>$E$16/A43</f>
        <v>2954739.7091650483</v>
      </c>
      <c r="C43" s="22">
        <f>B43*(1-$B$22)-$E$18</f>
        <v>1914293.3022690625</v>
      </c>
      <c r="D43" s="27">
        <f>$E$21+(C43-$E$19)/$E$11</f>
        <v>2.901430451973457</v>
      </c>
    </row>
    <row r="44" spans="1:7">
      <c r="A44" s="31">
        <v>0.055</v>
      </c>
      <c r="B44" s="22">
        <f>$E$16/A44</f>
        <v>2820433.358748455</v>
      </c>
      <c r="C44" s="22">
        <f>B44*(1-$B$22)-$E$18</f>
        <v>1782673.0788608007</v>
      </c>
      <c r="D44" s="27">
        <f>$E$21+(C44-$E$19)/$E$11</f>
        <v>2.727329627359354</v>
      </c>
    </row>
    <row r="45" spans="1:7">
      <c r="A45" s="32">
        <v>0.0575</v>
      </c>
      <c r="B45" s="22">
        <f>$E$16/A45</f>
        <v>2697805.8214115654</v>
      </c>
      <c r="C45" s="22">
        <f>B45*(1-$B$22)-$E$18</f>
        <v>1662498.092270649</v>
      </c>
      <c r="D45" s="27">
        <f>$E$21+(C45-$E$19)/$E$11</f>
        <v>2.5683680048856083</v>
      </c>
    </row>
    <row r="46" spans="1:7">
      <c r="A46" s="31">
        <v>0.06</v>
      </c>
      <c r="B46" s="22">
        <f>$E$16/A46</f>
        <v>2585397.2455194173</v>
      </c>
      <c r="C46" s="22">
        <f>B46*(1-$B$22)-$E$18</f>
        <v>1552337.6878963439</v>
      </c>
      <c r="D46" s="27">
        <f>$E$21+(C46-$E$19)/$E$11</f>
        <v>2.4226531842846755</v>
      </c>
    </row>
    <row r="47" spans="1:7">
      <c r="A47" s="31">
        <v>0.0625</v>
      </c>
      <c r="B47" s="22">
        <f>$E$16/A47</f>
        <v>2481981.3556986405</v>
      </c>
      <c r="C47" s="22">
        <f>B47*(1-$B$22)-$E$18</f>
        <v>1450990.1158719826</v>
      </c>
      <c r="D47" s="27">
        <f>$E$21+(C47-$E$19)/$E$11</f>
        <v>2.288595549331817</v>
      </c>
    </row>
    <row r="48" spans="1:7">
      <c r="A48" s="31">
        <v>0.065</v>
      </c>
      <c r="B48" s="22">
        <f>$E$16/A48</f>
        <v>2386520.534325616</v>
      </c>
      <c r="C48" s="22">
        <f>B48*(1-$B$22)-$E$18</f>
        <v>1357438.5109264185</v>
      </c>
      <c r="D48" s="27">
        <f>$E$21+(C48-$E$19)/$E$11</f>
        <v>2.1648500401445627</v>
      </c>
    </row>
    <row r="49" spans="1:4">
      <c r="A49" s="31">
        <v>0.0675</v>
      </c>
      <c r="B49" s="22">
        <f>$E$16/A49</f>
        <v>2298130.8849061485</v>
      </c>
      <c r="C49" s="22">
        <f>B49*(1-$B$22)-$E$18</f>
        <v>1270816.6544953403</v>
      </c>
      <c r="D49" s="27">
        <f>$E$21+(C49-$E$19)/$E$11</f>
        <v>2.050270864971179</v>
      </c>
    </row>
  </sheetData>
  <mergeCells count="6">
    <mergeCell ref="A2:G2"/>
    <mergeCell ref="A4:B4"/>
    <mergeCell ref="A7:B7"/>
    <mergeCell ref="A12:B12"/>
    <mergeCell ref="A17:B17"/>
    <mergeCell ref="D4:E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K1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8.7109375" customWidth="1"/>
    <col min="2" max="11" width="12.7109375" customWidth="1"/>
  </cols>
  <sheetData>
    <row r="1" spans="1:11">
      <c r="A1" s="1" t="s">
        <v>1390</v>
      </c>
    </row>
    <row r="2" spans="1:11" ht="30" customHeight="1">
      <c r="A2" s="2" t="s">
        <v>1391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spans="1:11">
      <c r="A4" s="6" t="s">
        <v>121</v>
      </c>
      <c r="B4" s="6" t="s">
        <v>1334</v>
      </c>
      <c r="C4" s="6" t="s">
        <v>1010</v>
      </c>
      <c r="D4" s="6" t="s">
        <v>1072</v>
      </c>
      <c r="E4" s="6" t="s">
        <v>1392</v>
      </c>
      <c r="F4" s="6" t="s">
        <v>1329</v>
      </c>
      <c r="G4" s="6" t="s">
        <v>1393</v>
      </c>
      <c r="H4" s="6" t="s">
        <v>1394</v>
      </c>
      <c r="I4" s="6" t="s">
        <v>1395</v>
      </c>
      <c r="J4" s="6" t="s">
        <v>1396</v>
      </c>
      <c r="K4" s="6" t="s">
        <v>1074</v>
      </c>
    </row>
    <row r="5" spans="1:11">
      <c r="A5" s="4" t="s">
        <v>160</v>
      </c>
      <c r="B5" s="4" t="s">
        <v>1335</v>
      </c>
      <c r="C5" s="8">
        <v>177</v>
      </c>
      <c r="D5" s="7">
        <v>90</v>
      </c>
      <c r="E5" s="7">
        <v>21</v>
      </c>
      <c r="F5" s="8">
        <v>18</v>
      </c>
      <c r="G5" s="10" t="s">
        <v>144</v>
      </c>
      <c r="H5" s="33">
        <v>0.06</v>
      </c>
      <c r="I5" s="33">
        <v>0.42</v>
      </c>
      <c r="J5" s="9">
        <v>0.055</v>
      </c>
      <c r="K5" s="9">
        <v>0.0524</v>
      </c>
    </row>
    <row r="6" spans="1:11">
      <c r="A6" s="4" t="s">
        <v>193</v>
      </c>
      <c r="B6" s="4" t="s">
        <v>1336</v>
      </c>
      <c r="C6" s="8">
        <v>197</v>
      </c>
      <c r="D6" s="7">
        <v>29</v>
      </c>
      <c r="E6" s="7">
        <v>3</v>
      </c>
      <c r="F6" s="8">
        <v>34</v>
      </c>
      <c r="G6" s="8">
        <v>17</v>
      </c>
      <c r="H6" s="33">
        <v>0.15</v>
      </c>
      <c r="I6" s="33">
        <v>0.45</v>
      </c>
      <c r="J6" s="9">
        <v>0.08</v>
      </c>
      <c r="K6" s="9">
        <v>0.0906</v>
      </c>
    </row>
    <row r="7" spans="1:11">
      <c r="A7" s="4" t="s">
        <v>172</v>
      </c>
      <c r="B7" s="4" t="s">
        <v>1337</v>
      </c>
      <c r="C7" s="8">
        <v>247</v>
      </c>
      <c r="D7" s="7">
        <v>25</v>
      </c>
      <c r="E7" s="7">
        <v>6</v>
      </c>
      <c r="F7" s="8">
        <v>23</v>
      </c>
      <c r="G7" s="8">
        <v>28</v>
      </c>
      <c r="H7" s="33">
        <v>0.08</v>
      </c>
      <c r="I7" s="33">
        <v>0.22</v>
      </c>
      <c r="J7" s="9">
        <v>0.0675</v>
      </c>
      <c r="K7" s="9">
        <v>0.0672</v>
      </c>
    </row>
    <row r="8" spans="1:11">
      <c r="A8" s="4" t="s">
        <v>149</v>
      </c>
      <c r="B8" s="4" t="s">
        <v>1335</v>
      </c>
      <c r="C8" s="8">
        <v>150</v>
      </c>
      <c r="D8" s="7">
        <v>34</v>
      </c>
      <c r="E8" s="7">
        <v>11</v>
      </c>
      <c r="F8" s="8">
        <v>12</v>
      </c>
      <c r="G8" s="8">
        <v>19.4</v>
      </c>
      <c r="H8" s="33">
        <v>0.05</v>
      </c>
      <c r="I8" s="33">
        <v>0.15</v>
      </c>
      <c r="J8" s="9">
        <v>0.0625</v>
      </c>
      <c r="K8" s="9">
        <v>0.0658</v>
      </c>
    </row>
    <row r="9" spans="1:11">
      <c r="A9" s="4" t="s">
        <v>166</v>
      </c>
      <c r="B9" s="4" t="s">
        <v>1337</v>
      </c>
      <c r="C9" s="8">
        <v>136</v>
      </c>
      <c r="D9" s="7">
        <v>33</v>
      </c>
      <c r="E9" s="7">
        <v>5</v>
      </c>
      <c r="F9" s="8">
        <v>16</v>
      </c>
      <c r="G9" s="8">
        <v>20.2</v>
      </c>
      <c r="H9" s="33">
        <v>0.1</v>
      </c>
      <c r="I9" s="33">
        <v>0.35</v>
      </c>
      <c r="J9" s="9">
        <v>0.0675</v>
      </c>
      <c r="K9" s="9">
        <v>0.06859999999999999</v>
      </c>
    </row>
    <row r="10" spans="1:11">
      <c r="A10" s="4" t="s">
        <v>142</v>
      </c>
      <c r="B10" s="4" t="s">
        <v>1336</v>
      </c>
      <c r="C10" s="8">
        <v>347</v>
      </c>
      <c r="D10" s="7">
        <v>11</v>
      </c>
      <c r="E10" s="7">
        <v>0</v>
      </c>
      <c r="F10" s="8">
        <v>100</v>
      </c>
      <c r="G10" s="10" t="s">
        <v>144</v>
      </c>
      <c r="H10" s="33">
        <v>0.3</v>
      </c>
      <c r="I10" s="33">
        <v>0.62</v>
      </c>
      <c r="J10" s="9">
        <v>0.08500000000000001</v>
      </c>
      <c r="K10" s="9">
        <v>0.0665</v>
      </c>
    </row>
    <row r="11" spans="1:11">
      <c r="A11" s="4" t="s">
        <v>221</v>
      </c>
      <c r="B11" s="4" t="s">
        <v>1336</v>
      </c>
      <c r="C11" s="8">
        <v>365</v>
      </c>
      <c r="D11" s="7">
        <v>8</v>
      </c>
      <c r="E11" s="7">
        <v>3</v>
      </c>
      <c r="F11" s="8">
        <v>33</v>
      </c>
      <c r="G11" s="8">
        <v>22.6</v>
      </c>
      <c r="H11" s="33">
        <v>0.1</v>
      </c>
      <c r="I11" s="33">
        <v>0.2</v>
      </c>
      <c r="J11" s="9">
        <v>0.065</v>
      </c>
      <c r="K11" s="9">
        <v>0.08210000000000001</v>
      </c>
    </row>
    <row r="12" spans="1:11">
      <c r="A12" s="4" t="s">
        <v>423</v>
      </c>
      <c r="B12" s="4" t="s">
        <v>1336</v>
      </c>
      <c r="C12" s="8">
        <v>345</v>
      </c>
      <c r="D12" s="7">
        <v>3</v>
      </c>
      <c r="E12" s="7">
        <v>0</v>
      </c>
      <c r="F12" s="8">
        <v>20</v>
      </c>
      <c r="G12" s="10" t="s">
        <v>144</v>
      </c>
      <c r="H12" s="33">
        <v>0.08</v>
      </c>
      <c r="I12" s="33">
        <v>0.2</v>
      </c>
      <c r="J12" s="9">
        <v>0.07000000000000001</v>
      </c>
      <c r="K12" s="9">
        <v>0.0427</v>
      </c>
    </row>
    <row r="13" spans="1:11">
      <c r="A13" s="4" t="s">
        <v>386</v>
      </c>
      <c r="B13" s="4" t="s">
        <v>1336</v>
      </c>
      <c r="C13" s="8">
        <v>319</v>
      </c>
      <c r="D13" s="7">
        <v>2</v>
      </c>
      <c r="E13" s="7">
        <v>0</v>
      </c>
      <c r="F13" s="8">
        <v>22</v>
      </c>
      <c r="G13" s="8">
        <v>7.3</v>
      </c>
      <c r="H13" s="33">
        <v>0.15</v>
      </c>
      <c r="I13" s="33">
        <v>0.3</v>
      </c>
      <c r="J13" s="9">
        <v>0.075</v>
      </c>
      <c r="K13" s="9">
        <v>0.0522</v>
      </c>
    </row>
    <row r="14" spans="1:11">
      <c r="A14" s="4" t="s">
        <v>134</v>
      </c>
      <c r="B14" s="4" t="s">
        <v>1335</v>
      </c>
      <c r="C14" s="8">
        <v>195</v>
      </c>
      <c r="D14" s="7">
        <v>96</v>
      </c>
      <c r="E14" s="7">
        <v>20</v>
      </c>
      <c r="F14" s="8">
        <v>22</v>
      </c>
      <c r="G14" s="8">
        <v>26.5</v>
      </c>
      <c r="H14" s="33">
        <v>0.12</v>
      </c>
      <c r="I14" s="33">
        <v>0.3</v>
      </c>
      <c r="J14" s="9">
        <v>0.07000000000000001</v>
      </c>
      <c r="K14" s="9">
        <v>0.0644</v>
      </c>
    </row>
  </sheetData>
  <autoFilter ref="A4:K14"/>
  <mergeCells count="1">
    <mergeCell ref="A2:K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I1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8.7109375" customWidth="1"/>
    <col min="2" max="8" width="12.7109375" customWidth="1"/>
  </cols>
  <sheetData>
    <row r="1" spans="1:9">
      <c r="A1" s="1" t="s">
        <v>1397</v>
      </c>
    </row>
    <row r="2" spans="1:9" ht="30" customHeight="1">
      <c r="A2" s="2" t="s">
        <v>1398</v>
      </c>
      <c r="B2" s="2"/>
      <c r="C2" s="2"/>
      <c r="D2" s="2"/>
      <c r="E2" s="2"/>
      <c r="F2" s="2"/>
      <c r="G2" s="2"/>
      <c r="H2" s="2"/>
      <c r="I2" s="2"/>
    </row>
    <row r="4" spans="1:9">
      <c r="A4" s="6" t="s">
        <v>121</v>
      </c>
      <c r="B4" s="6" t="s">
        <v>1072</v>
      </c>
      <c r="C4" s="6" t="s">
        <v>1392</v>
      </c>
      <c r="D4" s="6" t="s">
        <v>1399</v>
      </c>
      <c r="E4" s="6" t="s">
        <v>1010</v>
      </c>
      <c r="F4" s="6" t="s">
        <v>920</v>
      </c>
    </row>
    <row r="5" spans="1:9">
      <c r="A5" s="4" t="s">
        <v>134</v>
      </c>
      <c r="B5" s="7">
        <v>96</v>
      </c>
      <c r="C5" s="7">
        <v>20</v>
      </c>
      <c r="D5" s="7">
        <v>13</v>
      </c>
      <c r="E5" s="8">
        <v>194.5</v>
      </c>
      <c r="F5" s="12">
        <v>11.7</v>
      </c>
    </row>
    <row r="6" spans="1:9">
      <c r="A6" s="4" t="s">
        <v>160</v>
      </c>
      <c r="B6" s="7">
        <v>90</v>
      </c>
      <c r="C6" s="7">
        <v>21</v>
      </c>
      <c r="D6" s="7">
        <v>16</v>
      </c>
      <c r="E6" s="8">
        <v>177.5</v>
      </c>
      <c r="F6" s="12">
        <v>13.7</v>
      </c>
    </row>
    <row r="7" spans="1:9">
      <c r="A7" s="4" t="s">
        <v>149</v>
      </c>
      <c r="B7" s="7">
        <v>34</v>
      </c>
      <c r="C7" s="7">
        <v>11</v>
      </c>
      <c r="D7" s="7">
        <v>3</v>
      </c>
      <c r="E7" s="8">
        <v>149.5</v>
      </c>
      <c r="F7" s="12">
        <v>4.9</v>
      </c>
    </row>
    <row r="8" spans="1:9">
      <c r="A8" s="4" t="s">
        <v>166</v>
      </c>
      <c r="B8" s="7">
        <v>33</v>
      </c>
      <c r="C8" s="7">
        <v>5</v>
      </c>
      <c r="D8" s="7">
        <v>9</v>
      </c>
      <c r="E8" s="8">
        <v>136</v>
      </c>
      <c r="F8" s="12">
        <v>32.4</v>
      </c>
    </row>
    <row r="9" spans="1:9">
      <c r="A9" s="4" t="s">
        <v>193</v>
      </c>
      <c r="B9" s="7">
        <v>29</v>
      </c>
      <c r="C9" s="7">
        <v>3</v>
      </c>
      <c r="D9" s="7">
        <v>5</v>
      </c>
      <c r="E9" s="8">
        <v>197</v>
      </c>
      <c r="F9" s="12">
        <v>30</v>
      </c>
    </row>
    <row r="10" spans="1:9">
      <c r="A10" s="4" t="s">
        <v>172</v>
      </c>
      <c r="B10" s="7">
        <v>25</v>
      </c>
      <c r="C10" s="7">
        <v>6</v>
      </c>
      <c r="D10" s="7">
        <v>5</v>
      </c>
      <c r="E10" s="8">
        <v>247</v>
      </c>
      <c r="F10" s="12">
        <v>15</v>
      </c>
    </row>
    <row r="11" spans="1:9">
      <c r="A11" s="4" t="s">
        <v>142</v>
      </c>
      <c r="B11" s="7">
        <v>11</v>
      </c>
      <c r="C11" s="7">
        <v>0</v>
      </c>
      <c r="D11" s="7">
        <v>2</v>
      </c>
      <c r="E11" s="8">
        <v>347</v>
      </c>
      <c r="F11" s="10" t="s">
        <v>144</v>
      </c>
    </row>
    <row r="12" spans="1:9">
      <c r="A12" s="4" t="s">
        <v>221</v>
      </c>
      <c r="B12" s="7">
        <v>8</v>
      </c>
      <c r="C12" s="7">
        <v>3</v>
      </c>
      <c r="D12" s="7">
        <v>1</v>
      </c>
      <c r="E12" s="8">
        <v>364.5</v>
      </c>
      <c r="F12" s="12">
        <v>6</v>
      </c>
    </row>
    <row r="13" spans="1:9">
      <c r="A13" s="4" t="s">
        <v>423</v>
      </c>
      <c r="B13" s="7">
        <v>3</v>
      </c>
      <c r="C13" s="7">
        <v>0</v>
      </c>
      <c r="D13" s="7">
        <v>1</v>
      </c>
      <c r="E13" s="8">
        <v>345</v>
      </c>
      <c r="F13" s="10" t="s">
        <v>144</v>
      </c>
    </row>
    <row r="14" spans="1:9">
      <c r="A14" s="4" t="s">
        <v>386</v>
      </c>
      <c r="B14" s="7">
        <v>2</v>
      </c>
      <c r="C14" s="7">
        <v>0</v>
      </c>
      <c r="D14" s="7">
        <v>1</v>
      </c>
      <c r="E14" s="8">
        <v>319</v>
      </c>
      <c r="F14" s="10" t="s">
        <v>144</v>
      </c>
    </row>
  </sheetData>
  <autoFilter ref="A4:F14"/>
  <mergeCells count="1">
    <mergeCell ref="A2:I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Start Here</vt:lpstr>
      <vt:lpstr>Guide</vt:lpstr>
      <vt:lpstr>Key Takeaways</vt:lpstr>
      <vt:lpstr>Call List</vt:lpstr>
      <vt:lpstr>Neighborhoods</vt:lpstr>
      <vt:lpstr>Repricing</vt:lpstr>
      <vt:lpstr>Segmentation</vt:lpstr>
      <vt:lpstr>Neighborhood Mix</vt:lpstr>
      <vt:lpstr>Opportunities</vt:lpstr>
      <vt:lpstr>Prospects</vt:lpstr>
      <vt:lpstr>Leasing</vt:lpstr>
      <vt:lpstr>Comps</vt:lpstr>
      <vt:lpstr>Market</vt:lpstr>
      <vt:lpstr>Assumptions</vt:lpstr>
      <vt:lpstr>Scenario</vt:lpstr>
      <vt:lpstr>Types</vt:lpstr>
      <vt:lpstr>Absorption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2026-08-03T21:28:23Z</dcterms:created>
  <dcterms:modified xsi:type="dcterms:W3CDTF">2026-08-03T21:28:23Z</dcterms:modified>
</cp:coreProperties>
</file>