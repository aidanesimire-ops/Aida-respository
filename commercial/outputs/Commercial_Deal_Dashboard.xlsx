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shboard" sheetId="2" r:id="rId2"/>
    <sheet name="New Property" sheetId="3" r:id="rId3"/>
    <sheet name="Guide" sheetId="4" r:id="rId4"/>
    <sheet name="Key Takeaways" sheetId="5" r:id="rId5"/>
    <sheet name="Call List" sheetId="6" r:id="rId6"/>
    <sheet name="Neighborhoods" sheetId="7" r:id="rId7"/>
    <sheet name="Repricing" sheetId="8" r:id="rId8"/>
    <sheet name="Segmentation" sheetId="9" r:id="rId9"/>
    <sheet name="Neighborhood Mix" sheetId="10" r:id="rId10"/>
    <sheet name="Opportunities" sheetId="11" r:id="rId11"/>
    <sheet name="Prospects" sheetId="12" r:id="rId12"/>
    <sheet name="Leasing" sheetId="13" r:id="rId13"/>
    <sheet name="Comps" sheetId="14" r:id="rId14"/>
    <sheet name="Market" sheetId="15" r:id="rId15"/>
    <sheet name="Assumptions" sheetId="16" r:id="rId16"/>
    <sheet name="Scenario" sheetId="17" r:id="rId17"/>
    <sheet name="Types" sheetId="18" r:id="rId18"/>
    <sheet name="Absorption" sheetId="19" r:id="rId19"/>
    <sheet name="Data" sheetId="20" r:id="rId20"/>
  </sheets>
  <definedNames>
    <definedName name="_xlnm._FilterDatabase" localSheetId="18" hidden="1">Absorption!$A$4:$F$14</definedName>
    <definedName name="_xlnm._FilterDatabase" localSheetId="5" hidden="1">'Call List'!$A$4:$O$197</definedName>
    <definedName name="_xlnm._FilterDatabase" localSheetId="13" hidden="1">Comps!$A$4:$H$73</definedName>
    <definedName name="_xlnm._FilterDatabase" localSheetId="19" hidden="1">Data!$A$4:$N$988</definedName>
    <definedName name="_xlnm._FilterDatabase" localSheetId="12" hidden="1">Leasing!$A$15:$H$39</definedName>
    <definedName name="_xlnm._FilterDatabase" localSheetId="6" hidden="1">Neighborhoods!$A$4:$M$13</definedName>
    <definedName name="_xlnm._FilterDatabase" localSheetId="10" hidden="1">Opportunities!$A$4:$G$23</definedName>
    <definedName name="_xlnm._FilterDatabase" localSheetId="11" hidden="1">Prospects!$A$4:$G$44</definedName>
    <definedName name="_xlnm._FilterDatabase" localSheetId="7" hidden="1">Repricing!$A$4:$J$266</definedName>
    <definedName name="_xlnm._FilterDatabase" localSheetId="17" hidden="1">Types!$A$4:$K$14</definedName>
  </definedNames>
  <calcPr calcId="124519" fullCalcOnLoad="1"/>
</workbook>
</file>

<file path=xl/sharedStrings.xml><?xml version="1.0" encoding="utf-8"?>
<sst xmlns="http://schemas.openxmlformats.org/spreadsheetml/2006/main" count="11998" uniqueCount="3053">
  <si>
    <t>Commercial Deal Dashboard — Fort Lauderdale</t>
  </si>
  <si>
    <t>Everything lives in this one workbook — the raw data (Data tab), the analytics, the live Dashboard and this index. Nothing external. The MLS export has no income, so cap / rent / value figures are assumption- or comp-based — a screening &amp; pitching tool, not an appraisal. Verify before quoting. Click any tab below.</t>
  </si>
  <si>
    <t>How to use it on a call</t>
  </si>
  <si>
    <t>•</t>
  </si>
  <si>
    <t>Dashboard — live KPIs and charts; pick a neighborhood from the dropdown and every number refocuses to it.</t>
  </si>
  <si>
    <t>New Property — type in any building's price / size / type / area to see its adjusted basis and income view in seconds.</t>
  </si>
  <si>
    <t>Call List — your prospect list: a ready opener to say, the value read, and owner-FAQ answers for each owner (motivated/failed first).</t>
  </si>
  <si>
    <t>Neighborhoods — every submarket as a system: what it supports, rents, yield, supply, and the pitch angle.</t>
  </si>
  <si>
    <t>Repricing — what each listing is GOING FOR vs what it SHOULD be — adjusted basis, up ▲ or down ▼, in % and $.</t>
  </si>
  <si>
    <t>Opportunities / Prospects — the underpriced buys, and failed listings + overpriced actives to call.</t>
  </si>
  <si>
    <t>Leasing — asking rents by type &amp; submarket + data-derived cap rates. Comps — the closed sales behind every number.</t>
  </si>
  <si>
    <t>Market — researched benchmarks + construction / land / waterfront / insurance costs + incentives (Live Local, OZ, CRA).</t>
  </si>
  <si>
    <t>Assumptions / Scenario — tune the income assumptions (yellow cells) and underwrite a single deal.</t>
  </si>
  <si>
    <t>Tabs</t>
  </si>
  <si>
    <t>Dashboard</t>
  </si>
  <si>
    <t>Live KPIs + charts; pick a neighborhood to refocus the numbers.</t>
  </si>
  <si>
    <t>New Property</t>
  </si>
  <si>
    <t>Type in any building — get its adjusted basis, income view &amp; market fit.</t>
  </si>
  <si>
    <t>Data</t>
  </si>
  <si>
    <t>Every cleaned listing — the backbone every formula runs on.</t>
  </si>
  <si>
    <t>Guide</t>
  </si>
  <si>
    <t>Plain-English glossary + how to recreate this on new data.</t>
  </si>
  <si>
    <t>Key Takeaways</t>
  </si>
  <si>
    <t>The headlines in plain English.</t>
  </si>
  <si>
    <t>Call List</t>
  </si>
  <si>
    <t>Owners to cold-call — opener + value read + FAQ.</t>
  </si>
  <si>
    <t>Neighborhoods</t>
  </si>
  <si>
    <t>Every submarket as a system, side by side.</t>
  </si>
  <si>
    <t>Repricing</t>
  </si>
  <si>
    <t>Going-for vs should-be, adjusted basis up/down.</t>
  </si>
  <si>
    <t>Segmentation</t>
  </si>
  <si>
    <t>Market share by asset type, price bracket &amp; size class.</t>
  </si>
  <si>
    <t>Neighborhood Mix</t>
  </si>
  <si>
    <t>What each area is made of (type / price / size).</t>
  </si>
  <si>
    <t>Opportunities</t>
  </si>
  <si>
    <t>Underpriced buys.</t>
  </si>
  <si>
    <t>Prospects</t>
  </si>
  <si>
    <t>Failed listings + overpriced actives.</t>
  </si>
  <si>
    <t>Leasing</t>
  </si>
  <si>
    <t>Asking rents + data-derived cap rates.</t>
  </si>
  <si>
    <t>Comps</t>
  </si>
  <si>
    <t>Closed sales behind the numbers.</t>
  </si>
  <si>
    <t>Market</t>
  </si>
  <si>
    <t>Benchmarks, costs &amp; the neighborhood playbook.</t>
  </si>
  <si>
    <t>Assumptions</t>
  </si>
  <si>
    <t>Editable income norms by asset type.</t>
  </si>
  <si>
    <t>Scenario</t>
  </si>
  <si>
    <t>Live single-deal underwriting.</t>
  </si>
  <si>
    <t>Types</t>
  </si>
  <si>
    <t>$/SqFt + assumed income by asset class.</t>
  </si>
  <si>
    <t>Absorption</t>
  </si>
  <si>
    <t>Months of supply by submarket &amp; type.</t>
  </si>
  <si>
    <t>Self-contained — the data, the analytics and the tools all live in this workbook. Built Aug 3, 2026. Pick a neighborhood below to refocus the numbers; charts are to the right.</t>
  </si>
  <si>
    <t>Listings</t>
  </si>
  <si>
    <t>Sale listings</t>
  </si>
  <si>
    <t>Closed sales</t>
  </si>
  <si>
    <t>Lease listings</t>
  </si>
  <si>
    <t>City norm $/SqFt</t>
  </si>
  <si>
    <t>Focus neighborhood →</t>
  </si>
  <si>
    <t>Area 3160</t>
  </si>
  <si>
    <t>Sold $/SqFt (avg)</t>
  </si>
  <si>
    <t>Live for-sale</t>
  </si>
  <si>
    <t>Avg price</t>
  </si>
  <si>
    <t>Avg lease $/SqFt</t>
  </si>
  <si>
    <t>Market share by type (%)</t>
  </si>
  <si>
    <t>Commercial (other)</t>
  </si>
  <si>
    <t>Multifamily</t>
  </si>
  <si>
    <t>Industrial</t>
  </si>
  <si>
    <t>Mixed Use</t>
  </si>
  <si>
    <t>Office</t>
  </si>
  <si>
    <t>Retail</t>
  </si>
  <si>
    <t>Hotel</t>
  </si>
  <si>
    <t>Restaurant</t>
  </si>
  <si>
    <t>Flex</t>
  </si>
  <si>
    <t>Special Purpose</t>
  </si>
  <si>
    <t>Norm $/SqFt by area</t>
  </si>
  <si>
    <t>Area 3600</t>
  </si>
  <si>
    <t>Area 3810</t>
  </si>
  <si>
    <t>Area 3380</t>
  </si>
  <si>
    <t>Area 3370</t>
  </si>
  <si>
    <t>Area 3500</t>
  </si>
  <si>
    <t>Area 3800</t>
  </si>
  <si>
    <t>Area 3470</t>
  </si>
  <si>
    <t>Area 3460</t>
  </si>
  <si>
    <t>Implied cap by type (%)</t>
  </si>
  <si>
    <t>Analyze a new property</t>
  </si>
  <si>
    <t>Type in any building's price, size, type and area. It compares your $/SqFt to the comps, shows the adjusted basis (up/down), the income view at your assumptions, and where it sits in the market. Everything recomputes.</t>
  </si>
  <si>
    <t>type</t>
  </si>
  <si>
    <t>rent</t>
  </si>
  <si>
    <t>vac</t>
  </si>
  <si>
    <t>opex</t>
  </si>
  <si>
    <t>cap</t>
  </si>
  <si>
    <t>price bracket</t>
  </si>
  <si>
    <t>share%</t>
  </si>
  <si>
    <t>$1–2.5M</t>
  </si>
  <si>
    <t>&lt; $1M</t>
  </si>
  <si>
    <t>$2.5–5M</t>
  </si>
  <si>
    <t>$5–10M</t>
  </si>
  <si>
    <t>$10M+</t>
  </si>
  <si>
    <t>size class</t>
  </si>
  <si>
    <t>10–25K</t>
  </si>
  <si>
    <t>5–10K</t>
  </si>
  <si>
    <t>&lt; 2.5K</t>
  </si>
  <si>
    <t>25–50K</t>
  </si>
  <si>
    <t>2.5–5K</t>
  </si>
  <si>
    <t>50K+</t>
  </si>
  <si>
    <t>Any</t>
  </si>
  <si>
    <t>Area 3170</t>
  </si>
  <si>
    <t>Area 3250</t>
  </si>
  <si>
    <t>Area 3260</t>
  </si>
  <si>
    <t>Area 3270</t>
  </si>
  <si>
    <t>Area 3280</t>
  </si>
  <si>
    <t>Area 3360</t>
  </si>
  <si>
    <t>Area 3390</t>
  </si>
  <si>
    <t>Area 3400</t>
  </si>
  <si>
    <t>Area 3450</t>
  </si>
  <si>
    <t>Area 3480</t>
  </si>
  <si>
    <t>Area 3490</t>
  </si>
  <si>
    <t>Area 3560</t>
  </si>
  <si>
    <t>Area 3580</t>
  </si>
  <si>
    <t>Area 3700</t>
  </si>
  <si>
    <t>Price ($)</t>
  </si>
  <si>
    <t>Size (SqFt)</t>
  </si>
  <si>
    <t>Asset type</t>
  </si>
  <si>
    <t>Area / submarket</t>
  </si>
  <si>
    <t>Your $/SqFt</t>
  </si>
  <si>
    <t>Comp $/SqFt (avg)</t>
  </si>
  <si>
    <t>Adjust (model vs going)</t>
  </si>
  <si>
    <t>Adjusted basis ($)</t>
  </si>
  <si>
    <t>Assumed rent $/SqFt</t>
  </si>
  <si>
    <t>NOI (assumed)</t>
  </si>
  <si>
    <t>Implied cap</t>
  </si>
  <si>
    <t>Value @ market cap</t>
  </si>
  <si>
    <t>Ask vs value</t>
  </si>
  <si>
    <t>Price bracket</t>
  </si>
  <si>
    <t>Size class (SqFt)</t>
  </si>
  <si>
    <t>Price bracket = % of market</t>
  </si>
  <si>
    <t>Size class = % of market</t>
  </si>
  <si>
    <t>▲ Adjust positive = priced BELOW comps (room to raise / a buy) · ▼ negative = priced above. Income figures use the Assumptions tab. Comp = average of closed sales of that type (and area).</t>
  </si>
  <si>
    <t>Guide — understand it &amp; recreate it</t>
  </si>
  <si>
    <t>A plain-English glossary of every number, what's real vs assumed, and how to run this on a new set of properties.</t>
  </si>
  <si>
    <t>What this is</t>
  </si>
  <si>
    <t>The short version</t>
  </si>
  <si>
    <t>A comp-based commercial screening &amp; pitching tool built from an MLS export. The export has price, size, type, age and location but NO income — so cap rate, rent and value figures are ASSUMPTION- or COMP-based. Use it to screen, prospect and price — not to appraise.</t>
  </si>
  <si>
    <t>Everything's inside this file</t>
  </si>
  <si>
    <t>Fully self-contained. The raw data (Data tab), every analytic, the live Dashboard and the Start-Here index all live in this one workbook — no CSVs, no separate dashboard needed. The Dashboard and New Property tabs compute live off the Data tab, so editing a row there flows through.</t>
  </si>
  <si>
    <t>What's real vs. what's assumed</t>
  </si>
  <si>
    <t>Real (from your data)</t>
  </si>
  <si>
    <t>Price, building SqFt, asset type, year built, MLS area, status — and everything derived from them: $/SqFt, the price/size/type brackets, market share, closed comps, and asking lease rates.</t>
  </si>
  <si>
    <t>Assumed (editable)</t>
  </si>
  <si>
    <t>Rent $/SqFt, vacancy, operating-expense ratio, market cap rate, rent/expense growth, and financing (LTV, rate, hold). Change these on the Assumptions &amp; Scenario tabs (yellow cells) or in the dashboard.</t>
  </si>
  <si>
    <t>Glossary — every number explained</t>
  </si>
  <si>
    <t>Normalized $/SqFt</t>
  </si>
  <si>
    <t>The model's price per SqFt for a STANDARDIZED building in that area — size, age, type and the closed-vs-listed gap removed — so areas compare apples-to-apples.</t>
  </si>
  <si>
    <t>Going $/SF</t>
  </si>
  <si>
    <t>What a listing is actually asking per SqFt right now.</t>
  </si>
  <si>
    <t>Model $/SF</t>
  </si>
  <si>
    <t>What comps say that exact building SHOULD be per SqFt (its normalized value for size/age/type/area).</t>
  </si>
  <si>
    <t>Adjust ▲ up / ▼ down</t>
  </si>
  <si>
    <t>How far the asking is from the model. ▲ up = priced BELOW market (room to raise, or a buy); ▼ down = priced ABOVE market.</t>
  </si>
  <si>
    <t>Adjusted basis (Δ $)</t>
  </si>
  <si>
    <t>The dollar version of the adjustment: (Model $/SF − Going $/SF) × SqFt.</t>
  </si>
  <si>
    <t>Implied cap (assumptions)</t>
  </si>
  <si>
    <t>NOI ÷ price, where NOI = SqFt × assumed rent × (1−vacancy) × (1−opex). Moves when you change assumptions.</t>
  </si>
  <si>
    <t>Implied cap (data)</t>
  </si>
  <si>
    <t>Anchored to real rents &amp; prices: (lease $/SF ÷ sale $/SF gross yield) × (1−vacancy) × (1−opex). A market-level proxy, not a specific building's cap.</t>
  </si>
  <si>
    <t>Gross yield</t>
  </si>
  <si>
    <t>Annual asking lease $/SF ÷ sale $/SF — rent per dollar of price, before expenses.</t>
  </si>
  <si>
    <t>Lease $/SF</t>
  </si>
  <si>
    <t>Asking rent per SqFt per year (rate basis inferred from the listing).</t>
  </si>
  <si>
    <t>Value / Comp value</t>
  </si>
  <si>
    <t>What comps or assumptions say it's worth — compare against the asking price.</t>
  </si>
  <si>
    <t>Market share %</t>
  </si>
  <si>
    <t>What percentage a category (asset type, price bracket, size class) makes up of its parent — the whole market, an asset class, or a neighborhood.</t>
  </si>
  <si>
    <t>The brackets</t>
  </si>
  <si>
    <t>Price brackets</t>
  </si>
  <si>
    <t>&lt; $1M · $1–2.5M · $2.5–5M · $5–10M · $10M+</t>
  </si>
  <si>
    <t>Size classes (SqFt)</t>
  </si>
  <si>
    <t>&lt; 2.5K · 2.5–5K · 5–10K · 10–25K · 25–50K · 50K+  — the 'floor plan' analog (the export has no unit-mix / bed-bath data).</t>
  </si>
  <si>
    <t>Multifamily unit brackets</t>
  </si>
  <si>
    <t>&lt; 10 · 10–25 · 25–50 · 50–100 · 100+ units — only where a unit count could be parsed from the address (limited coverage).</t>
  </si>
  <si>
    <t>Confidence &amp; flags</t>
  </si>
  <si>
    <t>Confidence: High / Med / Indicative</t>
  </si>
  <si>
    <t>How many closed comps back a number (≥8 High, ≥4 Med, else Indicative). Treat 'Indicative' cells as directional.</t>
  </si>
  <si>
    <t>Flag: Underpriced / Fair / Overpriced</t>
  </si>
  <si>
    <t>Asking vs value on the income lens (&gt;10% under, within ±10%, &gt;10% over).</t>
  </si>
  <si>
    <t>Flag: Check</t>
  </si>
  <si>
    <t>Implied cap outside a plausible band — usually the SqFt or assumed rent is off; verify before quoting.</t>
  </si>
  <si>
    <t>How to recreate this for other properties</t>
  </si>
  <si>
    <t>The whole workbook + dashboard regenerate from a folder of CSVs. To analyze a different set of properties (a new MLS pull, another market, or a specific list):</t>
  </si>
  <si>
    <t>1. Export</t>
  </si>
  <si>
    <t>From the MLS, export the properties as a CSV in the 'Agent Single Line — COM' layout (or any CSV with the columns below).</t>
  </si>
  <si>
    <t>2. Add / replace the data</t>
  </si>
  <si>
    <t>Put your CSV(s) in  commercial/data/raw/. To fully replace, delete the old files; to UPDATE OVER TIME just add the newer pull — the tool reads every CSV and, for any listing that appears in more than one, keeps the most-progressed status and the NEWEST pull.</t>
  </si>
  <si>
    <t>3. Run</t>
  </si>
  <si>
    <t>In a terminal from the commercial/ folder:  pip install -r requirements.txt   then   python analysis/run_all.py   (or double-click run.sh). ~30 seconds.</t>
  </si>
  <si>
    <t>4. Open</t>
  </si>
  <si>
    <t>outputs/Commercial_Deal_Dashboard.xlsx  and  dashboard/index.html — everything is rebuilt on your data.</t>
  </si>
  <si>
    <t>Columns it reads</t>
  </si>
  <si>
    <t>MLS #, St (status), Area, Address, Current Price, Sale Price, Year Built, Prop Type (Sale/Lease), Type of Property, Property SqFt, Waterfront (Y/N), #Bays. Different headers? Edit the mapping at the top of  analysis/cre_common.py.</t>
  </si>
  <si>
    <t>Tune the assumptions</t>
  </si>
  <si>
    <t>Rents/vacancy/opex/cap live in  analysis/cre_assumptions.py  (or edit live on the dashboard). Refresh the market benchmarks in  analysis/market_context.py.</t>
  </si>
  <si>
    <t>Sources &amp; freshness</t>
  </si>
  <si>
    <t>Market benchmarks</t>
  </si>
  <si>
    <t>Researched from CBRE, Colliers, JLL, Matthews, Yardi, The Real Deal, RSMeans/Turner/RLB, LandSearch, Holland &amp; Knight and others (2024–2025 (some Q1 2026); curated 2026-07-29). Full list on the Market tab — refresh periodically.</t>
  </si>
  <si>
    <t>Your data</t>
  </si>
  <si>
    <t>Source: com_active.csv, com_cancelled.csv, com_closed_pending_rented.csv. 984 listings, 331 priced sale comps.</t>
  </si>
  <si>
    <t>Key takeaways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</si>
  <si>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</si>
  <si>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</si>
  <si>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</si>
  <si>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</si>
  <si>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</si>
  <si>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</si>
  <si>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Cold-call list — owners to work</t>
  </si>
  <si>
    <t>193 owners · 172 motivated (came off-market) first. Say the opener, use the value read, answer with the FAQ. Comp/assumption-based — verify before quoting.</t>
  </si>
  <si>
    <t>#</t>
  </si>
  <si>
    <t>Address</t>
  </si>
  <si>
    <t>Type</t>
  </si>
  <si>
    <t>Area</t>
  </si>
  <si>
    <t>Status</t>
  </si>
  <si>
    <t>Motiv.</t>
  </si>
  <si>
    <t>SqFt</t>
  </si>
  <si>
    <t>Last ask</t>
  </si>
  <si>
    <t>Comp value</t>
  </si>
  <si>
    <t>Comp $/SF</t>
  </si>
  <si>
    <t>Impl cap</t>
  </si>
  <si>
    <t>Opener — say this</t>
  </si>
  <si>
    <t>Value read</t>
  </si>
  <si>
    <t>If they ask…</t>
  </si>
  <si>
    <t>3100 SE 6th Avenue</t>
  </si>
  <si>
    <t>Expired</t>
  </si>
  <si>
    <t>YES</t>
  </si>
  <si>
    <t>Hi, I saw 3100 SE 6th Avenue came off the market — I cover Andrews Ave · SE 17th St. Commercial around here is trading near $71/SF and leasing around $26/SF. I think it can be positioned to actually sell — got two minutes?</t>
  </si>
  <si>
    <t>Comps put it around $6.40M (~$71/SF) — about a 10.3% cap at market rents. It should rent ~$26/SF — about $2.39M/yr gross.</t>
  </si>
  <si>
    <t>What's it worth? Comps support ~$6.40M (~$71/SF). You were asking $11.90M.  •  What does it rent for? ~$26/SF/yr — about $2.39M/yr gross on 90,193 SF.  •  What cap? ~10.3%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</si>
  <si>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2209 NE 26th Street</t>
  </si>
  <si>
    <t>—</t>
  </si>
  <si>
    <t>Hi, I saw 2209 NE 26th Street came off the market — I cover Dixie Hwy · Oakland Park Blvd. Hotel around here is trading near $226/SF. I think it can be positioned to actually sell — got two minutes?</t>
  </si>
  <si>
    <t>Comps put it around $6.26M (~$226/SF) — about a 7.7% cap at market rents.</t>
  </si>
  <si>
    <t>What's it worth? Comps support ~$6.26M (~$226/SF). You were asking $9.60M.  •  What cap? ~7.7% implied from lease-vs-sale comps (market benchmark ~7.8%).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</si>
  <si>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3030 SW 4th Avenue</t>
  </si>
  <si>
    <t>Hi, I saw 3030 SW 4th Avenue came off the market — I cover the area. Industrial around here is trading near $123/SF and leasing around $19/SF. I think it can be positioned to actually sell — got two minutes?</t>
  </si>
  <si>
    <t>Comps put it around $6.03M (~$123/SF) — about a 5.5% cap at market rents. It should rent ~$19/SF — about $950K/yr gross.</t>
  </si>
  <si>
    <t>What's it worth? Comps support ~$6.03M (~$123/SF). You were asking $8.70M.  •  What does it rent for? ~$19/SF/yr — about $950K/yr gross on 48,992 SF.  •  What cap? ~5.5% implied from lease-vs-sale comps (market benchmark ~6.0–6.3% (South FL)).  •  Why now? 1031 buyers are active, the Live Local Act unlocks density on commercial land, and rising insurance is nudging owners to test the market.</t>
  </si>
  <si>
    <t>3001 N Ocean Blvd</t>
  </si>
  <si>
    <t>Area 3130</t>
  </si>
  <si>
    <t>Hi, I saw 3001 N Ocean Blvd came off the market — I cover Ocean Blvd. Hotel around here is trading near $293/SF. I think it can be positioned to actually sell — got two minutes?</t>
  </si>
  <si>
    <t>Comps put it around $5.31M (~$293/SF) — about a 6.0% cap at market rents.</t>
  </si>
  <si>
    <t>What's it worth? Comps support ~$5.31M (~$293/SF). You were asking $8.00M.  •  What cap? ~6.0% implied from lease-vs-sale comps (market benchmark ~7.8%).  •  Why now? 1031 buyers are active, the Live Local Act unlocks density on commercial land, and rising insurance is nudging owners to test the market.</t>
  </si>
  <si>
    <t>616-626 SW 14th Ave</t>
  </si>
  <si>
    <t>Hi, I saw 616-626 SW 14th Ave came off the market — I cover Davie Blvd · Las Olas Blvd. Multifamily around here is trading near $97/SF and leasing around $15/SF. I think it can be positioned to actually sell — got two minutes?</t>
  </si>
  <si>
    <t>Comps put it around $3.78M (~$97/SF) — about a 4.8% cap at market rents. It should rent ~$15/SF — about $601K/yr gross.</t>
  </si>
  <si>
    <t>What's it worth? Comps support ~$3.78M (~$97/SF). You were asking $7.95M.  •  What does it rent for? ~$15/SF/yr — about $601K/yr gross on 39,000 SF.  •  What cap? ~4.8%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</si>
  <si>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925 W Broward Blvd</t>
  </si>
  <si>
    <t>Hi, I saw 925 W Broward Blvd came off the market — I cover Broward Blvd · Sunrise Blvd. Mixed-use around here is trading near $110/SF and leasing around $20/SF. I think it can be positioned to actually sell — got two minutes?</t>
  </si>
  <si>
    <t>Comps put it around $2.92M (~$110/SF) — about a 3.3% cap at market rents. It should rent ~$20/SF — about $537K/yr gross.</t>
  </si>
  <si>
    <t>What's it worth? Comps support ~$2.92M (~$110/SF). You were asking $7.60M.  •  What does it rent for? ~$20/SF/yr — about $537K/yr gross on 26,576 SF.  •  What cap? ~3.3% implied from lease-vs-sale comps (market benchmark ~6.0–6.75% (blends retail/MF)).  •  Why now? 1031 buyers are active, the Live Local Act unlocks density on commercial land, and rising insurance is nudging owners to test the market.</t>
  </si>
  <si>
    <t>2000 S Federal Highway</t>
  </si>
  <si>
    <t>Cancelled</t>
  </si>
  <si>
    <t>Hi, I saw 2000 S Federal Highway came off the market — I cover Federal Hwy · SR-84. Retail around here is trading near $127/SF and leasing around $28/SF. I think it can be positioned to actually sell — got two minutes?</t>
  </si>
  <si>
    <t>Comps put it around $2.14M (~$127/SF) — about a 4.0% cap at market rents. It should rent ~$28/SF — about $472K/yr gross.</t>
  </si>
  <si>
    <t>What's it worth? Comps support ~$2.14M (~$127/SF). You were asking $7.00M.  •  What does it rent for? ~$28/SF/yr — about $472K/yr gross on 16,875 SF.  •  What cap? ~4.0% implied from lease-vs-sale comps (market benchmark ~6.0–6.1%).  •  Why now? 1031 buyers are active, the Live Local Act unlocks density on commercial land, and rising insurance is nudging owners to test the market.</t>
  </si>
  <si>
    <t>Hi, I saw 2000 S Federal Highway came off the market — I cover SE 17th St · Federal Hwy. Retail around here is trading near $177/SF and leasing around $28/SF. I think it can be positioned to actually sell — got two minutes?</t>
  </si>
  <si>
    <t>Comps put it around $2.99M (~$177/SF) — about a 4.0% cap at market rents. It should rent ~$28/SF — about $472K/yr gross.</t>
  </si>
  <si>
    <t>What's it worth? Comps support ~$2.99M (~$177/SF). You were asking $7.00M.  •  What does it rent for? ~$28/SF/yr — about $472K/yr gross on 16,875 SF.  •  What cap? ~4.0%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</si>
  <si>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0000 N Main Street</t>
  </si>
  <si>
    <t>Hi, I saw 0000 N Main Street came off the market — I cover Sunrise Blvd · Oakland Park Blvd. Commercial around here is trading near $159/SF and leasing around $26/SF. I think it can be positioned to actually sell — got two minutes?</t>
  </si>
  <si>
    <t>Comps put it around $3.98M (~$159/SF) — about a 5.2% cap at market rents. It should rent ~$26/SF — about $662K/yr gross.</t>
  </si>
  <si>
    <t>What's it worth? Comps support ~$3.98M (~$159/SF). You were asking $6.50M.  •  What does it rent for? ~$26/SF/yr — about $662K/yr gross on 25,000 SF.  •  What cap? ~5.2% implied from lease-vs-sale comps (market benchmark —).  •  Why now? 1031 buyers are active, the Live Local Act unlocks density on commercial land, and rising insurance is nudging owners to test the market.</t>
  </si>
  <si>
    <t>2640+2648+2667 NE 32nd Street</t>
  </si>
  <si>
    <t>Hi, I saw 2640+2648+2667 NE 32nd Street came off the market — I cover Oakland Park Blvd. Hotel around here is trading near $224/SF. I think it can be positioned to actually sell — got two minutes?</t>
  </si>
  <si>
    <t>Comps put it around $6.69M (~$224/SF) — about a 13.2% cap at market rents.</t>
  </si>
  <si>
    <t>What's it worth? Comps support ~$6.69M (~$224/SF). You were asking $6.00M.  •  What cap? ~13.2% implied from lease-vs-sale comps (market benchmark ~7.8%).  •  Why now? 1031 buyers are active, the Live Local Act unlocks density on commercial land, and rising insurance is nudging owners to test the market.</t>
  </si>
  <si>
    <t>1995 E Oakland Park Blvd</t>
  </si>
  <si>
    <t>Hi, I saw 1995 E Oakland Park Blvd came off the market — I cover Oakland Park Blvd. Office around here is trading near $63/SF and leasing around $17/SF. I think it can be positioned to actually sell — got two minutes?</t>
  </si>
  <si>
    <t>Comps put it around $2.11M (~$63/SF) — about a 8.9% cap at market rents. It should rent ~$17/SF — about $569K/yr gross.</t>
  </si>
  <si>
    <t>What's it worth? Comps support ~$2.11M (~$63/SF). You were asking $6.00M.  •  What does it rent for? ~$17/SF/yr — about $569K/yr gross on 33,482 SF.  •  What cap? ~8.9% implied from lease-vs-sale comps (market benchmark ~6.75–8.0%).  •  Why now? 1031 buyers are active, the Live Local Act unlocks density on commercial land, and rising insurance is nudging owners to test the market.</t>
  </si>
  <si>
    <t>1916 SW 11th St</t>
  </si>
  <si>
    <t>Area 3990</t>
  </si>
  <si>
    <t>Hi, I saw 1916 SW 11th St came off the market — I cover the area. Multifamily around here is trading near $149/SF and leasing around $15/SF. I think it can be positioned to actually sell — got two minutes?</t>
  </si>
  <si>
    <t>Comps put it around $3.93M (~$149/SF) — about a 4.3% cap at market rents. It should rent ~$15/SF — about $407K/yr gross.</t>
  </si>
  <si>
    <t>What's it worth? Comps support ~$3.93M (~$149/SF). You were asking $6.00M.  •  What does it rent for? ~$15/SF/yr — about $407K/yr gross on 26,399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</si>
  <si>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1916 SW 11th Street</t>
  </si>
  <si>
    <t>Hi, I saw 1916 SW 11th Street came off the market — I cover the area. Multifamily around here is trading near $149/SF and leasing around $15/SF. I think it can be positioned to actually sell — got two minutes?</t>
  </si>
  <si>
    <t>Comps put it around $3.93M (~$149/SF) — about a 4.5% cap at market rents. It should rent ~$15/SF — about $407K/yr gross.</t>
  </si>
  <si>
    <t>What's it worth? Comps support ~$3.93M (~$149/SF). You were asking $5.80M.  •  What does it rent for? ~$15/SF/yr — about $407K/yr gross on 26,399 SF.  •  What cap? ~4.5%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</si>
  <si>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1354 Bayview Drive</t>
  </si>
  <si>
    <t>Hi, I saw 1354 Bayview Drive came off the market — I cover Sunrise Blvd · Oakland Park Blvd. Multifamily around here is trading near $176/SF and leasing around $15/SF. I think it can be positioned to actually sell — got two minutes?</t>
  </si>
  <si>
    <t>Comps put it around $3.40M (~$176/SF) — about a 3.5% cap at market rents. It should rent ~$15/SF — about $297K/yr gross.</t>
  </si>
  <si>
    <t>What's it worth? Comps support ~$3.40M (~$176/SF). You were asking $5.45M.  •  What does it rent for? ~$15/SF/yr — about $297K/yr gross on 19,298 SF.  •  What cap? ~3.5%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</si>
  <si>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1545 Miami Road</t>
  </si>
  <si>
    <t>Hi, I saw 1545 Miami Road came off the market — I cover SE 17th St · Federal Hwy. Multifamily around here is trading near $241/SF and leasing around $15/SF. I think it can be positioned to actually sell — got two minutes?</t>
  </si>
  <si>
    <t>Comps put it around $4.83M (~$241/SF) — about a 3.7% cap at market rents. It should rent ~$15/SF — about $308K/yr gross.</t>
  </si>
  <si>
    <t>What's it worth? Comps support ~$4.83M (~$241/SF). You were asking $5.29M.  •  What does it rent for? ~$15/SF/yr — about $308K/yr gross on 20,020 SF.  •  What cap? ~3.7%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</si>
  <si>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511 SE 5th Ave Unit#101/102</t>
  </si>
  <si>
    <t>Hi, I saw 511 SE 5th Ave Unit#101/102 came off the market — I cover Andrews Ave · SE 17th St. Restaurant/bar around here is trading near $184/SF and leasing around $23/SF. I think it can be positioned to actually sell — got two minutes?</t>
  </si>
  <si>
    <t>Comps put it around $1.59M (~$184/SF) — about a 4.1% cap at market rents. It should rent ~$23/SF — about $196K/yr gross.</t>
  </si>
  <si>
    <t>What's it worth? Comps support ~$1.59M (~$184/SF). You were asking $5.00M.  •  What does it rent for? ~$23/SF/yr — about $196K/yr gross on 8,664 SF.  •  What cap? ~4.1%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</si>
  <si>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431 NW 1st Avenue</t>
  </si>
  <si>
    <t>Hi, I saw 431 NW 1st Avenue came off the market — I cover Broward Blvd. Commercial around here is trading near $265/SF and leasing around $26/SF. I think it can be positioned to actually sell — got two minutes?</t>
  </si>
  <si>
    <t>Comps put it around $4.22M (~$265/SF) — about a 4.3% cap at market rents. It should rent ~$26/SF — about $422K/yr gross.</t>
  </si>
  <si>
    <t>What's it worth? Comps support ~$4.22M (~$265/SF). You were asking $5.00M.  •  What does it rent for? ~$26/SF/yr — about $422K/yr gross on 15,937 SF.  •  What cap? ~4.3%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</si>
  <si>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1843 S Federal Highway</t>
  </si>
  <si>
    <t>Hi, I saw 1843 S Federal Highway came off the market — I cover Andrews Ave · SE 17th St. Commercial around here is trading near $202/SF and leasing around $26/SF. I think it can be positioned to actually sell — got two minutes?</t>
  </si>
  <si>
    <t>Comps put it around $2.57M (~$202/SF) — about a 3.8% cap at market rents. It should rent ~$26/SF — about $337K/yr gross.</t>
  </si>
  <si>
    <t>What's it worth? Comps support ~$2.57M (~$202/SF). You were asking $4.60M.  •  What does it rent for? ~$26/SF/yr — about $337K/yr gross on 12,715 SF.  •  What cap? ~3.8%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</si>
  <si>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1215 NE 17th Court</t>
  </si>
  <si>
    <t>Hi, I saw 1215 NE 17th Court came off the market — I cover Ocean Blvd · SE 17th St. Commercial around here is trading near $59/SF and leasing around $26/SF. I think it can be positioned to actually sell — got two minutes?</t>
  </si>
  <si>
    <t>Comps put it around $2.69M (~$59/SF) — about a 13.7% cap at market rents. It should rent ~$26/SF — about $1.21M/yr gross.</t>
  </si>
  <si>
    <t>What's it worth? Comps support ~$2.69M (~$59/SF). You were asking $4.50M.  •  What does it rent for? ~$26/SF/yr — about $1.21M/yr gross on 45,568 SF.  •  What cap? ~13.7%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</si>
  <si>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2817 E Oakland Park Boulevard</t>
  </si>
  <si>
    <t>Hi, I saw 2817 E Oakland Park Boulevard came off the market — I cover Oakland Park Blvd. Commercial around here is trading near $209/SF and leasing around $26/SF. I think it can be positioned to actually sell — got two minutes?</t>
  </si>
  <si>
    <t>Comps put it around $3.11M (~$209/SF) — about a 4.5% cap at market rents. It should rent ~$26/SF — about $394K/yr gross.</t>
  </si>
  <si>
    <t>What's it worth? Comps support ~$3.11M (~$209/SF). You were asking $4.50M.  •  What does it rent for? ~$26/SF/yr — about $394K/yr gross on 14,860 SF.  •  What cap? ~4.5% implied from lease-vs-sale comps (market benchmark —).  •  Why now? 1031 buyers are active, the Live Local Act unlocks density on commercial land, and rising insurance is nudging owners to test the market.</t>
  </si>
  <si>
    <t>2648 NE 32nd Street</t>
  </si>
  <si>
    <t>Hi, I saw 2648 NE 32nd Street came off the market — I cover Oakland Park Blvd. Hotel around here is trading near $277/SF. I think it can be positioned to actually sell — got two minutes?</t>
  </si>
  <si>
    <t>Comps put it around $5.54M (~$277/SF) — about a 11.8% cap at market rents.</t>
  </si>
  <si>
    <t>What's it worth? Comps support ~$5.54M (~$277/SF). You were asking $4.50M.  •  What cap? ~11.8% implied from lease-vs-sale comps (market benchmark ~7.8%).  •  Why now? 1031 buyers are active, the Live Local Act unlocks density on commercial land, and rising insurance is nudging owners to test the market.</t>
  </si>
  <si>
    <t>702-704 NE 1st Avenue</t>
  </si>
  <si>
    <t>Hi, I saw 702-704 NE 1st Avenue came off the market — I cover Wilton Dr · Federal Hwy. Commercial around here is trading near $306/SF and leasing around $26/SF. I think it can be positioned to actually sell — got two minutes?</t>
  </si>
  <si>
    <t>Comps put it around $3.41M (~$306/SF) — about a 3.6% cap at market rents. It should rent ~$26/SF — about $296K/yr gross.</t>
  </si>
  <si>
    <t>What's it worth? Comps support ~$3.41M (~$306/SF). You were asking $4.25M.  •  What does it rent for? ~$26/SF/yr — about $296K/yr gross on 11,156 SF.  •  What cap? ~3.6%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</si>
  <si>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Comps put it around $5.54M (~$277/SF) — about a 12.7% cap at market rents.</t>
  </si>
  <si>
    <t>What's it worth? Comps support ~$5.54M (~$277/SF). You were asking $4.20M.  •  What cap? ~12.7% implied from lease-vs-sale comps (market benchmark ~7.8%).  •  Why now? 1031 buyers are active, the Live Local Act unlocks density on commercial land, and rising insurance is nudging owners to test the market.</t>
  </si>
  <si>
    <t>817 NE 4th Avenue</t>
  </si>
  <si>
    <t>Hi, I saw 817 NE 4th Avenue came off the market — I cover Sunrise Blvd. Mixed-use around here is trading near $131/SF and leasing around $20/SF. I think it can be positioned to actually sell — got two minutes?</t>
  </si>
  <si>
    <t>Comps put it around $2.50M (~$131/SF) — about a 4.5% cap at market rents. It should rent ~$20/SF — about $386K/yr gross.</t>
  </si>
  <si>
    <t>What's it worth? Comps support ~$2.50M (~$131/SF). You were asking $4.00M.  •  What does it rent for? ~$20/SF/yr — about $386K/yr gross on 19,125 SF.  •  What cap? ~4.5% implied from lease-vs-sale comps (market benchmark ~6.0–6.75% (blends retail/MF)).  •  Why now? 1031 buyers are active, the Live Local Act unlocks density on commercial land, and rising insurance is nudging owners to test the market.</t>
  </si>
  <si>
    <t>2150 NW 9th Avenue</t>
  </si>
  <si>
    <t>Hi, I saw 2150 NW 9th Avenue came off the market — I cover Sunrise Blvd. Commercial around here is trading near $109/SF and leasing around $26/SF. I think it can be positioned to actually sell — got two minutes?</t>
  </si>
  <si>
    <t>Comps put it around $2.47M (~$109/SF) — about a 7.7% cap at market rents. It should rent ~$26/SF — about $600K/yr gross.</t>
  </si>
  <si>
    <t>What's it worth? Comps support ~$2.47M (~$109/SF). You were asking $4.00M.  •  What does it rent for? ~$26/SF/yr — about $600K/yr gross on 22,630 SF.  •  What cap? ~7.7%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</si>
  <si>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12 Terrace</t>
  </si>
  <si>
    <t>Hi, I saw 3001 NE 12 Terrace came off the market — I cover Dixie Hwy · Oakland Park Blvd. Industrial around here is trading near $242/SF and leasing around $19/SF. I think it can be positioned to actually sell — got two minutes?</t>
  </si>
  <si>
    <t>Comps put it around $3.15M (~$242/SF) — about a 3.2% cap at market rents. It should rent ~$19/SF — about $252K/yr gross.</t>
  </si>
  <si>
    <t>What's it worth? Comps support ~$3.15M (~$242/SF). You were asking $3.90M.  •  What does it rent for? ~$19/SF/yr — about $252K/yr gross on 13,000 SF.  •  What cap? ~3.2% implied from lease-vs-sale comps (market benchmark ~6.0–6.3% (South FL)).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</si>
  <si>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1730 W Sunrise Boulevard</t>
  </si>
  <si>
    <t>Hi, I saw 1730 W Sunrise Boulevard came off the market — I cover Broward Blvd · Sunrise Blvd. Retail around here is trading near $99/SF and leasing around $28/SF. I think it can be positioned to actually sell — got two minutes?</t>
  </si>
  <si>
    <t>Comps put it around $2.66M (~$99/SF) — about a 11.4% cap at market rents. It should rent ~$28/SF — about $751K/yr gross.</t>
  </si>
  <si>
    <t>What's it worth? Comps support ~$2.66M (~$99/SF). You were asking $3.90M.  •  What does it rent for? ~$28/SF/yr — about $751K/yr gross on 26,836 SF.  •  What cap? ~11.4% implied from lease-vs-sale comps (market benchmark ~6.0–6.1%).  •  Why now? 1031 buyers are active, the Live Local Act unlocks density on commercial land, and rising insurance is nudging owners to test the market.</t>
  </si>
  <si>
    <t>2666 E Oakland Park Boulevard</t>
  </si>
  <si>
    <t>Hi, I saw 2666 E Oakland Park Boulevard came off the market — I cover Oakland Park Blvd. Commercial around here is trading near $208/SF and leasing around $26/SF. I think it can be positioned to actually sell — got two minutes?</t>
  </si>
  <si>
    <t>Comps put it around $3.12M (~$208/SF) — about a 5.3% cap at market rents. It should rent ~$26/SF — about $398K/yr gross.</t>
  </si>
  <si>
    <t>What's it worth? Comps support ~$3.12M (~$208/SF). You were asking $3.80M.  •  What does it rent for? ~$26/SF/yr — about $398K/yr gross on 15,000 SF.  •  What cap? ~5.3% implied from lease-vs-sale comps (market benchmark —).  •  Why now? 1031 buyers are active, the Live Local Act unlocks density on commercial land, and rising insurance is nudging owners to test the market.</t>
  </si>
  <si>
    <t>1040 E Oakland Park Blvd</t>
  </si>
  <si>
    <t>Hi, I saw 1040 E Oakland Park Blvd came off the market — I cover Dixie Hwy · Oakland Park Blvd. Retail around here is trading near $100/SF and leasing around $28/SF. I think it can be positioned to actually sell — got two minutes?</t>
  </si>
  <si>
    <t>Comps put it around $2.47M (~$100/SF) — about a 11.2% cap at market rents. It should rent ~$28/SF — about $692K/yr gross.</t>
  </si>
  <si>
    <t>What's it worth? Comps support ~$2.47M (~$100/SF). You were asking $3.65M.  •  What does it rent for? ~$28/SF/yr — about $692K/yr gross on 24,725 SF.  •  What cap? ~11.2%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</si>
  <si>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$3.12M (~$208/SF) — about a 5.7% cap at market rents. It should rent ~$26/SF — about $398K/yr gross.</t>
  </si>
  <si>
    <t>What's it worth? Comps support ~$3.12M (~$208/SF). You were asking $3.60M.  •  What does it rent for? ~$26/SF/yr — about $398K/yr gross on 15,000 SF.  •  What cap? ~5.7% implied from lease-vs-sale comps (market benchmark —).  •  Why now? 1031 buyers are active, the Live Local Act unlocks density on commercial land, and rising insurance is nudging owners to test the market.</t>
  </si>
  <si>
    <t>2905 NE 6th Avenue</t>
  </si>
  <si>
    <t>Hi, I saw 2905 NE 6th Avenue came off the market — I cover Dixie Hwy · Oakland Park Blvd. Commercial around here is trading near $139/SF and leasing around $26/SF. I think it can be positioned to actually sell — got two minutes?</t>
  </si>
  <si>
    <t>Comps put it around $4.18M (~$139/SF) — about a 11.3% cap at market rents. It should rent ~$26/SF — about $797K/yr gross.</t>
  </si>
  <si>
    <t>What's it worth? Comps support ~$4.18M (~$139/SF). You were asking $3.60M.  •  What does it rent for? ~$26/SF/yr — about $797K/yr gross on 30,093 SF.  •  What cap? ~11.3%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</si>
  <si>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2120 S Federal Hwy</t>
  </si>
  <si>
    <t>Hi, I saw 2120 S Federal Hwy came off the market — I cover SE 17th St · Federal Hwy. Retail around here is trading near $212/SF and leasing around $28/SF. I think it can be positioned to actually sell — got two minutes?</t>
  </si>
  <si>
    <t>Comps put it around $2.58M (~$212/SF) — about a 5.6% cap at market rents. It should rent ~$28/SF — about $340K/yr gross.</t>
  </si>
  <si>
    <t>What's it worth? Comps support ~$2.58M (~$212/SF). You were asking $3.60M.  •  What does it rent for? ~$28/SF/yr — about $340K/yr gross on 12,150 SF.  •  What cap? ~5.6%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</si>
  <si>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2455 E Sunrise Boulevard Unit#Penthouse</t>
  </si>
  <si>
    <t>Hi, I saw 2455 E Sunrise Boulevard Unit#Penthouse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</si>
  <si>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4.8% cap at market rents. It should rent ~$26/SF — about $329K/yr gross.</t>
  </si>
  <si>
    <t>What's it worth? Comps support ~$2.85M (~$230/SF). You were asking $3.52M.  •  What does it rent for? ~$26/SF/yr — about $329K/yr gross on 12,398 SF.  •  What cap? ~4.8% implied from lease-vs-sale comps (market benchmark —).  •  Why now? 1031 buyers are active, the Live Local Act unlocks density on commercial land, and rising insurance is nudging owners to test the market.</t>
  </si>
  <si>
    <t>991 E Oakland Park Blvd</t>
  </si>
  <si>
    <t>Area 3720</t>
  </si>
  <si>
    <t>Hi, I saw 991 E Oakland Park Blvd came off the market — I cover Oakland Park Blvd. Office around here is trading near $88/SF and leasing around $17/SF. I think it can be positioned to actually sell — got two minutes?</t>
  </si>
  <si>
    <t>Comps put it around $1.56M (~$88/SF) — about a 8.1% cap at market rents. It should rent ~$17/SF — about $302K/yr gross.</t>
  </si>
  <si>
    <t>What's it worth? Comps support ~$1.56M (~$88/SF). You were asking $3.50M.  •  What does it rent for? ~$17/SF/yr — about $302K/yr gross on 17,740 SF.  •  What cap? ~8.1% implied from lease-vs-sale comps (market benchmark ~6.75–8.0%).  •  Why now? 1031 buyers are active, the Live Local Act unlocks density on commercial land, and rising insurance is nudging owners to test the market.</t>
  </si>
  <si>
    <t>Comps put it around $2.58M (~$212/SF) — about a 5.7% cap at market rents. It should rent ~$28/SF — about $340K/yr gross.</t>
  </si>
  <si>
    <t>What's it worth? Comps support ~$2.58M (~$212/SF). You were asking $3.50M.  •  What does it rent for? ~$28/SF/yr — about $340K/yr gross on 12,150 SF.  •  What cap? ~5.7% implied from lease-vs-sale comps (market benchmark ~6.0–6.1%).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</si>
  <si>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Hi, I saw 1730 W Sunrise Boulevard came off the market — I cover Sunrise Blvd. Commercial around here is trading near $100/SF and leasing around $26/SF. I think it can be positioned to actually sell — got two minutes?</t>
  </si>
  <si>
    <t>Comps put it around $2.68M (~$100/SF) — about a 10.7% cap at market rents. It should rent ~$26/SF — about $711K/yr gross.</t>
  </si>
  <si>
    <t>What's it worth? Comps support ~$2.68M (~$100/SF). You were asking $3.40M.  •  What does it rent for? ~$26/SF/yr — about $711K/yr gross on 26,836 SF.  •  What cap? ~10.7%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</si>
  <si>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600 SW 4th Avenue</t>
  </si>
  <si>
    <t>Hi, I saw 600 SW 4th Avenue came off the market — I cover Andrews Ave. Commercial around here is trading near $208/SF and leasing around $26/SF. I think it can be positioned to actually sell — got two minutes?</t>
  </si>
  <si>
    <t>Comps put it around $2.57M (~$208/SF) — about a 4.9% cap at market rents. It should rent ~$26/SF — about $328K/yr gross.</t>
  </si>
  <si>
    <t>What's it worth? Comps support ~$2.57M (~$208/SF). You were asking $3.40M.  •  What does it rent for? ~$26/SF/yr — about $328K/yr gross on 12,363 SF.  •  What cap? ~4.9%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</si>
  <si>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201 SW 21st St</t>
  </si>
  <si>
    <t>Withdrawn</t>
  </si>
  <si>
    <t>Hi, I saw 201 SW 21st St came off the market — I cover Andrews Ave. Industrial around here is trading near $175/SF and leasing around $19/SF. I think it can be positioned to actually sell — got two minutes?</t>
  </si>
  <si>
    <t>Comps put it around $3.65M (~$175/SF) — about a 5.9% cap at market rents. It should rent ~$19/SF — about $404K/yr gross.</t>
  </si>
  <si>
    <t>What's it worth? Comps support ~$3.65M (~$175/SF). You were asking $3.40M.  •  What does it rent for? ~$19/SF/yr — about $404K/yr gross on 20,827 SF.  •  What cap? ~5.9% implied from lease-vs-sale comps (market benchmark ~6.0–6.3% (South FL)).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</si>
  <si>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746 NE 3rd Ave &amp; 8th Street</t>
  </si>
  <si>
    <t>Hi, I saw 746 NE 3rd Ave &amp; 8th Street came off the market — I cover Sunrise Blvd. Commercial around here is trading near $182/SF and leasing around $26/SF. I think it can be positioned to actually sell — got two minutes?</t>
  </si>
  <si>
    <t>Comps put it around $3.50M (~$182/SF) — about a 7.7% cap at market rents. It should rent ~$26/SF — about $510K/yr gross.</t>
  </si>
  <si>
    <t>What's it worth? Comps support ~$3.50M (~$182/SF). You were asking $3.37M.  •  What does it rent for? ~$26/SF/yr — about $510K/yr gross on 19,250 SF.  •  What cap? ~7.7% implied from lease-vs-sale comps (market benchmark —).  •  Why now? 1031 buyers are active, the Live Local Act unlocks density on commercial land, and rising insurance is nudging owners to test the market.</t>
  </si>
  <si>
    <t>2625 NE 13th Ct</t>
  </si>
  <si>
    <t>Hi, I saw 2625 NE 13th Ct came off the market — I cover Sunrise Blvd · Oakland Park Blvd. Multifamily around here is trading near $211/SF and leasing around $15/SF. I think it can be positioned to actually sell — got two minutes?</t>
  </si>
  <si>
    <t>Comps put it around $2.88M (~$211/SF) — about a 4.0% cap at market rents. It should rent ~$15/SF — about $210K/yr gross.</t>
  </si>
  <si>
    <t>What's it worth? Comps support ~$2.88M (~$211/SF). You were asking $3.35M.  •  What does it rent for? ~$15/SF/yr — about $210K/yr gross on 13,650 SF.  •  What cap? ~4.0%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</si>
  <si>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 SE 9th Avenue</t>
  </si>
  <si>
    <t>Hi, I saw 15 SE 9th Avenue came off the market — I cover Sunrise Blvd. Commercial around here is trading near $301/SF and leasing around $26/SF. I think it can be positioned to actually sell — got two minutes?</t>
  </si>
  <si>
    <t>Comps put it around $2.26M (~$301/SF) — about a 3.1% cap at market rents. It should rent ~$26/SF — about $199K/yr gross.</t>
  </si>
  <si>
    <t>What's it worth? Comps support ~$2.26M (~$301/SF). You were asking $3.25M.  •  What does it rent for? ~$26/SF/yr — about $199K/yr gross on 7,500 SF.  •  What cap? ~3.1% implied from lease-vs-sale comps (market benchmark —).  •  Why now? 1031 buyers are active, the Live Local Act unlocks density on commercial land, and rising insurance is nudging owners to test the market.</t>
  </si>
  <si>
    <t>1408, 1404 NE</t>
  </si>
  <si>
    <t>Hi, I saw 1408, 1404 NE came off the market — I cover Dixie Hwy · Oakland Park Blvd. Retail around here is trading near $86/SF and leasing around $28/SF. I think it can be positioned to actually sell — got two minutes?</t>
  </si>
  <si>
    <t>Comps put it around $2.82M (~$86/SF). It should rent ~$28/SF — about $917K/yr gross.</t>
  </si>
  <si>
    <t>What's it worth? Comps support ~$2.82M (~$86/SF). You were asking $3.20M.  •  What does it rent for? ~$28/SF/yr — about $917K/yr gross on 32,741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</si>
  <si>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729 SW 2nd Ct</t>
  </si>
  <si>
    <t>Hi, I saw 729 SW 2nd Ct came off the market — I cover Davie Blvd · Las Olas Blvd. Multifamily around here is trading near $185/SF and leasing around $15/SF. I think it can be positioned to actually sell — got two minutes?</t>
  </si>
  <si>
    <t>Comps put it around $2.13M (~$185/SF) — about a 3.8% cap at market rents. It should rent ~$15/SF — about $177K/yr gross.</t>
  </si>
  <si>
    <t>What's it worth? Comps support ~$2.13M (~$185/SF). You were asking $3.00M.  •  What does it rent for? ~$15/SF/yr — about $177K/yr gross on 11,500 SF.  •  What cap? ~3.8%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</si>
  <si>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1115 Tequesta Street</t>
  </si>
  <si>
    <t>Hi, I saw 1115 Tequesta Street came off the market — I cover Davie Blvd · Las Olas Blvd. Multifamily around here is trading near $147/SF and leasing around $15/SF. I think it can be positioned to actually sell — got two minutes?</t>
  </si>
  <si>
    <t>Comps put it around $2.57M (~$147/SF) — about a 5.7% cap at market rents. It should rent ~$15/SF — about $270K/yr gross.</t>
  </si>
  <si>
    <t>What's it worth? Comps support ~$2.57M (~$147/SF). You were asking $3.00M.  •  What does it rent for? ~$15/SF/yr — about $270K/yr gross on 17,500 SF.  •  What cap? ~5.7%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</si>
  <si>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828 NW 1st St</t>
  </si>
  <si>
    <t>Hi, I saw 828 NW 1st St came off the market — I cover Davie Blvd · Las Olas Blvd. Industrial around here is trading near $192/SF and leasing around $19/SF. I think it can be positioned to actually sell — got two minutes?</t>
  </si>
  <si>
    <t>Comps put it around $2.68M (~$192/SF) — about a 4.5% cap at market rents. It should rent ~$19/SF — about $271K/yr gross.</t>
  </si>
  <si>
    <t>What's it worth? Comps support ~$2.68M (~$192/SF). You were asking $2.98M.  •  What does it rent for? ~$19/SF/yr — about $271K/yr gross on 13,951 SF.  •  What cap? ~4.5%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</si>
  <si>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2826 E Oakland Park Blvd</t>
  </si>
  <si>
    <t>Hi, I saw 2826 E Oakland Park Blvd came off the market — I cover Oakland Park Blvd. Office around here is trading near $140/SF and leasing around $17/SF. I think it can be positioned to actually sell — got two minutes?</t>
  </si>
  <si>
    <t>Comps put it around $1.05M (~$140/SF) — about a 4.2% cap at market rents. It should rent ~$17/SF — about $128K/yr gross.</t>
  </si>
  <si>
    <t>What's it worth? Comps support ~$1.05M (~$140/SF). You were asking $2.85M.  •  What does it rent for? ~$17/SF/yr — about $128K/yr gross on 7,505 SF.  •  What cap? ~4.2% implied from lease-vs-sale comps (market benchmark ~6.75–8.0%).  •  Why now? 1031 buyers are active, the Live Local Act unlocks density on commercial land, and rising insurance is nudging owners to test the market.</t>
  </si>
  <si>
    <t>Comps put it around $2.88M (~$211/SF) — about a 4.7% cap at market rents. It should rent ~$15/SF — about $210K/yr gross.</t>
  </si>
  <si>
    <t>What's it worth? Comps support ~$2.88M (~$211/SF). You were asking $2.85M.  •  What does it rent for? ~$15/SF/yr — about $210K/yr gross on 13,650 SF.  •  What cap? ~4.7%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</si>
  <si>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533 NE 13th Street</t>
  </si>
  <si>
    <t>Hi, I saw 533 NE 13th Street came off the market — I cover Wilton Dr · Federal Hwy. Commercial around here is trading near $266/SF and leasing around $26/SF. I think it can be positioned to actually sell — got two minutes?</t>
  </si>
  <si>
    <t>Comps put it around $3.85M (~$266/SF) — about a 6.9% cap at market rents. It should rent ~$26/SF — about $384K/yr gross.</t>
  </si>
  <si>
    <t>What's it worth? Comps support ~$3.85M (~$266/SF). You were asking $2.85M.  •  What does it rent for? ~$26/SF/yr — about $384K/yr gross on 14,491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</si>
  <si>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Area 30</t>
  </si>
  <si>
    <t>Hi, I saw 2826 E Oakland Park Blvd came off the market — I cover Oakland Park Blvd. Office around here is trading near $139/SF and leasing around $17/SF. I think it can be positioned to actually sell — got two minutes?</t>
  </si>
  <si>
    <t>Comps put it around $1.04M (~$139/SF) — about a 4.3% cap at market rents. It should rent ~$17/SF — about $128K/yr gross.</t>
  </si>
  <si>
    <t>What's it worth? Comps support ~$1.04M (~$139/SF). You were asking $2.80M.  •  What does it rent for? ~$17/SF/yr — about $128K/yr gross on 7,505 SF.  •  What cap? ~4.3% implied from lease-vs-sale comps (market benchmark ~6.75–8.0%).  •  Why now? 1031 buyers are active, the Live Local Act unlocks density on commercial land, and rising insurance is nudging owners to test the market.</t>
  </si>
  <si>
    <t>92 Hendricks Isle</t>
  </si>
  <si>
    <t>Hi, I saw 92 Hendricks Isle came off the market — I cover Sunrise Blvd · Las Olas Blvd. Multifamily around here is trading near $320/SF and leasing around $15/SF. I think it can be positioned to actually sell — got two minutes?</t>
  </si>
  <si>
    <t>Comps put it around $2.00M (~$320/SF). It should rent ~$15/SF — about $96K/yr gross.</t>
  </si>
  <si>
    <t>What's it worth? Comps support ~$2.00M (~$320/SF). You were asking $2.75M.  •  What does it rent for? ~$15/SF/yr — about $96K/yr gross on 6,250 SF.  •  Why now? 1031 buyers are active, the Live Local Act unlocks density on commercial land, and rising insurance is nudging owners to test the market.</t>
  </si>
  <si>
    <t>2010 Wilton Dr</t>
  </si>
  <si>
    <t>Hi, I saw 2010 Wilton Dr came off the market — I cover Wilton Dr · Federal Hwy. Restaurant/bar around here is trading near $272/SF and leasing around $23/SF. I think it can be positioned to actually sell — got two minutes?</t>
  </si>
  <si>
    <t>Comps put it around $2.17M (~$272/SF) — about a 6.9% cap at market rents. It should rent ~$23/SF — about $180K/yr gross.</t>
  </si>
  <si>
    <t>What's it worth? Comps support ~$2.17M (~$272/SF). You were asking $2.75M.  •  What does it rent for? ~$23/SF/yr — about $180K/yr gross on 7,960 SF.  •  What cap? ~6.9%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</si>
  <si>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114 NW 25th Street</t>
  </si>
  <si>
    <t>Hi, I saw 114 NW 25th Street came off the market — I cover Oakland Park Blvd · SE 17th St. Multifamily around here is trading near $119/SF and leasing around $15/SF. I think it can be positioned to actually sell — got two minutes?</t>
  </si>
  <si>
    <t>Comps put it around $4.78M (~$119/SF) — about a 14.3% cap at market rents. It should rent ~$15/SF — about $619K/yr gross.</t>
  </si>
  <si>
    <t>What's it worth? Comps support ~$4.78M (~$119/SF). You were asking $2.75M.  •  What does it rent for? ~$15/SF/yr — about $619K/yr gross on 40,196 SF.  •  What cap? ~14.3%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</si>
  <si>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15 NW 9th Ave</t>
  </si>
  <si>
    <t>Hi, I saw 15 NW 9th Ave came off the market — I cover Davie Blvd · Las Olas Blvd. Industrial around here is trading near $277/SF and leasing around $19/SF. I think it can be positioned to actually sell — got two minutes?</t>
  </si>
  <si>
    <t>Comps put it around $1.94M (~$277/SF). It should rent ~$19/SF — about $136K/yr gross.</t>
  </si>
  <si>
    <t>What's it worth? Comps support ~$1.94M (~$277/SF). You were asking $2.75M.  •  What does it rent for? ~$19/SF/yr — about $136K/yr gross on 7,000 SF.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</si>
  <si>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724-730 3rd Avenue</t>
  </si>
  <si>
    <t>Hi, I saw 724-730 3rd Avenue came off the market — I cover Sunrise Blvd. Multifamily around here is trading near $197/SF and leasing around $15/SF. I think it can be positioned to actually sell — got two minutes?</t>
  </si>
  <si>
    <t>Comps put it around $3.08M (~$197/SF) — about a 5.6% cap at market rents. It should rent ~$15/SF — about $241K/yr gross.</t>
  </si>
  <si>
    <t>What's it worth? Comps support ~$3.08M (~$197/SF). You were asking $2.73M.  •  What does it rent for? ~$15/SF/yr — about $241K/yr gross on 15,625 SF.  •  What cap? ~5.6%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</si>
  <si>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1122 W Broward Boulevard</t>
  </si>
  <si>
    <t>Hi, I saw 1122 W Broward Boulevard came off the market — I cover Davie Blvd · Las Olas Blvd. Retail around here is trading near $152/SF and leasing around $28/SF. I think it can be positioned to actually sell — got two minutes?</t>
  </si>
  <si>
    <t>Comps put it around $1.20M (~$152/SF) — about a 4.9% cap at market rents. It should rent ~$28/SF — about $220K/yr gross.</t>
  </si>
  <si>
    <t>What's it worth? Comps support ~$1.20M (~$152/SF). You were asking $2.65M.  •  What does it rent for? ~$28/SF/yr — about $220K/yr gross on 7,875 SF.  •  What cap? ~4.9% implied from lease-vs-sale comps (market benchmark ~6.0–6.1%).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</si>
  <si>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2502 NE 6th Avenue</t>
  </si>
  <si>
    <t>Hi, I saw 2502 NE 6th Avenue came off the market — I cover Dixie Hwy · Oakland Park Blvd. Commercial around here is trading near $322/SF and leasing around $26/SF. I think it can be positioned to actually sell — got two minutes?</t>
  </si>
  <si>
    <t>Comps put it around $2.01M (~$322/SF) — about a 3.2% cap at market rents. It should rent ~$26/SF — about $166K/yr gross.</t>
  </si>
  <si>
    <t>What's it worth? Comps support ~$2.01M (~$322/SF). You were asking $2.65M.  •  What does it rent for? ~$26/SF/yr — about $166K/yr gross on 6,256 SF.  •  What cap? ~3.2%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</si>
  <si>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3047 N Federal Highway</t>
  </si>
  <si>
    <t>Hi, I saw 3047 N Federal Highway came off the market — I cover Wilton Dr · Federal Hwy. Commercial around here is trading near $601/SF and leasing around $26/SF. I think it can be positioned to actually sell — got two minutes?</t>
  </si>
  <si>
    <t>Comps put it around $1.88M (~$601/SF). It should rent ~$26/SF — about $83K/yr gross.</t>
  </si>
  <si>
    <t>What's it worth? Comps support ~$1.88M (~$601/SF). You were asking $2.50M.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</si>
  <si>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1650 NE 26th Street</t>
  </si>
  <si>
    <t>Hi, I saw 1650 NE 26th Street came off the market — I cover Sunrise Blvd · Las Olas Blvd. Commercial around here is trading near $208/SF and leasing around $26/SF. I think it can be positioned to actually sell — got two minutes?</t>
  </si>
  <si>
    <t>Comps put it around $3.12M (~$208/SF) — about a 8.1% cap at market rents. It should rent ~$26/SF — about $398K/yr gross.</t>
  </si>
  <si>
    <t>What's it worth? Comps support ~$3.12M (~$208/SF). You were asking $2.50M.  •  What does it rent for? ~$26/SF/yr — about $398K/yr gross on 15,003 SF.  •  What cap? ~8.1% implied from lease-vs-sale comps (market benchmark —).  •  Why now? 1031 buyers are active, the Live Local Act unlocks density on commercial land, and rising insurance is nudging owners to test the market.</t>
  </si>
  <si>
    <t>2500 Wilton Dr</t>
  </si>
  <si>
    <t>Hi, I saw 2500 Wilton Dr came off the market — I cover Dixie Hwy · Oakland Park Blvd. Special-purpose around here is trading near $340/SF and leasing around $7/SF. I think it can be positioned to actually sell — got two minutes?</t>
  </si>
  <si>
    <t>Comps put it around $1.93M (~$340/SF). It should rent ~$7/SF — about $41K/yr gross.</t>
  </si>
  <si>
    <t>What's it worth? Comps support ~$1.93M (~$340/SF). You were asking $2.50M.  •  What does it rent for? ~$7/SF/yr — about $41K/yr gross on 5,664 SF.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</si>
  <si>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835 NE 3rd Ave</t>
  </si>
  <si>
    <t>Hi, I saw 835 NE 3rd Ave came off the market — I cover Andrews Ave. Restaurant/bar around here is trading near $243/SF and leasing around $23/SF. I think it can be positioned to actually sell — got two minutes?</t>
  </si>
  <si>
    <t>Comps put it around $1.55M (~$243/SF) — about a 6.1% cap at market rents. It should rent ~$23/SF — about $144K/yr gross.</t>
  </si>
  <si>
    <t>What's it worth? Comps support ~$1.55M (~$243/SF). You were asking $2.50M.  •  What does it rent for? ~$23/SF/yr — about $144K/yr gross on 6,375 SF.  •  What cap? ~6.1% implied from lease-vs-sale comps (market benchmark —).  •  Why now? 1031 buyers are active, the Live Local Act unlocks density on commercial land, and rising insurance is nudging owners to test the market.</t>
  </si>
  <si>
    <t>415 SE 12th Street</t>
  </si>
  <si>
    <t>Area 3150</t>
  </si>
  <si>
    <t>Hi, I saw 415 SE 12th Street came off the market — I cover the area. Commercial around here is trading near $235/SF and leasing around $26/SF. I think it can be positioned to actually sell — got two minutes?</t>
  </si>
  <si>
    <t>Comps put it around $2.81M (~$235/SF) — about a 6.5% cap at market rents. It should rent ~$26/SF — about $317K/yr gross.</t>
  </si>
  <si>
    <t>What's it worth? Comps support ~$2.81M (~$235/SF). You were asking $2.50M.  •  What does it rent for? ~$26/SF/yr — about $317K/yr gross on 11,950 SF.  •  What cap? ~6.5% implied from lease-vs-sale comps (market benchmark —).  •  Why now? 1031 buyers are active, the Live Local Act unlocks density on commercial land, and rising insurance is nudging owners to test the market.</t>
  </si>
  <si>
    <t>2617 NE 13th Court</t>
  </si>
  <si>
    <t>Hi, I saw 2617 NE 13th Court came off the market — I cover Sunrise Blvd · Oakland Park Blvd. Commercial around here is trading near $252/SF and leasing around $26/SF. I think it can be positioned to actually sell — got two minutes?</t>
  </si>
  <si>
    <t>Comps put it around $2.62M (~$252/SF) — about a 5.7% cap at market rents. It should rent ~$26/SF — about $276K/yr gross.</t>
  </si>
  <si>
    <t>What's it worth? Comps support ~$2.62M (~$252/SF). You were asking $2.48M.  •  What does it rent for? ~$26/SF/yr — about $276K/yr gross on 10,400 SF.  •  What cap? ~5.7% implied from lease-vs-sale comps (market benchmark —).  •  Why now? 1031 buyers are active, the Live Local Act unlocks density on commercial land, and rising insurance is nudging owners to test the market.</t>
  </si>
  <si>
    <t>735 NW 7th Terrace</t>
  </si>
  <si>
    <t>Hi, I saw 735 NW 7th Terrace came off the market — I cover Sunrise Blvd. Industrial around here is trading near $186/SF and leasing around $19/SF. I think it can be positioned to actually sell — got two minutes?</t>
  </si>
  <si>
    <t>Comps put it around $1.88M (~$186/SF) — about a 4.1% cap at market rents. It should rent ~$19/SF — about $196K/yr gross.</t>
  </si>
  <si>
    <t>What's it worth? Comps support ~$1.88M (~$186/SF). You were asking $2.40M.  •  What does it rent for? ~$19/SF/yr — about $196K/yr gross on 10,125 SF.  •  What cap? ~4.1%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</si>
  <si>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1700 NE 5 Street</t>
  </si>
  <si>
    <t>Hi, I saw 1700 NE 5 Street came off the market — I cover Sunrise Blvd. Commercial around here is trading near $223/SF and leasing around $26/SF. I think it can be positioned to actually sell — got two minutes?</t>
  </si>
  <si>
    <t>Comps put it around $2.92M (~$223/SF) — about a 7.7% cap at market rents. It should rent ~$26/SF — about $347K/yr gross.</t>
  </si>
  <si>
    <t>What's it worth? Comps support ~$2.92M (~$223/SF). You were asking $2.29M.  •  What does it rent for? ~$26/SF/yr — about $347K/yr gross on 13,107 SF.  •  What cap? ~7.7% implied from lease-vs-sale comps (market benchmark —).  •  Why now? 1031 buyers are active, the Live Local Act unlocks density on commercial land, and rising insurance is nudging owners to test the market.</t>
  </si>
  <si>
    <t>844 NW 10th Ter</t>
  </si>
  <si>
    <t>Hi, I saw 844 NW 10th Ter came off the market — I cover Sunrise Blvd. Mixed-use around here is trading near $91/SF and leasing around $20/SF. I think it can be positioned to actually sell — got two minutes?</t>
  </si>
  <si>
    <t>Comps put it around $1.54M (~$91/SF) — about a 7.1% cap at market rents. It should rent ~$20/SF — about $341K/yr gross.</t>
  </si>
  <si>
    <t>What's it worth? Comps support ~$1.54M (~$91/SF). You were asking $2.23M.  •  What does it rent for? ~$20/SF/yr — about $341K/yr gross on 16,875 SF.  •  What cap? ~7.1%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</si>
  <si>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$1.54M (~$91/SF) — about a 7.2% cap at market rents. It should rent ~$20/SF — about $341K/yr gross.</t>
  </si>
  <si>
    <t>What's it worth? Comps support ~$1.54M (~$91/SF). You were asking $2.20M.  •  What does it rent for? ~$20/SF/yr — about $341K/yr gross on 16,875 SF.  •  What cap? ~7.2%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</si>
  <si>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1210 NE 8th Avenue</t>
  </si>
  <si>
    <t>Hi, I saw 1210 NE 8th Avenue came off the market — I cover Broward Blvd · Sunrise Blvd. Mixed-use around here is trading near $235/SF and leasing around $20/SF. I think it can be positioned to actually sell — got two minutes?</t>
  </si>
  <si>
    <t>Comps put it around $1.50M (~$235/SF). It should rent ~$20/SF — about $129K/yr gross.</t>
  </si>
  <si>
    <t>What's it worth? Comps support ~$1.50M (~$235/SF). You were asking $2.20M.  •  What does it rent for? ~$20/SF/yr — about $129K/yr gross on 6,378 SF.  •  Why now? 1031 buyers are active, the Live Local Act unlocks density on commercial land, and rising insurance is nudging owners to test the market.</t>
  </si>
  <si>
    <t>1210 NE 8th Ave</t>
  </si>
  <si>
    <t>Hi, I saw 1210 NE 8th Ave came off the market — I cover Broward Blvd · Sunrise Blvd. Flex around here is trading near $328/SF. I think it can be positioned to actually sell — got two minutes?</t>
  </si>
  <si>
    <t>Comps put it around $2.09M (~$328/SF) — about a 4.3% cap at market rents.</t>
  </si>
  <si>
    <t>What's it worth? Comps support ~$2.09M (~$328/SF). You were asking $2.20M.  •  What cap? ~4.3% implied from lease-vs-sale comps (market benchmark —).  •  Why now? 1031 buyers are active, the Live Local Act unlocks density on commercial land, and rising insurance is nudging owners to test the market.</t>
  </si>
  <si>
    <t>325 NW 25 Street</t>
  </si>
  <si>
    <t>Hi, I saw 325 NW 25 Street came off the market — I cover Oakland Park Blvd · SE 17th St. Multifamily around here is trading near $215/SF and leasing around $15/SF. I think it can be positioned to actually sell — got two minutes?</t>
  </si>
  <si>
    <t>Comps put it around $2.84M (~$215/SF) — about a 5.9% cap at market rents. It should rent ~$15/SF — about $204K/yr gross.</t>
  </si>
  <si>
    <t>What's it worth? Comps support ~$2.84M (~$215/SF). You were asking $2.18M.  •  What does it rent for? ~$15/SF/yr — about $204K/yr gross on 13,220 SF.  •  What cap? ~5.9%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</si>
  <si>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709 SW 4th Ct Unit#1-7</t>
  </si>
  <si>
    <t>Hi, I saw 709 SW 4th Ct Unit#1-7 came off the market — I cover Davie Blvd · Las Olas Blvd. Multifamily around here is trading near $166/SF and leasing around $15/SF. I think it can be positioned to actually sell — got two minutes?</t>
  </si>
  <si>
    <t>Comps put it around $2.32M (~$166/SF) — about a 6.5% cap at market rents. It should rent ~$15/SF — about $216K/yr gross.</t>
  </si>
  <si>
    <t>What's it worth? Comps support ~$2.32M (~$166/SF). You were asking $2.10M.  •  What does it rent for? ~$15/SF/yr — about $216K/yr gross on 14,000 SF.  •  What cap? ~6.5%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</si>
  <si>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842 NW 1st Avenue Unit#1-8</t>
  </si>
  <si>
    <t>Hi, I saw 842 NW 1st Avenue Unit#1-8 came off the market — I cover Broward Blvd. Multifamily around here is trading near $327/SF and leasing around $15/SF. I think it can be positioned to actually sell — got two minutes?</t>
  </si>
  <si>
    <t>Comps put it around $3.31M (~$327/SF) — about a 4.8% cap at market rents. It should rent ~$15/SF — about $156K/yr gross.</t>
  </si>
  <si>
    <t>What's it worth? Comps support ~$3.31M (~$327/SF). You were asking $2.08M.  •  What does it rent for? ~$15/SF/yr — about $156K/yr gross on 10,126 SF.  •  What cap? ~4.8%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</si>
  <si>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1900 E Oakland Park Boulevard</t>
  </si>
  <si>
    <t>Hi, I saw 1900 E Oakland Park Boulevard came off the market — I cover Dixie Hwy · Oakland Park Blvd. Retail around here is trading near $123/SF and leasing around $28/SF. I think it can be positioned to actually sell — got two minutes?</t>
  </si>
  <si>
    <t>Comps put it around $2.06M (~$123/SF) — about a 13.5% cap at market rents. It should rent ~$28/SF — about $468K/yr gross.</t>
  </si>
  <si>
    <t>What's it worth? Comps support ~$2.06M (~$123/SF). You were asking $2.05M.  •  What does it rent for? ~$28/SF/yr — about $468K/yr gross on 16,728 SF.  •  What cap? ~13.5% implied from lease-vs-sale comps (market benchmark ~6.0–6.1%).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</si>
  <si>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842 NW 1st Ave</t>
  </si>
  <si>
    <t>Hi, I saw 842 NW 1st Ave came off the market — I cover Broward Blvd. Multifamily around here is trading near $327/SF and leasing around $15/SF. I think it can be positioned to actually sell — got two minutes?</t>
  </si>
  <si>
    <t>Comps put it around $3.31M (~$327/SF) — about a 4.9% cap at market rents. It should rent ~$15/SF — about $156K/yr gross.</t>
  </si>
  <si>
    <t>What's it worth? Comps support ~$3.31M (~$327/SF). You were asking $2.05M.  •  What does it rent for? ~$15/SF/yr — about $156K/yr gross on 10,126 SF.  •  What cap? ~4.9%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</si>
  <si>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511 SE 5th Ave Unit#11</t>
  </si>
  <si>
    <t>Hi, I saw 511 SE 5th Ave Unit#11 came off the market — I cover Andrews Ave · SE 17th St. Office around here is trading near $162/SF and leasing around $17/SF. I think it can be positioned to actually sell — got two minutes?</t>
  </si>
  <si>
    <t>Comps put it around $735K (~$162/SF) — about a 3.5% cap at market rents. It should rent ~$17/SF — about $77K/yr gross.</t>
  </si>
  <si>
    <t>What's it worth? Comps support ~$735K (~$162/SF). You were asking $2.04M.  •  What does it rent for? ~$17/SF/yr — about $77K/yr gross on 4,540 SF.  •  What cap? ~3.5%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</si>
  <si>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821 NE 18th Ct Unit#1-5</t>
  </si>
  <si>
    <t>Hi, I saw 821 NE 18th Ct Unit#1-5 came off the market — I cover Dixie Hwy · Oakland Park Blvd. Multifamily around here is trading near $263/SF and leasing around $15/SF. I think it can be positioned to actually sell — got two minutes?</t>
  </si>
  <si>
    <t>Comps put it around $2.25M (~$263/SF) — about a 4.2% cap at market rents. It should rent ~$15/SF — about $132K/yr gross.</t>
  </si>
  <si>
    <t>What's it worth? Comps support ~$2.25M (~$263/SF). You were asking $2.00M.  •  What does it rent for? ~$15/SF/yr — about $132K/yr gross on 8,540 SF.  •  What cap? ~4.2%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</si>
  <si>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2010 NW 6th St</t>
  </si>
  <si>
    <t>Area 3040</t>
  </si>
  <si>
    <t>Hi, I saw 2010 NW 6th St came off the market — I cover Federal Hwy. Restaurant/bar around here is trading near $270/SF and leasing around $23/SF. I think it can be positioned to actually sell — got two minutes?</t>
  </si>
  <si>
    <t>Comps put it around $1.40M (~$270/SF) — about a 6.2% cap at market rents. It should rent ~$23/SF — about $118K/yr gross.</t>
  </si>
  <si>
    <t>What's it worth? Comps support ~$1.40M (~$270/SF). You were asking $2.00M.  •  What does it rent for? ~$23/SF/yr — about $118K/yr gross on 5,200 SF.  •  What cap? ~6.2% implied from lease-vs-sale comps (market benchmark —).  •  Why now? 1031 buyers are active, the Live Local Act unlocks density on commercial land, and rising insurance is nudging owners to test the market.</t>
  </si>
  <si>
    <t>2700 E Oakland Park Boulevard</t>
  </si>
  <si>
    <t>Hi, I saw 2700 E Oakland Park Boulevard came off the market — I cover Sunrise Blvd · Oakland Park Blvd. Retail around here is trading near $135/SF and leasing around $28/SF. I think it can be positioned to actually sell — got two minutes?</t>
  </si>
  <si>
    <t>Comps put it around $2.02M (~$135/SF) — about a 12.4% cap at market rents. It should rent ~$28/SF — about $420K/yr gross.</t>
  </si>
  <si>
    <t>What's it worth? Comps support ~$2.02M (~$135/SF). You were asking $1.99M.  •  What does it rent for? ~$28/SF/yr — about $420K/yr gross on 15,000 SF.  •  What cap? ~12.4% implied from lease-vs-sale comps (market benchmark ~6.0–6.1%).  •  Why now? 1031 buyers are active, the Live Local Act unlocks density on commercial land, and rising insurance is nudging owners to test the market.</t>
  </si>
  <si>
    <t>1091 NE 4th Avenue</t>
  </si>
  <si>
    <t>Hi, I saw 1091 NE 4th Avenue came off the market — I cover Oakland Park Blvd · SE 17th St. Commercial around here is trading near $188/SF and leasing around $26/SF. I think it can be positioned to actually sell — got two minutes?</t>
  </si>
  <si>
    <t>Comps put it around $3.40M (~$188/SF) — about a 12.3% cap at market rents. It should rent ~$26/SF — about $480K/yr gross.</t>
  </si>
  <si>
    <t>What's it worth? Comps support ~$3.40M (~$188/SF). You were asking $1.99M.  •  What does it rent for? ~$26/SF/yr — about $480K/yr gross on 18,100 SF.  •  What cap? ~12.3% implied from lease-vs-sale comps (market benchmark —).  •  Why now? 1031 buyers are active, the Live Local Act unlocks density on commercial land, and rising insurance is nudging owners to test the market.</t>
  </si>
  <si>
    <t>200-204 NW 17th Court Unit#1-8</t>
  </si>
  <si>
    <t>Hi, I saw 200-204 NW 17th Court Unit#1-8 came off the market — I cover Oakland Park Blvd · SE 17th St. Multifamily around here is trading near $272/SF and leasing around $15/SF. I think it can be positioned to actually sell — got two minutes?</t>
  </si>
  <si>
    <t>Comps put it around $2.32M (~$272/SF) — about a 4.3% cap at market rents. It should rent ~$15/SF — about $131K/yr gross.</t>
  </si>
  <si>
    <t>What's it worth? Comps support ~$2.32M (~$272/SF). You were asking $1.95M.  •  What does it rent for? ~$15/SF/yr — about $131K/yr gross on 8,518 SF.  •  What cap? ~4.3%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</si>
  <si>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700 NW 7th Avenue</t>
  </si>
  <si>
    <t>Hi, I saw 700 NW 7th Avenue came off the market — I cover the area. Industrial around here is trading near $217/SF and leasing around $19/SF. I think it can be positioned to actually sell — got two minutes?</t>
  </si>
  <si>
    <t>Comps put it around $3.66M (~$217/SF) — about a 8.4% cap at market rents. It should rent ~$19/SF — about $327K/yr gross.</t>
  </si>
  <si>
    <t>What's it worth? Comps support ~$3.66M (~$217/SF). You were asking $1.95M.  •  What does it rent for? ~$19/SF/yr — about $327K/yr gross on 16,875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</si>
  <si>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320 Davie Blvd</t>
  </si>
  <si>
    <t>Hi, I saw 320 Davie Blvd came off the market — I cover Wilton Dr · Federal Hwy. Office around here is trading near $154/SF and leasing around $17/SF. I think it can be positioned to actually sell — got two minutes?</t>
  </si>
  <si>
    <t>Comps put it around $1.49M (~$154/SF) — about a 7.9% cap at market rents. It should rent ~$17/SF — about $164K/yr gross.</t>
  </si>
  <si>
    <t>What's it worth? Comps support ~$1.49M (~$154/SF). You were asking $1.95M.  •  What does it rent for? ~$17/SF/yr — about $164K/yr gross on 9,652 SF.  •  What cap? ~7.9% implied from lease-vs-sale comps (market benchmark ~6.75–8.0%).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</si>
  <si>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901 NE 30th Ct</t>
  </si>
  <si>
    <t>Area 3331</t>
  </si>
  <si>
    <t>Hi, I saw 901 NE 30th Ct came off the market — I cover the area. Industrial around here is trading near $220/SF and leasing around $19/SF. I think it can be positioned to actually sell — got two minutes?</t>
  </si>
  <si>
    <t>Comps put it around $3.63M (~$220/SF) — about a 8.4% cap at market rents. It should rent ~$19/SF — about $320K/yr gross.</t>
  </si>
  <si>
    <t>What's it worth? Comps support ~$3.63M (~$220/SF). You were asking $1.90M.  •  What does it rent for? ~$19/SF/yr — about $320K/yr gross on 16,500 SF.  •  What cap? ~8.4% implied from lease-vs-sale comps (market benchmark ~6.0–6.3% (South FL)).  •  Why now? 1031 buyers are active, the Live Local Act unlocks density on commercial land, and rising insurance is nudging owners to test the market.</t>
  </si>
  <si>
    <t>What's it worth? Comps support ~$1.88M (~$601/SF). You were asking $1.90M.  •  What does it rent for? ~$26/SF/yr — about $83K/yr gross on 3,130 SF.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</si>
  <si>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1415 SW 1 ST Unit#1-8</t>
  </si>
  <si>
    <t>Hi, I saw 1415 SW 1 ST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</si>
  <si>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7.1% cap at market rents. It should rent ~$15/SF — about $213K/yr gross.</t>
  </si>
  <si>
    <t>What's it worth? Comps support ~$2.32M (~$168/SF). You were asking $1.90M.  •  What does it rent for? ~$15/SF/yr — about $213K/yr gross on 13,802 SF.  •  What cap? ~7.1%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</si>
  <si>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2500 Wilton Drive</t>
  </si>
  <si>
    <t>Hi, I saw 2500 Wilton Drive came off the market — I cover Dixie Hwy · Oakland Park Blvd. Commercial around here is trading near $340/SF and leasing around $26/SF. I think it can be positioned to actually sell — got two minutes?</t>
  </si>
  <si>
    <t>Comps put it around $1.93M (~$340/SF) — about a 4.1% cap at market rents. It should rent ~$26/SF — about $150K/yr gross.</t>
  </si>
  <si>
    <t>What's it worth? Comps support ~$1.93M (~$340/SF). You were asking $1.89M.  •  What does it rent for? ~$26/SF/yr — about $150K/yr gross on 5,664 SF.  •  What cap? ~4.1%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</si>
  <si>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530-536 &amp; 548 &amp; 548 32nd Street</t>
  </si>
  <si>
    <t>Hi, I saw 530-536 &amp; 548 &amp; 548 32nd Street came off the market — I cover Oakland Park Blvd. Commercial around here is trading near $194/SF and leasing around $26/SF. I think it can be positioned to actually sell — got two minutes?</t>
  </si>
  <si>
    <t>Comps put it around $3.32M (~$194/SF) — about a 12.3% cap at market rents. It should rent ~$26/SF — about $453K/yr gross.</t>
  </si>
  <si>
    <t>What's it worth? Comps support ~$3.32M (~$194/SF). You were asking $1.89M.  •  What does it rent for? ~$26/SF/yr — about $453K/yr gross on 17,111 SF.  •  What cap? ~12.3% implied from lease-vs-sale comps (market benchmark —).  •  Why now? 1031 buyers are active, the Live Local Act unlocks density on commercial land, and rising insurance is nudging owners to test the market.</t>
  </si>
  <si>
    <t>100 SE 21st Street Unit#1-8</t>
  </si>
  <si>
    <t>Hi, I saw 100 SE 21st Street Unit#1-8 came off the market — I cover Andrews Ave · SE 17th St. Commercial around here is trading near $189/SF and leasing around $26/SF. I think it can be positioned to actually sell — got two minutes?</t>
  </si>
  <si>
    <t>Comps put it around $2.70M (~$189/SF) — about a 10.5% cap at market rents. It should rent ~$26/SF — about $379K/yr gross.</t>
  </si>
  <si>
    <t>What's it worth? Comps support ~$2.70M (~$189/SF). You were asking $1.85M.  •  What does it rent for? ~$26/SF/yr — about $379K/yr gross on 14,299 SF.  •  What cap? ~10.5%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</si>
  <si>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2300 NW 6th St</t>
  </si>
  <si>
    <t>Area 3120</t>
  </si>
  <si>
    <t>Hi, I saw 2300 NW 6th St came off the market — I cover the area. Multifamily around here is trading near $213/SF and leasing around $15/SF. I think it can be positioned to actually sell — got two minutes?</t>
  </si>
  <si>
    <t>Comps put it around $2.85M (~$213/SF) — about a 7.3% cap at market rents. It should rent ~$15/SF — about $206K/yr gross.</t>
  </si>
  <si>
    <t>What's it worth? Comps support ~$2.85M (~$213/SF). You were asking $1.80M.  •  What does it rent for? ~$15/SF/yr — about $206K/yr gross on 13,402 SF.  •  What cap? ~7.3%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</si>
  <si>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1620 NE 12th Terrace</t>
  </si>
  <si>
    <t>Hi, I saw 1620 NE 12th Terrace came off the market — I cover Oakland Park Blvd. Industrial around here is trading near $263/SF and leasing around $19/SF. I think it can be positioned to actually sell — got two minutes?</t>
  </si>
  <si>
    <t>Comps put it around $3.09M (~$263/SF) — about a 6.3% cap at market rents. It should rent ~$19/SF — about $228K/yr gross.</t>
  </si>
  <si>
    <t>What's it worth? Comps support ~$3.09M (~$263/SF). You were asking $1.80M.  •  What does it rent for? ~$19/SF/yr — about $228K/yr gross on 11,736 SF.  •  What cap? ~6.3% implied from lease-vs-sale comps (market benchmark ~6.0–6.3% (South FL)).  •  Why now? 1031 buyers are active, the Live Local Act unlocks density on commercial land, and rising insurance is nudging owners to test the market.</t>
  </si>
  <si>
    <t>1100 NE 18th Court</t>
  </si>
  <si>
    <t>Hi, I saw 1100 NE 18th Court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</si>
  <si>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5.0% cap at market rents. It should rent ~$15/SF — about $141K/yr gross.</t>
  </si>
  <si>
    <t>What's it worth? Comps support ~$2.32M (~$253/SF). You were asking $1.80M.  •  What does it rent for? ~$15/SF/yr — about $141K/yr gross on 9,167 SF.  •  What cap? ~5.0%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</si>
  <si>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505 SE 20th St Unit#1-5</t>
  </si>
  <si>
    <t>Hi, I saw 505 SE 20th St Unit#1-5 came off the market — I cover SE 17th St · Federal Hwy. Multifamily around here is trading near $421/SF and leasing around $15/SF. I think it can be positioned to actually sell — got two minutes?</t>
  </si>
  <si>
    <t>Comps put it around $2.94M (~$421/SF) — about a 3.8% cap at market rents. It should rent ~$15/SF — about $107K/yr gross.</t>
  </si>
  <si>
    <t>What's it worth? Comps support ~$2.94M (~$421/SF). You were asking $1.80M.  •  What does it rent for? ~$15/SF/yr — about $107K/yr gross on 6,977 SF.  •  What cap? ~3.8%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</si>
  <si>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1124 NE 5th Avenue</t>
  </si>
  <si>
    <t>Hi, I saw 1124 NE 5th Avenue came off the market — I cover Dixie Hwy · Oakland Park Blvd. Multifamily around here is trading near $166/SF and leasing around $15/SF. I think it can be positioned to actually sell — got two minutes?</t>
  </si>
  <si>
    <t>Comps put it around $3.36M (~$166/SF) — about a 11.4% cap at market rents. It should rent ~$15/SF — about $312K/yr gross.</t>
  </si>
  <si>
    <t>What's it worth? Comps support ~$3.36M (~$166/SF). You were asking $1.75M.  •  What does it rent for? ~$15/SF/yr — about $312K/yr gross on 20,256 SF.  •  What cap? ~11.4%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</si>
  <si>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Comps put it around $735K (~$162/SF) — about a 4.2% cap at market rents. It should rent ~$17/SF — about $77K/yr gross.</t>
  </si>
  <si>
    <t>What's it worth? Comps support ~$735K (~$162/SF). You were asking $1.74M.  •  What does it rent for? ~$17/SF/yr — about $77K/yr gross on 4,540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</si>
  <si>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2133 N Dixie Highway</t>
  </si>
  <si>
    <t>Hi, I saw 2133 N Dixie Highway came off the market — I cover Dixie Hwy · Oakland Park Blvd. Commercial around here is trading near $291/SF and leasing around $26/SF. I think it can be positioned to actually sell — got two minutes?</t>
  </si>
  <si>
    <t>Comps put it around $2.18M (~$291/SF) — about a 6.0% cap at market rents. It should rent ~$26/SF — about $199K/yr gross.</t>
  </si>
  <si>
    <t>What's it worth? Comps support ~$2.18M (~$291/SF). You were asking $1.70M.  •  What does it rent for? ~$26/SF/yr — about $199K/yr gross on 7,497 SF.  •  What cap? ~6.0%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</si>
  <si>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1130 NE 6th Avenue</t>
  </si>
  <si>
    <t>Hi, I saw 1130 NE 6th Avenue came off the market — I cover Dixie Hwy · Oakland Park Blvd. Commercial around here is trading near $220/SF and leasing around $26/SF. I think it can be positioned to actually sell — got two minutes?</t>
  </si>
  <si>
    <t>Comps put it around $2.81M (~$220/SF) — about a 10.2% cap at market rents. It should rent ~$26/SF — about $338K/yr gross.</t>
  </si>
  <si>
    <t>What's it worth? Comps support ~$2.81M (~$220/SF). You were asking $1.70M.  •  What does it rent for? ~$26/SF/yr — about $338K/yr gross on 12,769 SF.  •  What cap? ~10.2%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</si>
  <si>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Hi, I saw 511 SE 5th Ave Unit#11 came off the market — I cover Andrews Ave · SE 17th St. Office around here is trading near $166/SF and leasing around $17/SF. I think it can be positioned to actually sell — got two minutes?</t>
  </si>
  <si>
    <t>Comps put it around $720K (~$166/SF) — about a 4.1% cap at market rents. It should rent ~$17/SF — about $74K/yr gross.</t>
  </si>
  <si>
    <t>What's it worth? Comps support ~$720K (~$166/SF). You were asking $1.70M.  •  What does it rent for? ~$17/SF/yr — about $74K/yr gross on 4,340 SF.  •  What cap? ~4.1%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</si>
  <si>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1415 SW 1st Street Unit#1-8</t>
  </si>
  <si>
    <t>Hi, I saw 1415 SW 1st Street Unit#1-8 came off the market — I cover Davie Blvd · Las Olas Blvd. Multifamily around here is trading near $168/SF and leasing around $15/SF. I think it can be positioned to actually sell — got two minutes?</t>
  </si>
  <si>
    <t>Comps put it around $2.32M (~$168/SF) — about a 8.0% cap at market rents. It should rent ~$15/SF — about $213K/yr gross.</t>
  </si>
  <si>
    <t>What's it worth? Comps support ~$2.32M (~$168/SF). You were asking $1.70M.  •  What does it rent for? ~$15/SF/yr — about $213K/yr gross on 13,802 SF.  •  What cap? ~8.0%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</si>
  <si>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2455 E Sunrise Boulevard Unit#Retail Portfolio Sale</t>
  </si>
  <si>
    <t>Hi, I saw 2455 E Sunrise Boulevard Unit#Retail Portfolio Sale came off the market — I cover Sunrise Blvd · Oakland Park Blvd. Commercial around here is trading near $230/SF and leasing around $26/SF. I think it can be positioned to actually sell — got two minutes?</t>
  </si>
  <si>
    <t>Comps put it around $2.85M (~$230/SF) — about a 10.5% cap at market rents. It should rent ~$26/SF — about $329K/yr gross.</t>
  </si>
  <si>
    <t>What's it worth? Comps support ~$2.85M (~$230/SF). You were asking $1.60M.  •  What does it rent for? ~$26/SF/yr — about $329K/yr gross on 12,398 SF.  •  What cap? ~10.5% implied from lease-vs-sale comps (market benchmark —).  •  Why now? 1031 buyers are active, the Live Local Act unlocks density on commercial land, and rising insurance is nudging owners to test the market.</t>
  </si>
  <si>
    <t>834 NW 10th Ter</t>
  </si>
  <si>
    <t>Hi, I saw 834 NW 10th Ter came off the market — I cover Sunrise Blvd. Industrial around here is trading near $142/SF and leasing around $19/SF. I think it can be positioned to actually sell — got two minutes?</t>
  </si>
  <si>
    <t>Comps put it around $2.40M (~$142/SF) — about a 10.2% cap at market rents. It should rent ~$19/SF — about $327K/yr gross.</t>
  </si>
  <si>
    <t>What's it worth? Comps support ~$2.40M (~$142/SF). You were asking $1.60M.  •  What does it rent for? ~$19/SF/yr — about $327K/yr gross on 16,875 SF.  •  What cap? ~10.2%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</si>
  <si>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Comps put it around $2.32M (~$166/SF) — about a 8.6% cap at market rents. It should rent ~$15/SF — about $216K/yr gross.</t>
  </si>
  <si>
    <t>What's it worth? Comps support ~$2.32M (~$166/SF). You were asking $1.60M.  •  What does it rent for? ~$15/SF/yr — about $216K/yr gross on 14,000 SF.  •  What cap? ~8.6%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</si>
  <si>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618 NE 14th Avenue</t>
  </si>
  <si>
    <t>Hi, I saw 618 NE 14th Avenue came off the market — I cover Sunrise Blvd. Multifamily around here is trading near $255/SF and leasing around $15/SF. I think it can be positioned to actually sell — got two minutes?</t>
  </si>
  <si>
    <t>Comps put it around $2.44M (~$255/SF) — about a 6.3% cap at market rents. It should rent ~$15/SF — about $147K/yr gross.</t>
  </si>
  <si>
    <t>What's it worth? Comps support ~$2.44M (~$255/SF). You were asking $1.50M.  •  What does it rent for? ~$15/SF/yr — about $147K/yr gross on 9,563 SF.  •  What cap? ~6.3%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</si>
  <si>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1100 NE 18th Court Unit#1-8</t>
  </si>
  <si>
    <t>Hi, I saw 1100 NE 18th Court Unit#1-8 came off the market — I cover Dixie Hwy · Oakland Park Blvd. Multifamily around here is trading near $253/SF and leasing around $15/SF. I think it can be positioned to actually sell — got two minutes?</t>
  </si>
  <si>
    <t>Comps put it around $2.32M (~$253/SF) — about a 6.0% cap at market rents. It should rent ~$15/SF — about $141K/yr gross.</t>
  </si>
  <si>
    <t>What's it worth? Comps support ~$2.32M (~$253/SF). You were asking $1.50M.  •  What does it rent for? ~$15/SF/yr — about $141K/yr gross on 9,167 SF.  •  What cap? ~6.0%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</si>
  <si>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824 NE 4th St Unit#1-6</t>
  </si>
  <si>
    <t>Hi, I saw 824 NE 4th St Unit#1-6 came off the market — I cover Andrews Ave. Multifamily around here is trading near $315/SF and leasing around $15/SF. I think it can be positioned to actually sell — got two minutes?</t>
  </si>
  <si>
    <t>Comps put it around $2.03M (~$315/SF) — about a 4.2% cap at market rents. It should rent ~$15/SF — about $99K/yr gross.</t>
  </si>
  <si>
    <t>What's it worth? Comps support ~$2.03M (~$315/SF). You were asking $1.50M.  •  What does it rent for? ~$15/SF/yr — about $99K/yr gross on 6,440 SF.  •  What cap? ~4.2%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</si>
  <si>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505 SE 20th St Unit#1-6</t>
  </si>
  <si>
    <t>Hi, I saw 505 SE 20th St Unit#1-6 came off the market — I cover SE 17th St · Federal Hwy. Multifamily around here is trading near $421/SF and leasing around $15/SF. I think it can be positioned to actually sell — got two minutes?</t>
  </si>
  <si>
    <t>Comps put it around $2.94M (~$421/SF) — about a 4.6% cap at market rents. It should rent ~$15/SF — about $107K/yr gross.</t>
  </si>
  <si>
    <t>What's it worth? Comps support ~$2.94M (~$421/SF). You were asking $1.49M.  •  What does it rent for? ~$15/SF/yr — about $107K/yr gross on 6,977 SF.  •  What cap? ~4.6% implied from lease-vs-sale comps (market benchmark 4.7–5.4% (A ~4.74% · B ~4.92% · C ~5.38%); ~5.6% blended, Yardi ~6.3%).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</si>
  <si>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426 NW 14th Ave Unit#1-8</t>
  </si>
  <si>
    <t>Hi, I saw 426 NW 14th Ave Unit#1-8 came off the market — I cover Sunrise Blvd. Multifamily around here is trading near $149/SF and leasing around $15/SF. I think it can be positioned to actually sell — got two minutes?</t>
  </si>
  <si>
    <t>Comps put it around $1.77M (~$149/SF) — about a 8.2% cap at market rents. It should rent ~$15/SF — about $183K/yr gross.</t>
  </si>
  <si>
    <t>What's it worth? Comps support ~$1.77M (~$149/SF). You were asking $1.43M.  •  What does it rent for? ~$15/SF/yr — about $183K/yr gross on 11,865 SF.  •  What cap? ~8.2%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</si>
  <si>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1100 NE 18th Ct Unit#1-8</t>
  </si>
  <si>
    <t>Area 3420</t>
  </si>
  <si>
    <t>Hi, I saw 1100 NE 18th Ct Unit#1-8 came off the market — I cover the area. Multifamily around here is trading near $262/SF and leasing around $15/SF. I think it can be positioned to actually sell — got two minutes?</t>
  </si>
  <si>
    <t>Comps put it around $2.40M (~$262/SF) — about a 6.4% cap at market rents. It should rent ~$15/SF — about $141K/yr gross.</t>
  </si>
  <si>
    <t>What's it worth? Comps support ~$2.40M (~$262/SF). You were asking $1.40M.  •  What does it rent for? ~$15/SF/yr — about $141K/yr gross on 9,167 SF.  •  What cap? ~6.4%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</si>
  <si>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Comps put it around $2.40M (~$142/SF) — about a 11.7% cap at market rents. It should rent ~$19/SF — about $327K/yr gross.</t>
  </si>
  <si>
    <t>What's it worth? Comps support ~$2.40M (~$142/SF). You were asking $1.40M.  •  What does it rent for? ~$19/SF/yr — about $327K/yr gross on 16,875 SF.  •  What cap? ~11.7%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</si>
  <si>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921 NE 3rd Avenue</t>
  </si>
  <si>
    <t>Hi, I saw 921 NE 3rd Avenue came off the market — I cover Andrews Ave. Mixed-use around here is trading near $330/SF and leasing around $20/SF. I think it can be positioned to actually sell — got two minutes?</t>
  </si>
  <si>
    <t>Comps put it around $1.11M (~$330/SF). It should rent ~$20/SF — about $68K/yr gross.</t>
  </si>
  <si>
    <t>What's it worth? Comps support ~$1.11M (~$330/SF). You were asking $1.40M.  •  What does it rent for? ~$20/SF/yr — about $68K/yr gross on 3,375 SF.  •  Why now? 1031 buyers are active, the Live Local Act unlocks density on commercial land, and rising insurance is nudging owners to test the market.</t>
  </si>
  <si>
    <t>105 S Avenue Of The Arts</t>
  </si>
  <si>
    <t>Hi, I saw 105 S Avenue Of The Arts came off the market — I cover Sunrise Blvd. Commercial around here is trading near $217/SF and leasing around $26/SF. I think it can be positioned to actually sell — got two minutes?</t>
  </si>
  <si>
    <t>Comps put it around $1.35M (~$217/SF) — about a 6.0% cap at market rents. It should rent ~$26/SF — about $165K/yr gross.</t>
  </si>
  <si>
    <t>What's it worth? Comps support ~$1.35M (~$217/SF). You were asking $1.40M.  •  What does it rent for? ~$26/SF/yr — about $165K/yr gross on 6,225 SF.  •  What cap? ~6.0% implied from lease-vs-sale comps (market benchmark —).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</si>
  <si>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301 SW 7th Street</t>
  </si>
  <si>
    <t>Hi, I saw 301 SW 7th Street came off the market — I cover Andrews Ave. Commercial around here is trading near $276/SF and leasing around $26/SF. I think it can be positioned to actually sell — got two minutes?</t>
  </si>
  <si>
    <t>Comps put it around $2.00M (~$276/SF) — about a 7.0% cap at market rents. It should rent ~$26/SF — about $192K/yr gross.</t>
  </si>
  <si>
    <t>What's it worth? Comps support ~$2.00M (~$276/SF). You were asking $1.40M.  •  What does it rent for? ~$26/SF/yr — about $192K/yr gross on 7,250 SF.  •  What cap? ~7.0%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</si>
  <si>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1124 NE 5th Avenue Unit#1-6</t>
  </si>
  <si>
    <t>Hi, I saw 1124 NE 5th Avenue Unit#1-6 came off the market — I cover Dixie Hwy · Oakland Park Blvd. Multifamily around here is trading near $206/SF and leasing around $15/SF. I think it can be positioned to actually sell — got two minutes?</t>
  </si>
  <si>
    <t>Comps put it around $2.78M (~$206/SF) — about a 9.8% cap at market rents. It should rent ~$15/SF — about $208K/yr gross.</t>
  </si>
  <si>
    <t>What's it worth? Comps support ~$2.78M (~$206/SF). You were asking $1.35M.  •  What does it rent for? ~$15/SF/yr — about $208K/yr gross on 13,504 SF.  •  What cap? ~9.8%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</si>
  <si>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1317 SE 4th Ave</t>
  </si>
  <si>
    <t>Hi, I saw 1317 SE 4th Ave came off the market — I cover Andrews Ave · SE 17th St. Office around here is trading near $103/SF and leasing around $17/SF. I think it can be positioned to actually sell — got two minutes?</t>
  </si>
  <si>
    <t>Comps put it around $1.08M (~$103/SF) — about a 12.4% cap at market rents. It should rent ~$17/SF — about $178K/yr gross.</t>
  </si>
  <si>
    <t>What's it worth? Comps support ~$1.08M (~$103/SF). You were asking $1.35M.  •  What does it rent for? ~$17/SF/yr — about $178K/yr gross on 10,500 SF.  •  What cap? ~12.4%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</si>
  <si>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1106 NE 5th Ave Unit#1-5</t>
  </si>
  <si>
    <t>Hi, I saw 1106 NE 5th Ave Unit#1-5 came off the market — I cover Dixie Hwy · Oakland Park Blvd. Multifamily around here is trading near $240/SF and leasing around $15/SF. I think it can be positioned to actually sell — got two minutes?</t>
  </si>
  <si>
    <t>Comps put it around $2.43M (~$240/SF) — about a 7.4% cap at market rents. It should rent ~$15/SF — about $156K/yr gross.</t>
  </si>
  <si>
    <t>What's it worth? Comps support ~$2.43M (~$240/SF). You were asking $1.35M.  •  What does it rent for? ~$15/SF/yr — about $156K/yr gross on 10,127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</si>
  <si>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526 NW 15th Way</t>
  </si>
  <si>
    <t>Hi, I saw 526 NW 15th Way came off the market — I cover Sunrise Blvd. Multifamily around here is trading near $153/SF and leasing around $15/SF. I think it can be positioned to actually sell — got two minutes?</t>
  </si>
  <si>
    <t>Comps put it around $1.73M (~$153/SF) — about a 8.5% cap at market rents. It should rent ~$15/SF — about $174K/yr gross.</t>
  </si>
  <si>
    <t>What's it worth? Comps support ~$1.73M (~$153/SF). You were asking $1.30M.  •  What does it rent for? ~$15/SF/yr — about $174K/yr gross on 11,300 SF.  •  What cap? ~8.5%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</si>
  <si>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2001 W State Road 84 Unit#232/234</t>
  </si>
  <si>
    <t>Hi, I saw 2001 W State Road 84 Unit#232/234 came off the market — I cover SR-84. Industrial around here is trading near $265/SF and leasing around $19/SF. I think it can be positioned to actually sell — got two minutes?</t>
  </si>
  <si>
    <t>Comps put it around $3.13M (~$265/SF) — about a 8.8% cap at market rents. It should rent ~$19/SF — about $229K/yr gross.</t>
  </si>
  <si>
    <t>What's it worth? Comps support ~$3.13M (~$265/SF). You were asking $1.30M.  •  What does it rent for? ~$19/SF/yr — about $229K/yr gross on 11,800 SF.  •  What cap? ~8.8% implied from lease-vs-sale comps (market benchmark ~6.0–6.3% (South FL)).  •  Why now? 1031 buyers are active, the Live Local Act unlocks density on commercial land, and rising insurance is nudging owners to test the market.</t>
  </si>
  <si>
    <t>808 NW 19 Street</t>
  </si>
  <si>
    <t>Hi, I saw 808 NW 19 Street came off the market — I cover Dixie Hwy · Oakland Park Blvd. Multifamily around here is trading near $249/SF and leasing around $15/SF. I think it can be positioned to actually sell — got two minutes?</t>
  </si>
  <si>
    <t>Comps put it around $2.36M (~$249/SF) — about a 7.1% cap at market rents. It should rent ~$15/SF — about $146K/yr gross.</t>
  </si>
  <si>
    <t>What's it worth? Comps support ~$2.36M (~$249/SF). You were asking $1.30M.  •  What does it rent for? ~$15/SF/yr — about $146K/yr gross on 9,466 SF.  •  What cap? ~7.1%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</si>
  <si>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301 SW 14th Way</t>
  </si>
  <si>
    <t>Hi, I saw 301 SW 14th Way came off the market — I cover Davie Blvd · Las Olas Blvd. Multifamily around here is trading near $215/SF and leasing around $15/SF. I think it can be positioned to actually sell — got two minutes?</t>
  </si>
  <si>
    <t>Comps put it around $1.86M (~$215/SF) — about a 6.6% cap at market rents. It should rent ~$15/SF — about $133K/yr gross.</t>
  </si>
  <si>
    <t>What's it worth? Comps support ~$1.86M (~$215/SF). You were asking $1.28M.  •  What does it rent for? ~$15/SF/yr — about $133K/yr gross on 8,652 SF.  •  What cap? ~6.6%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</si>
  <si>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 S Andrews Ave Unit#602</t>
  </si>
  <si>
    <t>Hi, I saw 200 S Andrews Ave Unit#602 came off the market — I cover Andrews Ave · SE 17th St. Office around here is trading near $192/SF and leasing around $17/SF. I think it can be positioned to actually sell — got two minutes?</t>
  </si>
  <si>
    <t>Comps put it around $634K (~$192/SF) — about a 4.2% cap at market rents. It should rent ~$17/SF — about $56K/yr gross.</t>
  </si>
  <si>
    <t>What's it worth? Comps support ~$634K (~$192/SF). You were asking $1.25M.  •  What does it rent for? ~$17/SF/yr — about $56K/yr gross on 3,300 SF.  •  What cap? ~4.2%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</si>
  <si>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1230 SE 4th Avenue</t>
  </si>
  <si>
    <t>Hi, I saw 1230 SE 4th Avenue came off the market — I cover Andrews Ave · SE 17th St. Mixed-use around here is trading near $192/SF and leasing around $20/SF. I think it can be positioned to actually sell — got two minutes?</t>
  </si>
  <si>
    <t>Comps put it around $1.42M (~$192/SF) — about a 5.5% cap at market rents. It should rent ~$20/SF — about $149K/yr gross.</t>
  </si>
  <si>
    <t>What's it worth? Comps support ~$1.42M (~$192/SF). You were asking $1.25M.  •  What does it rent for? ~$20/SF/yr — about $149K/yr gross on 7,393 SF.  •  What cap? ~5.5%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</si>
  <si>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2600 N Andrews Ave</t>
  </si>
  <si>
    <t>Hi, I saw 2600 N Andrews Ave came off the market — I cover Dixie Hwy · Oakland Park Blvd. Office around here is trading near $124/SF and leasing around $17/SF. I think it can be positioned to actually sell — got two minutes?</t>
  </si>
  <si>
    <t>Comps put it around $1.09M (~$124/SF) — about a 11.7% cap at market rents. It should rent ~$17/SF — about $150K/yr gross.</t>
  </si>
  <si>
    <t>What's it worth? Comps support ~$1.09M (~$124/SF). You were asking $1.20M.  •  What does it rent for? ~$17/SF/yr — about $150K/yr gross on 8,798 SF.  •  What cap? ~11.7% implied from lease-vs-sale comps (market benchmark ~6.75–8.0%).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</si>
  <si>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Hi, I saw 2600 N Andrews Ave came off the market — I cover Dixie Hwy · Oakland Park Blvd. Mixed-use around here is trading near $192/SF and leasing around $20/SF. I think it can be positioned to actually sell — got two minutes?</t>
  </si>
  <si>
    <t>Comps put it around $1.69M (~$192/SF) — about a 6.9% cap at market rents. It should rent ~$20/SF — about $178K/yr gross.</t>
  </si>
  <si>
    <t>What's it worth? Comps support ~$1.69M (~$192/SF). You were asking $1.20M.  •  What does it rent for? ~$20/SF/yr — about $178K/yr gross on 8,798 SF.  •  What cap? ~6.9%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</si>
  <si>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600 W Oakland Park Blvd</t>
  </si>
  <si>
    <t>Hi, I saw 600 W Oakland Park Blvd came off the market — I cover Oakland Park Blvd · SE 17th St. Retail around here is trading near $166/SF and leasing around $28/SF. I think it can be positioned to actually sell — got two minutes?</t>
  </si>
  <si>
    <t>Comps put it around $1.70M (~$166/SF) — about a 14.1% cap at market rents. It should rent ~$28/SF — about $286K/yr gross.</t>
  </si>
  <si>
    <t>What's it worth? Comps support ~$1.70M (~$166/SF). You were asking $1.20M.  •  What does it rent for? ~$28/SF/yr — about $286K/yr gross on 10,213 SF.  •  What cap? ~14.1% implied from lease-vs-sale comps (market benchmark ~6.0–6.1%).  •  Why now? 1031 buyers are active, the Live Local Act unlocks density on commercial land, and rising insurance is nudging owners to test the market.</t>
  </si>
  <si>
    <t>2001 NW 21st Avenue</t>
  </si>
  <si>
    <t>Hi, I saw 2001 NW 21st Avenue came off the market — I cover Broward Blvd · Sunrise Blvd. Commercial around here is trading near $285/SF and leasing around $26/SF. I think it can be positioned to actually sell — got two minutes?</t>
  </si>
  <si>
    <t>Comps put it around $2.38M (~$285/SF) — about a 9.4% cap at market rents. It should rent ~$26/SF — about $221K/yr gross.</t>
  </si>
  <si>
    <t>What's it worth? Comps support ~$2.38M (~$285/SF). You were asking $1.20M.  •  What does it rent for? ~$26/SF/yr — about $221K/yr gross on 8,333 SF.  •  What cap? ~9.4% implied from lease-vs-sale comps (market benchmark —).  •  Why now? 1031 buyers are active, the Live Local Act unlocks density on commercial land, and rising insurance is nudging owners to test the market.</t>
  </si>
  <si>
    <t>2001 W State Road 84 #418</t>
  </si>
  <si>
    <t>Hi, I saw 2001 W State Road 84 #418 came off the market — I cover SR-84. Industrial around here is trading near $265/SF and leasing around $19/SF. I think it can be positioned to actually sell — got two minutes?</t>
  </si>
  <si>
    <t>Comps put it around $3.13M (~$265/SF) — about a 9.5% cap at market rents. It should rent ~$19/SF — about $229K/yr gross.</t>
  </si>
  <si>
    <t>What's it worth? Comps support ~$3.13M (~$265/SF). You were asking $1.20M.  •  What does it rent for? ~$19/SF/yr — about $229K/yr gross on 11,800 SF.  •  What cap? ~9.5% implied from lease-vs-sale comps (market benchmark ~6.0–6.3% (South FL)).  •  Why now? 1031 buyers are active, the Live Local Act unlocks density on commercial land, and rising insurance is nudging owners to test the market.</t>
  </si>
  <si>
    <t>412 SE 23rd St</t>
  </si>
  <si>
    <t>Hi, I saw 412 SE 23rd St came off the market — I cover SE 17th St · Federal Hwy. Office around here is trading near $206/SF and leasing around $17/SF. I think it can be positioned to actually sell — got two minutes?</t>
  </si>
  <si>
    <t>Comps put it around $1.39M (~$206/SF) — about a 9.0% cap at market rents. It should rent ~$17/SF — about $115K/yr gross.</t>
  </si>
  <si>
    <t>What's it worth? Comps support ~$1.39M (~$206/SF). You were asking $1.20M.  •  What does it rent for? ~$17/SF/yr — about $115K/yr gross on 6,749 SF.  •  What cap? ~9.0% implied from lease-vs-sale comps (market benchmark ~6.75–8.0%).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</si>
  <si>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2801 SW 3rd Avenue</t>
  </si>
  <si>
    <t>Hi, I saw 2801 SW 3rd Avenue came off the market — I cover the area. Commercial around here is trading near $570/SF and leasing around $26/SF. I think it can be positioned to actually sell — got two minutes?</t>
  </si>
  <si>
    <t>Comps put it around $1.29M (~$570/SF). It should rent ~$26/SF — about $60K/yr gross.</t>
  </si>
  <si>
    <t>What's it worth? Comps support ~$1.29M (~$570/SF). You were asking $1.18M.  •  What does it rent for? ~$26/SF/yr — about $60K/yr gross on 2,268 SF.  •  Why now? 1031 buyers are active, the Live Local Act unlocks density on commercial land, and rising insurance is nudging owners to test the market.</t>
  </si>
  <si>
    <t>848 NW 2nd Ave</t>
  </si>
  <si>
    <t>Hi, I saw 848 NW 2nd Ave came off the market — I cover Sunrise Blvd. Multifamily around here is trading near $201/SF and leasing around $15/SF. I think it can be positioned to actually sell — got two minutes?</t>
  </si>
  <si>
    <t>Comps put it around $1.36M (~$201/SF) — about a 5.6% cap at market rents. It should rent ~$15/SF — about $104K/yr gross.</t>
  </si>
  <si>
    <t>What's it worth? Comps support ~$1.36M (~$201/SF). You were asking $1.18M.  •  What does it rent for? ~$15/SF/yr — about $104K/yr gross on 6,750 SF.  •  What cap? ~5.6%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</si>
  <si>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Boulevard Unit#CU-1A</t>
  </si>
  <si>
    <t>Hi, I saw 2455 E Sunrise Boulevard Unit#CU-1A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</si>
  <si>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10.3% cap at market rents. It should rent ~$26/SF — about $222K/yr gross.</t>
  </si>
  <si>
    <t>What's it worth? Comps support ~$2.37M (~$283/SF). You were asking $1.10M.  •  What does it rent for? ~$26/SF/yr — about $222K/yr gross on 8,381 SF.  •  What cap? ~10.3% implied from lease-vs-sale comps (market benchmark —).  •  Why now? 1031 buyers are active, the Live Local Act unlocks density on commercial land, and rising insurance is nudging owners to test the market.</t>
  </si>
  <si>
    <t>Comps put it around $1.36M (~$201/SF) — about a 6.0% cap at market rents. It should rent ~$15/SF — about $104K/yr gross.</t>
  </si>
  <si>
    <t>What's it worth? Comps support ~$1.36M (~$201/SF). You were asking $1.09M.  •  What does it rent for? ~$15/SF/yr — about $104K/yr gross on 6,750 SF.  •  What cap? ~6.0%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</si>
  <si>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1227 South Andrews Ave</t>
  </si>
  <si>
    <t>Hi, I saw 1227 South Andrews Ave came off the market — I cover Andrews Ave. Mixed-use around here is trading near $214/SF and leasing around $20/SF. I think it can be positioned to actually sell — got two minutes?</t>
  </si>
  <si>
    <t>Comps put it around $1.34M (~$214/SF) — about a 5.4% cap at market rents. It should rent ~$20/SF — about $126K/yr gross.</t>
  </si>
  <si>
    <t>What's it worth? Comps support ~$1.34M (~$214/SF). You were asking $1.09M.  •  What does it rent for? ~$20/SF/yr — about $126K/yr gross on 6,250 SF.  •  What cap? ~5.4%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</si>
  <si>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2455 E Sunrise Boulevard Unit#1108</t>
  </si>
  <si>
    <t>Hi, I saw 2455 E Sunrise Boulevard Unit#1108 came off the market — I cover Sunrise Blvd · Oakland Park Blvd. Commercial around here is trading near $464/SF and leasing around $26/SF. I think it can be positioned to actually sell — got two minutes?</t>
  </si>
  <si>
    <t>Comps put it around $1.54M (~$464/SF) — about a 4.2% cap at market rents. It should rent ~$26/SF — about $88K/yr gross.</t>
  </si>
  <si>
    <t>What's it worth? Comps support ~$1.54M (~$464/SF). You were asking $1.08M.  •  What does it rent for? ~$26/SF/yr — about $88K/yr gross on 3,321 SF.  •  What cap? ~4.2% implied from lease-vs-sale comps (market benchmark —).  •  Why now? 1031 buyers are active, the Live Local Act unlocks density on commercial land, and rising insurance is nudging owners to test the market.</t>
  </si>
  <si>
    <t>1026 NW 9th Ave</t>
  </si>
  <si>
    <t>Area 3424</t>
  </si>
  <si>
    <t>Hi, I saw 1026 NW 9th Ave came off the market — I cover the area. Retail around here is trading near $206/SF and leasing around $28/SF. I think it can be positioned to actually sell — got two minutes?</t>
  </si>
  <si>
    <t>Comps put it around $1.39M (~$206/SF) — about a 10.6% cap at market rents. It should rent ~$28/SF — about $189K/yr gross.</t>
  </si>
  <si>
    <t>What's it worth? Comps support ~$1.39M (~$206/SF). You were asking $1.05M.  •  What does it rent for? ~$28/SF/yr — about $189K/yr gross on 6,751 SF.  •  What cap? ~10.6% implied from lease-vs-sale comps (market benchmark ~6.0–6.1%).  •  Why now? 1031 buyers are active, the Live Local Act unlocks density on commercial land, and rising insurance is nudging owners to test the market.</t>
  </si>
  <si>
    <t>412 SE 13th Street</t>
  </si>
  <si>
    <t>Hi, I saw 412 SE 13th Street came off the market — I cover Andrews Ave · SE 17th St. Commercial around here is trading near $646/SF and leasing around $26/SF. I think it can be positioned to actually sell — got two minutes?</t>
  </si>
  <si>
    <t>Comps put it around $912K (~$646/SF). It should rent ~$26/SF — about $37K/yr gross.</t>
  </si>
  <si>
    <t>What's it worth? Comps support ~$912K (~$646/SF). You were asking $1.05M.  •  What does it rent for? ~$26/SF/yr — about $37K/yr gross on 1,412 SF.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</si>
  <si>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$1.36M (~$201/SF) — about a 6.4% cap at market rents. It should rent ~$15/SF — about $104K/yr gross.</t>
  </si>
  <si>
    <t>What's it worth? Comps support ~$1.36M (~$201/SF). You were asking $1.04M.  •  What does it rent for? ~$15/SF/yr — about $104K/yr gross on 6,750 SF.  •  What cap? ~6.4% implied from lease-vs-sale comps (market benchmark 4.7–5.4% (A ~4.74% · B ~4.92% · C ~5.38%); ~5.6% blended, Yardi ~6.3%).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</si>
  <si>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200 S Andrews Ave Unit#503</t>
  </si>
  <si>
    <t>Hi, I saw 200 S Andrews Ave Unit#503 came off the market — I cover Andrews Ave · SE 17th St. Office around here is trading near $227/SF and leasing around $17/SF. I think it can be positioned to actually sell — got two minutes?</t>
  </si>
  <si>
    <t>Comps put it around $545K (~$227/SF) — about a 3.7% cap at market rents. It should rent ~$17/SF — about $41K/yr gross.</t>
  </si>
  <si>
    <t>What's it worth? Comps support ~$545K (~$227/SF). You were asking $1.02M.  •  What does it rent for? ~$17/SF/yr — about $41K/yr gross on 2,400 SF.  •  What cap? ~3.7%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</si>
  <si>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Comps put it around $545K (~$227/SF) — about a 3.8% cap at market rents. It should rent ~$17/SF — about $41K/yr gross.</t>
  </si>
  <si>
    <t>What's it worth? Comps support ~$545K (~$227/SF). You were asking $1.00M.  •  What does it rent for? ~$17/SF/yr — about $41K/yr gross on 2,400 SF.  •  What cap? ~3.8%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</si>
  <si>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624 SW 24th Street</t>
  </si>
  <si>
    <t>Hi, I saw 624 SW 24th Street came off the market — I cover Federal Hwy · SR-84. Commercial around here is trading near $329/SF and leasing around $26/SF. I think it can be positioned to actually sell — got two minutes?</t>
  </si>
  <si>
    <t>Comps put it around $2.08M (~$329/SF) — about a 8.7% cap at market rents. It should rent ~$26/SF — about $168K/yr gross.</t>
  </si>
  <si>
    <t>What's it worth? Comps support ~$2.08M (~$329/SF). You were asking $990K.  •  What does it rent for? ~$26/SF/yr — about $168K/yr gross on 6,325 SF.  •  What cap? ~8.7% implied from lease-vs-sale comps (market benchmark —).  •  Why now? 1031 buyers are active, the Live Local Act unlocks density on commercial land, and rising insurance is nudging owners to test the market.</t>
  </si>
  <si>
    <t>719 NW 7th Ter</t>
  </si>
  <si>
    <t>Area 3112</t>
  </si>
  <si>
    <t>Hi, I saw 719 NW 7th Ter came off the market — I cover the area. Industrial around here is trading near $354/SF and leasing around $19/SF. I think it can be positioned to actually sell — got two minutes?</t>
  </si>
  <si>
    <t>Comps put it around $2.39M (~$354/SF) — about a 6.6% cap at market rents. It should rent ~$19/SF — about $131K/yr gross.</t>
  </si>
  <si>
    <t>What's it worth? Comps support ~$2.39M (~$354/SF). You were asking $985K.  •  What does it rent for? ~$19/SF/yr — about $131K/yr gross on 6,750 SF.  •  What cap? ~6.6% implied from lease-vs-sale comps (market benchmark ~6.0–6.3% (South FL)).  •  Why now? 1031 buyers are active, the Live Local Act unlocks density on commercial land, and rising insurance is nudging owners to test the market.</t>
  </si>
  <si>
    <t>419 NE 2nd Avenue</t>
  </si>
  <si>
    <t>Hi, I saw 419 NE 2nd Avenue came off the market — I cover Andrews Ave. Multifamily around here is trading near $285/SF and leasing around $15/SF. I think it can be positioned to actually sell — got two minutes?</t>
  </si>
  <si>
    <t>Comps put it around $1.82M (~$285/SF) — about a 6.6% cap at market rents. It should rent ~$15/SF — about $98K/yr gross.</t>
  </si>
  <si>
    <t>What's it worth? Comps support ~$1.82M (~$285/SF). You were asking $954K.  •  What does it rent for? ~$15/SF/yr — about $98K/yr gross on 6,375 SF.  •  What cap? ~6.6%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</si>
  <si>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311 SW 14th Way</t>
  </si>
  <si>
    <t>Hi, I saw 311 SW 14th Way came off the market — I cover Davie Blvd · Las Olas Blvd. Multifamily around here is trading near $240/SF and leasing around $15/SF. I think it can be positioned to actually sell — got two minutes?</t>
  </si>
  <si>
    <t>Comps put it around $1.70M (~$240/SF) — about a 7.3% cap at market rents. It should rent ~$15/SF — about $109K/yr gross.</t>
  </si>
  <si>
    <t>What's it worth? Comps support ~$1.70M (~$240/SF). You were asking $950K.  •  What does it rent for? ~$15/SF/yr — about $109K/yr gross on 7,070 SF.  •  What cap? ~7.3%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</si>
  <si>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2001-2007 NW 21st Ave</t>
  </si>
  <si>
    <t>Hi, I saw 2001-2007 NW 21st Ave came off the market — I cover Broward Blvd · Sunrise Blvd. Mixed-use around here is trading near $175/SF and leasing around $20/SF. I think it can be positioned to actually sell — got two minutes?</t>
  </si>
  <si>
    <t>Comps put it around $1.95M (~$175/SF) — about a 11.0% cap at market rents. It should rent ~$20/SF — about $225K/yr gross.</t>
  </si>
  <si>
    <t>What's it worth? Comps support ~$1.95M (~$175/SF). You were asking $950K.  •  What does it rent for? ~$20/SF/yr — about $225K/yr gross on 11,136 SF.  •  What cap? ~11.0% implied from lease-vs-sale comps (market benchmark ~6.0–6.75% (blends retail/MF)).  •  Why now? 1031 buyers are active, the Live Local Act unlocks density on commercial land, and rising insurance is nudging owners to test the market.</t>
  </si>
  <si>
    <t>824 NE 16th Street</t>
  </si>
  <si>
    <t>Hi, I saw 824 NE 16th Street came off the market — I cover Dixie Hwy · Oakland Park Blvd. Multifamily around here is trading near $245/SF and leasing around $15/SF. I think it can be positioned to actually sell — got two minutes?</t>
  </si>
  <si>
    <t>Comps put it around $2.39M (~$245/SF) — about a 10.3% cap at market rents. It should rent ~$15/SF — about $150K/yr gross.</t>
  </si>
  <si>
    <t>What's it worth? Comps support ~$2.39M (~$245/SF). You were asking $930K.  •  What does it rent for? ~$15/SF/yr — about $150K/yr gross on 9,759 SF.  •  What cap? ~10.3%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</si>
  <si>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1141 SE 4th Avenue</t>
  </si>
  <si>
    <t>Hi, I saw 1141 SE 4th Avenue came off the market — I cover Andrews Ave · SE 17th St. Commercial around here is trading near $276/SF and leasing around $26/SF. I think it can be positioned to actually sell — got two minutes?</t>
  </si>
  <si>
    <t>Comps put it around $1.93M (~$276/SF) — about a 10.2% cap at market rents. It should rent ~$26/SF — about $186K/yr gross.</t>
  </si>
  <si>
    <t>What's it worth? Comps support ~$1.93M (~$276/SF). You were asking $929K.  •  What does it rent for? ~$26/SF/yr — about $186K/yr gross on 7,000 SF.  •  What cap? ~10.2%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</si>
  <si>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423 SE 19th St</t>
  </si>
  <si>
    <t>Hi, I saw 423 SE 19th St came off the market — I cover Andrews Ave · SE 17th St. Office around here is trading near $130/SF and leasing around $17/SF. I think it can be positioned to actually sell — got two minutes?</t>
  </si>
  <si>
    <t>Comps put it around $889K (~$130/SF) — about a 12.1% cap at market rents. It should rent ~$17/SF — about $116K/yr gross.</t>
  </si>
  <si>
    <t>What's it worth? Comps support ~$889K (~$130/SF). You were asking $900K.  •  What does it rent for? ~$17/SF/yr — about $116K/yr gross on 6,840 SF.  •  What cap? ~12.1%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</si>
  <si>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1112 NE 5th Ave Unit#1-2</t>
  </si>
  <si>
    <t>Hi, I saw 1112 NE 5th Ave Unit#1-2 came off the market — I cover Dixie Hwy · Oakland Park Blvd. Multifamily around here is trading near $298/SF and leasing around $15/SF. I think it can be positioned to actually sell — got two minutes?</t>
  </si>
  <si>
    <t>Comps put it around $2.01M (~$298/SF) — about a 7.4% cap at market rents. It should rent ~$15/SF — about $104K/yr gross.</t>
  </si>
  <si>
    <t>What's it worth? Comps support ~$2.01M (~$298/SF). You were asking $890K.  •  What does it rent for? ~$15/SF/yr — about $104K/yr gross on 6,751 SF.  •  What cap? ~7.4% implied from lease-vs-sale comps (market benchmark 4.7–5.4% (A ~4.74% · B ~4.92% · C ~5.38%); ~5.6% blended, Yardi ~6.3%).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</si>
  <si>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739 NW 7th Ter</t>
  </si>
  <si>
    <t>Area 3010</t>
  </si>
  <si>
    <t>Hi, I saw 739 NW 7th Ter came off the market — I cover the area. Industrial around here is trading near $354/SF and leasing around $19/SF. I think it can be positioned to actually sell — got two minutes?</t>
  </si>
  <si>
    <t>Comps put it around $2.39M (~$354/SF) — about a 7.5% cap at market rents. It should rent ~$19/SF — about $131K/yr gross.</t>
  </si>
  <si>
    <t>What's it worth? Comps support ~$2.39M (~$354/SF). You were asking $875K.  •  What does it rent for? ~$19/SF/yr — about $131K/yr gross on 6,750 SF.  •  What cap? ~7.5% implied from lease-vs-sale comps (market benchmark ~6.0–6.3% (South FL)).  •  Why now? 1031 buyers are active, the Live Local Act unlocks density on commercial land, and rising insurance is nudging owners to test the market.</t>
  </si>
  <si>
    <t>916 NW 9th Avenue</t>
  </si>
  <si>
    <t>Hi, I saw 916 NW 9th Avenue came off the market — I cover Sunrise Blvd. Industrial around here is trading near $231/SF and leasing around $19/SF. I think it can be positioned to actually sell — got two minutes?</t>
  </si>
  <si>
    <t>Comps put it around $1.56M (~$231/SF) — about a 7.7% cap at market rents. It should rent ~$19/SF — about $131K/yr gross.</t>
  </si>
  <si>
    <t>What's it worth? Comps support ~$1.56M (~$231/SF). You were asking $850K.  •  What does it rent for? ~$19/SF/yr — about $131K/yr gross on 6,750 SF.  •  What cap? ~7.7% implied from lease-vs-sale comps (market benchmark ~6.0–6.3% (South FL)).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</si>
  <si>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2011 W State Road 84 Unit#232-2</t>
  </si>
  <si>
    <t>Hi, I saw 2011 W State Road 84 Unit#232-2 came off the market — I cover Federal Hwy · SR-84. Industrial around here is trading near $680/SF and leasing around $19/SF. I think it can be positioned to actually sell — got two minutes?</t>
  </si>
  <si>
    <t>Comps put it around $1.36M (~$680/SF). It should rent ~$19/SF — about $39K/yr gross.</t>
  </si>
  <si>
    <t>What's it worth? Comps support ~$1.36M (~$680/SF). You were asking $850K.  •  What does it rent for? ~$19/SF/yr — about $39K/yr gross on 2,000 SF.  •  Why now? 1031 buyers are active, the Live Local Act unlocks density on commercial land, and rising insurance is nudging owners to test the market.</t>
  </si>
  <si>
    <t>11 SE 13th Street</t>
  </si>
  <si>
    <t>TempOff</t>
  </si>
  <si>
    <t>Hi, I saw 11 SE 13th Street came off the market — I cover Andrews Ave · SE 17th St. Mixed-use around here is trading near $210/SF and leasing around $20/SF. I think it can be positioned to actually sell — got two minutes?</t>
  </si>
  <si>
    <t>Comps put it around $1.31M (~$210/SF) — about a 6.9% cap at market rents. It should rent ~$20/SF — about $126K/yr gross.</t>
  </si>
  <si>
    <t>What's it worth? Comps support ~$1.31M (~$210/SF). You were asking $850K.  •  What does it rent for? ~$20/SF/yr — about $126K/yr gross on 6,250 SF.  •  What cap? ~6.9%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</si>
  <si>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223 SW 17th St</t>
  </si>
  <si>
    <t>Hi, I saw 223 SW 17th St came off the market — I cover Federal Hwy · SR-84. Mixed-use around here is trading near $217/SF and leasing around $20/SF. I think it can be positioned to actually sell — got two minutes?</t>
  </si>
  <si>
    <t>Comps put it around $1.60M (~$217/SF) — about a 8.1% cap at market rents. It should rent ~$20/SF — about $149K/yr gross.</t>
  </si>
  <si>
    <t>What's it worth? Comps support ~$1.60M (~$217/SF). You were asking $849K.  •  What does it rent for? ~$20/SF/yr — about $149K/yr gross on 7,380 SF.  •  What cap? ~8.1% implied from lease-vs-sale comps (market benchmark ~6.0–6.75% (blends retail/MF)).  •  Why now? 1031 buyers are active, the Live Local Act unlocks density on commercial land, and rising insurance is nudging owners to test the market.</t>
  </si>
  <si>
    <t>2455 E Sunrise Boulevard Unit#CU-1B</t>
  </si>
  <si>
    <t>Hi, I saw 2455 E Sunrise Boulevard Unit#CU-1B came off the market — I cover Sunrise Blvd · Oakland Park Blvd. Commercial around here is trading near $283/SF and leasing around $26/SF. I think it can be positioned to actually sell — got two minutes?</t>
  </si>
  <si>
    <t>Comps put it around $2.37M (~$283/SF) — about a 13.7% cap at market rents. It should rent ~$26/SF — about $222K/yr gross.</t>
  </si>
  <si>
    <t>What's it worth? Comps support ~$2.37M (~$283/SF). You were asking $831K.  •  What does it rent for? ~$26/SF/yr — about $222K/yr gross on 8,381 SF.  •  What cap? ~13.7% implied from lease-vs-sale comps (market benchmark —).  •  Why now? 1031 buyers are active, the Live Local Act unlocks density on commercial land, and rising insurance is nudging owners to test the market.</t>
  </si>
  <si>
    <t>1210 NE 15th Street Unit#22</t>
  </si>
  <si>
    <t>Hi, I saw 1210 NE 15th Street Unit#22 came off the market — I cover Sunrise Blvd. Commercial around here is trading near $695/SF and leasing around $26/SF. I think it can be positioned to actually sell — got two minutes?</t>
  </si>
  <si>
    <t>Comps put it around $1.09M (~$695/SF). It should rent ~$26/SF — about $42K/yr gross.</t>
  </si>
  <si>
    <t>What's it worth? Comps support ~$1.09M (~$695/SF). You were asking $824K.  •  What does it rent for? ~$26/SF/yr — about $42K/yr gross on 1,568 SF.  •  Why now? 1031 buyers are active, the Live Local Act unlocks density on commercial land, and rising insurance is nudging owners to test the market.</t>
  </si>
  <si>
    <t>1601 NW 6th St</t>
  </si>
  <si>
    <t>Hi, I saw 1601 NW 6th St came off the market — I cover Sunrise Blvd. Mixed-use around here is trading near $186/SF and leasing around $20/SF. I think it can be positioned to actually sell — got two minutes?</t>
  </si>
  <si>
    <t>Comps put it around $830K (~$186/SF) — about a 5.4% cap at market rents. It should rent ~$20/SF — about $90K/yr gross.</t>
  </si>
  <si>
    <t>What's it worth? Comps support ~$830K (~$186/SF). You were asking $775K.  •  What does it rent for? ~$20/SF/yr — about $90K/yr gross on 4,463 SF.  •  What cap? ~5.4% implied from lease-vs-sale comps (market benchmark ~6.0–6.75% (blends retail/MF)).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</si>
  <si>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2455 E Sunrise Blvd Unit#CU9K-CU9M-CU9L</t>
  </si>
  <si>
    <t>Area 3300</t>
  </si>
  <si>
    <t>Hi, I saw 2455 E Sunrise Blvd Unit#CU9K-CU9M-CU9L came off the market — I cover Sunrise Blvd. Office around here is trading near $149/SF and leasing around $17/SF. I think it can be positioned to actually sell — got two minutes?</t>
  </si>
  <si>
    <t>Comps put it around $987K (~$149/SF) — about a 14.0% cap at market rents. It should rent ~$17/SF — about $113K/yr gross.</t>
  </si>
  <si>
    <t>What's it worth? Comps support ~$987K (~$149/SF). You were asking $750K.  •  What does it rent for? ~$17/SF/yr — about $113K/yr gross on 6,624 SF.  •  What cap? ~14.0% implied from lease-vs-sale comps (market benchmark ~6.75–8.0%).  •  Why now? 1031 buyers are active, the Live Local Act unlocks density on commercial land, and rising insurance is nudging owners to test the market.</t>
  </si>
  <si>
    <t>Area 3350</t>
  </si>
  <si>
    <t>648 W Oakland Park Blvd</t>
  </si>
  <si>
    <t>Hi, I saw 648 W Oakland Park Blvd came off the market — I cover Oakland Park Blvd · SE 17th St. Mixed-use around here is trading near $192/SF and leasing around $20/SF. I think it can be positioned to actually sell — got two minutes?</t>
  </si>
  <si>
    <t>Comps put it around $1.79M (~$192/SF) — about a 11.7% cap at market rents. It should rent ~$20/SF — about $189K/yr gross.</t>
  </si>
  <si>
    <t>What's it worth? Comps support ~$1.79M (~$192/SF). You were asking $750K.  •  What does it rent for? ~$20/SF/yr — about $189K/yr gross on 9,351 SF.  •  What cap? ~11.7% implied from lease-vs-sale comps (market benchmark ~6.0–6.75% (blends retail/MF)).  •  Why now? 1031 buyers are active, the Live Local Act unlocks density on commercial land, and rising insurance is nudging owners to test the market.</t>
  </si>
  <si>
    <t>200 SE 19th Street</t>
  </si>
  <si>
    <t>Hi, I saw 200 SE 19th Street came off the market — I cover Andrews Ave · SE 17th St. Mixed-use around here is trading near $199/SF and leasing around $20/SF. I think it can be positioned to actually sell — got two minutes?</t>
  </si>
  <si>
    <t>Comps put it around $1.38M (~$199/SF) — about a 9.3% cap at market rents. It should rent ~$20/SF — about $140K/yr gross.</t>
  </si>
  <si>
    <t>What's it worth? Comps support ~$1.38M (~$199/SF). You were asking $699K.  •  What does it rent for? ~$20/SF/yr — about $140K/yr gross on 6,950 SF.  •  What cap? ~9.3% implied from lease-vs-sale comps (market benchmark ~6.0–6.75% (blends retail/MF)).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</si>
  <si>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314 SE 14th Street</t>
  </si>
  <si>
    <t>Hi, I saw 314 SE 14th Street came off the market — I cover Andrews Ave · SE 17th St. Commercial around here is trading near $300/SF and leasing around $26/SF. I think it can be positioned to actually sell — got two minutes?</t>
  </si>
  <si>
    <t>Comps put it around $1.80M (~$300/SF) — about a 12.2% cap at market rents. It should rent ~$26/SF — about $159K/yr gross.</t>
  </si>
  <si>
    <t>What's it worth? Comps support ~$1.80M (~$300/SF). You were asking $665K.  •  What does it rent for? ~$26/SF/yr — about $159K/yr gross on 6,000 SF.  •  What cap? ~12.2% implied from lease-vs-sale comps (market benchmark —).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</si>
  <si>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405-407 E Oakland Park Blvd</t>
  </si>
  <si>
    <t>Hi, I saw 405-407 E Oakland Park Blvd came off the market — I cover Oakland Park Blvd. Multifamily around here is trading near $390/SF and leasing around $15/SF. I think it can be positioned to actually sell — got two minutes?</t>
  </si>
  <si>
    <t>Comps put it around $1.69M (~$390/SF) — about a 7.1% cap at market rents. It should rent ~$15/SF — about $67K/yr gross.</t>
  </si>
  <si>
    <t>What's it worth? Comps support ~$1.69M (~$390/SF). You were asking $600K.  •  What does it rent for? ~$15/SF/yr — about $67K/yr gross on 4,335 SF.  •  What cap? ~7.1%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</si>
  <si>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1403 NW 8th Ave</t>
  </si>
  <si>
    <t>Hi, I saw 1403 NW 8th Ave came off the market — I cover Oakland Park Blvd · SE 17th St. Multifamily around here is trading near $308/SF and leasing around $15/SF. I think it can be positioned to actually sell — got two minutes?</t>
  </si>
  <si>
    <t>Comps put it around $2.08M (~$308/SF) — about a 11.5% cap at market rents. It should rent ~$15/SF — about $104K/yr gross.</t>
  </si>
  <si>
    <t>What's it worth? Comps support ~$2.08M (~$308/SF). You were asking $575K.  •  What does it rent for? ~$15/SF/yr — about $104K/yr gross on 6,749 SF.  •  What cap? ~11.5%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</si>
  <si>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401 E Oakland Park Blvd</t>
  </si>
  <si>
    <t>Hi, I saw 401 E Oakland Park Blvd came off the market — I cover Oakland Park Blvd. Mixed-use around here is trading near $260/SF and leasing around $20/SF. I think it can be positioned to actually sell — got two minutes?</t>
  </si>
  <si>
    <t>Comps put it around $1.37M (~$260/SF) — about a 9.1% cap at market rents. It should rent ~$20/SF — about $106K/yr gross.</t>
  </si>
  <si>
    <t>What's it worth? Comps support ~$1.37M (~$260/SF). You were asking $540K.  •  What does it rent for? ~$20/SF/yr — about $106K/yr gross on 5,268 SF.  •  What cap? ~9.1% implied from lease-vs-sale comps (market benchmark ~6.0–6.75% (blends retail/MF)).  •  Why now? 1031 buyers are active, the Live Local Act unlocks density on commercial land, and rising insurance is nudging owners to test the market.</t>
  </si>
  <si>
    <t>3015 N Ocean Boulevard Unit#C-115</t>
  </si>
  <si>
    <t>Hi, I saw 3015 N Ocean Boulevard Unit#C-115 came off the market — I cover Ocean Blvd · SE 17th St. Commercial around here is trading near $319/SF and leasing around $26/SF. I think it can be positioned to actually sell — got two minutes?</t>
  </si>
  <si>
    <t>Comps put it around $618K (~$319/SF) — about a 6.2% cap at market rents. It should rent ~$26/SF — about $51K/yr gross.</t>
  </si>
  <si>
    <t>What's it worth? Comps support ~$618K (~$319/SF). You were asking $425K.  •  What does it rent for? ~$26/SF/yr — about $51K/yr gross on 1,938 SF.  •  What cap? ~6.2%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</si>
  <si>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2455 E Sunrise Boulevard Unit#209</t>
  </si>
  <si>
    <t>Hi, I saw 2455 E Sunrise Boulevard Unit#209 came off the market — I cover Sunrise Blvd · Oakland Park Blvd. Commercial around here is trading near $757/SF and leasing around $26/SF. I think it can be positioned to actually sell — got two minutes?</t>
  </si>
  <si>
    <t>Comps put it around $1.00M (~$757/SF) — about a 4.2% cap at market rents. It should rent ~$26/SF — about $35K/yr gross.</t>
  </si>
  <si>
    <t>What's it worth? Comps support ~$1.00M (~$757/SF). You were asking $423K.  •  What does it rent for? ~$26/SF/yr — about $35K/yr gross on 1,322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</si>
  <si>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Unit#512</t>
  </si>
  <si>
    <t>Hi, I saw 2455 E Sunrise Boulevard Unit#512 came off the market — I cover Sunrise Blvd · Oakland Park Blvd. Commercial around here is trading near $769/SF and leasing around $26/SF. I think it can be positioned to actually sell — got two minutes?</t>
  </si>
  <si>
    <t>Comps put it around $987K (~$769/SF) — about a 4.2% cap at market rents. It should rent ~$26/SF — about $34K/yr gross.</t>
  </si>
  <si>
    <t>What's it worth? Comps support ~$987K (~$769/SF). You were asking $417K.  •  What does it rent for? ~$26/SF/yr — about $34K/yr gross on 1,283 SF.  •  What cap? ~4.2% implied from lease-vs-sale comps (market benchmark —).  •  Why now? 1031 buyers are active, the Live Local Act unlocks density on commercial land, and rising insurance is nudging owners to test the market.</t>
  </si>
  <si>
    <t>2455 E Sunrise Boulevard Unit#815</t>
  </si>
  <si>
    <t>Hi, I saw 2455 E Sunrise Boulevard Unit#815 came off the market — I cover Sunrise Blvd · Oakland Park Blvd. Commercial around here is trading near $847/SF and leasing around $26/SF. I think it can be positioned to actually sell — got two minutes?</t>
  </si>
  <si>
    <t>Comps put it around $907K (~$847/SF) — about a 3.9% cap at market rents. It should rent ~$26/SF — about $28K/yr gross.</t>
  </si>
  <si>
    <t>What's it worth? Comps support ~$907K (~$847/SF). You were asking $369K.  •  What does it rent for? ~$26/SF/yr — about $28K/yr gross on 1,071 SF.  •  What cap? ~3.9% implied from lease-vs-sale comps (market benchmark —).  •  Why now? 1031 buyers are active, the Live Local Act unlocks density on commercial land, and rising insurance is nudging owners to test the market.</t>
  </si>
  <si>
    <t>2455 E Sunrise Boulevard Unit#502</t>
  </si>
  <si>
    <t>Hi, I saw 2455 E Sunrise Boulevard Unit#502 came off the market — I cover Sunrise Blvd · Oakland Park Blvd. Commercial around here is trading near $832/SF and leasing around $26/SF. I think it can be positioned to actually sell — got two minutes?</t>
  </si>
  <si>
    <t>Comps put it around $921K (~$832/SF) — about a 4.2% cap at market rents. It should rent ~$26/SF — about $29K/yr gross.</t>
  </si>
  <si>
    <t>What's it worth? Comps support ~$921K (~$832/SF). You were asking $360K.  •  What does it rent for? ~$26/SF/yr — about $29K/yr gross on 1,107 SF.  •  What cap? ~4.2% implied from lease-vs-sale comps (market benchmark —).  •  Why now? 1031 buyers are active, the Live Local Act unlocks density on commercial land, and rising insurance is nudging owners to test the market.</t>
  </si>
  <si>
    <t>Comps put it around $618K (~$319/SF) — about a 7.5% cap at market rents. It should rent ~$26/SF — about $51K/yr gross.</t>
  </si>
  <si>
    <t>What's it worth? Comps support ~$618K (~$319/SF). You were asking $350K.  •  What does it rent for? ~$26/SF/yr — about $51K/yr gross on 1,938 SF.  •  What cap? ~7.5%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</si>
  <si>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3015 N Ocean Boulevard Unit#C-126</t>
  </si>
  <si>
    <t>Hi, I saw 3015 N Ocean Boulevard Unit#C-126 came off the market — I cover Ocean Blvd · SE 17th St. Commercial around here is trading near $319/SF and leasing around $26/SF. I think it can be positioned to actually sell — got two minutes?</t>
  </si>
  <si>
    <t>Comps put it around $618K (~$319/SF) — about a 8.3% cap at market rents. It should rent ~$26/SF — about $51K/yr gross.</t>
  </si>
  <si>
    <t>What's it worth? Comps support ~$618K (~$319/SF). You were asking $315K.  •  What does it rent for? ~$26/SF/yr — about $51K/yr gross on 1,938 SF.  •  What cap? ~8.3% implied from lease-vs-sale comps (market benchmark —).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</si>
  <si>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655 NW 22nd Road</t>
  </si>
  <si>
    <t>Hi, I saw 655 NW 22nd Road came off the market — I cover Broward Blvd · Sunrise Blvd. Commercial around here is trading near $635/SF and leasing around $26/SF. I think it can be positioned to actually sell — got two minutes?</t>
  </si>
  <si>
    <t>Comps put it around $1.17M (~$635/SF) — about a 13.0% cap at market rents. It should rent ~$26/SF — about $49K/yr gross.</t>
  </si>
  <si>
    <t>What's it worth? Comps support ~$1.17M (~$635/SF). You were asking $192K.  •  What does it rent for? ~$26/SF/yr — about $49K/yr gross on 1,837 SF.  •  What cap? ~13.0% implied from lease-vs-sale comps (market benchmark —).  •  Why now? 1031 buyers are active, the Live Local Act unlocks density on commercial land, and rising insurance is nudging owners to test the market.</t>
  </si>
  <si>
    <t>3045 N Federal Hwy Unit#6</t>
  </si>
  <si>
    <t>Area 3070</t>
  </si>
  <si>
    <t>Hi, I saw 3045 N Federal Hwy Unit#6 came off the market — I cover Federal Hwy. Office around here is trading near $662/SF and leasing around $17/SF. I think it can be positioned to actually sell — got two minutes?</t>
  </si>
  <si>
    <t>Comps put it around $265K (~$662/SF) — about a 3.8% cap at market rents. It should rent ~$17/SF — about $7K/yr gross.</t>
  </si>
  <si>
    <t>What's it worth? Comps support ~$265K (~$662/SF). You were asking $170K.  •  What does it rent for? ~$17/SF/yr — about $7K/yr gross on 401 SF.  •  What cap? ~3.8% implied from lease-vs-sale comps (market benchmark ~6.75–8.0%).  •  Why now? 1031 buyers are active, the Live Local Act unlocks density on commercial land, and rising insurance is nudging owners to test the market.</t>
  </si>
  <si>
    <t>1400 S Federal Highway</t>
  </si>
  <si>
    <t>UnderContract</t>
  </si>
  <si>
    <t>Hi — you're on the market at 1400 S Federal Highway for $10.50M ($219/SF). Comparable commercial on SE 17th St · Federal Hwy has been closer to $157/SF; I have a read on where it clears and a few active buyers. Worth a quick call?</t>
  </si>
  <si>
    <t>Comps put it around $7.53M (~$157/SF) — about a 6.2% cap at market rents. It should rent ~$26/SF — about $1.27M/yr gross.</t>
  </si>
  <si>
    <t>What's it worth? Comps support ~$7.53M (~$157/SF). You're listed at $10.50M.  •  What does it rent for? ~$26/SF/yr — about $1.27M/yr gross on 47,950 SF.  •  What cap? ~6.2% implied from lease-vs-sale comps (market benchmark —).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</si>
  <si>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815 NE 13th Street</t>
  </si>
  <si>
    <t>Active</t>
  </si>
  <si>
    <t>Hi — you're on the market at 815 NE 13th Street for $4.90M ($362/SF). Comparable commercial on Wilton Dr · Federal Hwy has been closer to $276/SF; I have a read on where it clears and a few active buyers. Worth a quick call?</t>
  </si>
  <si>
    <t>Comps put it around $3.73M (~$276/SF) — about a 3.7% cap at market rents. It should rent ~$26/SF — about $358K/yr gross.</t>
  </si>
  <si>
    <t>What's it worth? Comps support ~$3.73M (~$276/SF). You're listed at $4.90M.  •  What does it rent for? ~$26/SF/yr — about $358K/yr gross on 13,525 SF.  •  What cap? ~3.7%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</si>
  <si>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804-810 NE 4th Avenue Unit#804, 805 &amp; 810</t>
  </si>
  <si>
    <t>Hi — you're on the market at 804-810 NE 4th Avenue Unit#804, 805 &amp; 810 for $4.90M ($302/SF). Comparable commercial on Wilton Dr · Federal Hwy has been closer to $250/SF; I have a read on where it clears and a few active buyers. Worth a quick call?</t>
  </si>
  <si>
    <t>Comps put it around $4.06M (~$250/SF) — about a 4.5% cap at market rents. It should rent ~$26/SF — about $431K/yr gross.</t>
  </si>
  <si>
    <t>What's it worth? Comps support ~$4.06M (~$250/SF). You're listed at $4.90M.  •  What does it rent for? ~$26/SF/yr — about $431K/yr gross on 16,250 SF.  •  What cap? ~4.5%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</si>
  <si>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101-105 SE 26th Street</t>
  </si>
  <si>
    <t>Area 3570</t>
  </si>
  <si>
    <t>Hi — you're on the market at 101-105 SE 26th Street for $4.00M ($212/SF). Comparable multifamily on the area has been closer to $178/SF; I have a read on where it clears and a few active buyers. Worth a quick call?</t>
  </si>
  <si>
    <t>Comps put it around $3.36M (~$178/SF) — about a 4.6% cap at market rents. It should rent ~$15/SF — about $291K/yr gross.</t>
  </si>
  <si>
    <t>What's it worth? Comps support ~$3.36M (~$178/SF). You're listed at $4.00M.  •  What does it rent for? ~$15/SF/yr — about $291K/yr gross on 18,898 SF.  •  What cap? ~4.6%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</si>
  <si>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101-105 SE 26 Street</t>
  </si>
  <si>
    <t>Hi — you're on the market at 101-105 SE 26 Street for $4.00M ($212/SF). Comparable multifamily on the area has been closer to $178/SF; I have a read on where it clears and a few active buyers. Worth a quick call?</t>
  </si>
  <si>
    <t>929 NE 17th Way</t>
  </si>
  <si>
    <t>Hi — you're on the market at 929 NE 17th Way for $4.00M ($197/SF). Comparable special-purpose on Dixie Hwy · Oakland Park Blvd has been closer to $172/SF; I have a read on where it clears and a few active buyers. Worth a quick call?</t>
  </si>
  <si>
    <t>Comps put it around $3.48M (~$172/SF) — about a 6.6% cap at market rents. It should rent ~$7/SF — about $148K/yr gross.</t>
  </si>
  <si>
    <t>What's it worth? Comps support ~$3.48M (~$172/SF). You're listed at $4.00M.  •  What does it rent for? ~$7/SF/yr — about $148K/yr gross on 20,250 SF.  •  What cap? ~6.6% implied from lease-vs-sale comps (market benchmark —).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</si>
  <si>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637 NE 4th Ave</t>
  </si>
  <si>
    <t>Hi — you're on the market at 637 NE 4th Ave for $3.75M ($555/SF). Comparable multifamily on Broward Blvd has been closer to $408/SF; I have a read on where it clears and a few active buyers. Worth a quick call?</t>
  </si>
  <si>
    <t>Comps put it around $2.75M (~$408/SF). It should rent ~$15/SF — about $104K/yr gross.</t>
  </si>
  <si>
    <t>What's it worth? Comps support ~$2.75M (~$408/SF). You're listed at $3.75M.  •  What does it rent for? ~$15/SF/yr — about $104K/yr gross on 6,750 SF.  •  How's demand? A CRA-driven, largely opportunity-zone corridor where public subsidy is catalyzing affordable/workforce and mixed-use redevelopment.  •  Why now? 1031 buyers are active, the Live Local Act unlocks density on commercial land, and rising insurance is nudging owners to test the market.</t>
  </si>
  <si>
    <t>3001 NE 6 Avenue</t>
  </si>
  <si>
    <t>Hi — you're on the market at 3001 NE 6 Avenue for $2.80M ($238/SF). Comparable mixed-use on Dixie Hwy · Oakland Park Blvd has been closer to $164/SF; I have a read on where it clears and a few active buyers. Worth a quick call?</t>
  </si>
  <si>
    <t>Comps put it around $1.93M (~$164/SF) — about a 3.9% cap at market rents. It should rent ~$20/SF — about $238K/yr gross.</t>
  </si>
  <si>
    <t>What's it worth? Comps support ~$1.93M (~$164/SF). You're listed at $2.80M.  •  What does it rent for? ~$20/SF/yr — about $238K/yr gross on 11,761 SF.  •  What cap? ~3.9% implied from lease-vs-sale comps (market benchmark ~6.0–6.75% (blends retail/MF)).  •  How's demand? One of Broward's fastest-emerging urban-infill submarkets, led by public placemaking.  •  Why now? 1031 buyers are active, the Live Local Act unlocks density on commercial land, and rising insurance is nudging owners to test the market.</t>
  </si>
  <si>
    <t>749 NE 16th Avenue</t>
  </si>
  <si>
    <t>Hi — you're on the market at 749 NE 16th Avenue for $2.50M ($261/SF). Comparable multifamily on Andrews Ave · SE 17th St has been closer to $226/SF; I have a read on where it clears and a few active buyers. Worth a quick call?</t>
  </si>
  <si>
    <t>Comps put it around $2.16M (~$226/SF) — about a 3.8% cap at market rents. It should rent ~$15/SF — about $147K/yr gross.</t>
  </si>
  <si>
    <t>What's it worth? Comps support ~$2.16M (~$226/SF). You're listed at $2.50M.  •  What does it rent for? ~$15/SF/yr — about $147K/yr gross on 9,566 SF.  •  What cap? ~3.8% implied from lease-vs-sale comps (market benchmark 4.7–5.4% (A ~4.74% · B ~4.92% · C ~5.38%); ~5.6% blended, Yardi ~6.3%).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</si>
  <si>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 — you're on the market at 2617 NE 13th Court for $2.48M ($238/SF). Comparable multifamily on Sunrise Blvd · Oakland Park Blvd has been closer to $244/SF; I have a read on where it clears and a few active buyers. Worth a quick call?</t>
  </si>
  <si>
    <t>Comps put it around $2.54M (~$244/SF) — about a 4.1% cap at market rents. It should rent ~$15/SF — about $160K/yr gross.</t>
  </si>
  <si>
    <t>What's it worth? Comps support ~$2.54M (~$244/SF). You're listed at $2.48M.  •  What does it rent for? ~$15/SF/yr — about $160K/yr gross on 10,400 SF.  •  What cap? ~4.1%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</si>
  <si>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1730 NE 7th St Unit#1-5</t>
  </si>
  <si>
    <t>Hi — you're on the market at 1730 NE 7th St Unit#1-5 for $2.15M ($324/SF). Comparable multifamily on Sunrise Blvd has been closer to $310/SF; I have a read on where it clears and a few active buyers. Worth a quick call?</t>
  </si>
  <si>
    <t>Comps put it around $2.06M (~$310/SF) — about a 3.0% cap at market rents. It should rent ~$15/SF — about $102K/yr gross.</t>
  </si>
  <si>
    <t>What's it worth? Comps support ~$2.06M (~$310/SF). You're listed at $2.15M.  •  What does it rent for? ~$15/SF/yr — about $102K/yr gross on 6,633 SF.  •  What cap? ~3.0% implied from lease-vs-sale comps (market benchmark 4.7–5.4% (A ~4.74% · B ~4.92% · C ~5.38%); ~5.6% blended, Yardi ~6.3%).  •  Why now? 1031 buyers are active, the Live Local Act unlocks density on commercial land, and rising insurance is nudging owners to test the market.</t>
  </si>
  <si>
    <t>2745 E Oakland Park Boulevard</t>
  </si>
  <si>
    <t>Hi — you're on the market at 2745 E Oakland Park Boulevard for $2.10M ($280/SF). Comparable commercial on Oakland Park Blvd has been closer to $300/SF; I have a read on where it clears and a few active buyers. Worth a quick call?</t>
  </si>
  <si>
    <t>Comps put it around $2.25M (~$300/SF) — about a 4.8% cap at market rents. It should rent ~$26/SF — about $199K/yr gross.</t>
  </si>
  <si>
    <t>What's it worth? Comps support ~$2.25M (~$300/SF). You're listed at $2.10M.  •  What does it rent for? ~$26/SF/yr — about $199K/yr gross on 7,503 SF.  •  What cap? ~4.8% implied from lease-vs-sale comps (market benchmark —).  •  Why now? 1031 buyers are active, the Live Local Act unlocks density on commercial land, and rising insurance is nudging owners to test the market.</t>
  </si>
  <si>
    <t>1327 SE 2nd Ave</t>
  </si>
  <si>
    <t>Hi — you're on the market at 1327 SE 2nd Ave for $2.10M ($226/SF). Comparable office on Andrews Ave · SE 17th St has been closer to $110/SF; I have a read on where it clears and a few active buyers. Worth a quick call?</t>
  </si>
  <si>
    <t>Comps put it around $1.02M (~$110/SF) — about a 7.0% cap at market rents. It should rent ~$17/SF — about $158K/yr gross.</t>
  </si>
  <si>
    <t>What's it worth? Comps support ~$1.02M (~$110/SF). You're listed at $2.10M.  •  What does it rent for? ~$17/SF/yr — about $158K/yr gross on 9,289 SF.  •  What cap? ~7.0%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</si>
  <si>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Hi — you're on the market at 1210 NE 8th Ave for $2.00M ($313/SF). Comparable flex on Wilton Dr · Federal Hwy has been closer to $412/SF; I have a read on where it clears and a few active buyers. Worth a quick call?</t>
  </si>
  <si>
    <t>Comps put it around $2.63M (~$412/SF) — about a 4.7% cap at market rents.</t>
  </si>
  <si>
    <t>What's it worth? Comps support ~$2.63M (~$412/SF). You're listed at $2.00M.  •  What cap? ~4.7% implied from lease-vs-sale comps (market benchmark —).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</si>
  <si>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1143 NE 7th Ave</t>
  </si>
  <si>
    <t>Hi — you're on the market at 1143 NE 7th Ave for $1.90M ($298/SF). Comparable mixed-use on Wilton Dr · Federal Hwy has been closer to $295/SF; I have a read on where it clears and a few active buyers. Worth a quick call?</t>
  </si>
  <si>
    <t>Comps put it around $1.88M (~$295/SF) — about a 3.1% cap at market rents. It should rent ~$20/SF — about $129K/yr gross.</t>
  </si>
  <si>
    <t>What's it worth? Comps support ~$1.88M (~$295/SF). You're listed at $1.90M.  •  What does it rent for? ~$20/SF/yr — about $129K/yr gross on 6,385 SF.  •  What cap? ~3.1% implied from lease-vs-sale comps (market benchmark ~6.0–6.75% (blends retail/MF)).  •  How's demand? A walkable, affluent arts-and-entertainment node (Wilton Drive) drawing its first mid-rise projects.  •  Why now? 1031 buyers are active, the Live Local Act unlocks density on commercial land, and rising insurance is nudging owners to test the market.</t>
  </si>
  <si>
    <t>Hi — you're on the market at 15 NW 9th Ave for $1.80M ($257/SF). Comparable industrial on Davie Blvd · Las Olas Blvd has been closer to $277/SF; I have a read on where it clears and a few active buyers. Worth a quick call?</t>
  </si>
  <si>
    <t>Comps put it around $1.94M (~$277/SF) — about a 3.8% cap at market rents. It should rent ~$19/SF — about $136K/yr gross.</t>
  </si>
  <si>
    <t>What's it worth? Comps support ~$1.94M (~$277/SF). You're listed at $1.80M.  •  What does it rent for? ~$19/SF/yr — about $136K/yr gross on 7,000 SF.  •  What cap? ~3.8% implied from lease-vs-sale comps (market benchmark ~6.0–6.3% (South FL)).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</si>
  <si>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620 SW 7th St Unit#1-6</t>
  </si>
  <si>
    <t>Hi — you're on the market at 620 SW 7th St Unit#1-6 for $1.75M ($217/SF). Comparable multifamily on Davie Blvd · Las Olas Blvd has been closer to $223/SF; I have a read on where it clears and a few active buyers. Worth a quick call?</t>
  </si>
  <si>
    <t>Comps put it around $1.80M (~$223/SF) — about a 4.5% cap at market rents. It should rent ~$15/SF — about $124K/yr gross.</t>
  </si>
  <si>
    <t>What's it worth? Comps support ~$1.80M (~$223/SF). You're listed at $1.75M.  •  What does it rent for? ~$15/SF/yr — about $124K/yr gross on 8,075 SF.  •  What cap? ~4.5% implied from lease-vs-sale comps (market benchmark 4.7–5.4% (A ~4.74% · B ~4.92% · C ~5.38%); ~5.6% blended, Yardi ~6.3%).  •  How's demand? Broward's premier office / CBD address — law, finance and wealth-management tenancy.  •  Why now? 1031 buyers are active, the Live Local Act unlocks density on commercial land, and rising insurance is nudging owners to test the market.</t>
  </si>
  <si>
    <t>3015 N Ocean Boulevard Unit#C1-C8</t>
  </si>
  <si>
    <t>Hi — you're on the market at 3015 N Ocean Boulevard Unit#C1-C8 for $1.04M ($200/SF). Comparable mixed-use on Ocean Blvd · SE 17th St has been closer to $135/SF; I have a read on where it clears and a few active buyers. Worth a quick call?</t>
  </si>
  <si>
    <t>Comps put it around $702K (~$135/SF) — about a 4.7% cap at market rents. It should rent ~$20/SF — about $105K/yr gross.</t>
  </si>
  <si>
    <t>What's it worth? Comps support ~$702K (~$135/SF). You're listed at $1.04M.  •  What does it rent for? ~$20/SF/yr — about $105K/yr gross on 5,200 SF.  •  What cap? ~4.7% implied from lease-vs-sale comps (market benchmark ~6.0–6.75% (blends retail/MF)).  •  How's demand? The barrier-island beach market — hospitality, beachfront retail and boutique commercial/condo, where waterfront and ocean views drive a clear premium.  •  Why now? 1031 buyers are active, the Live Local Act unlocks density on commercial land, and rising insurance is nudging owners to test the market.</t>
  </si>
  <si>
    <t>1083 SE 17th St</t>
  </si>
  <si>
    <t>Hi — you're on the market at 1083 SE 17th St for $995K ($829/SF). Comparable restaurant/bar on SE 17th St · Federal Hwy has been closer to $822/SF; I have a read on where it clears and a few active buyers. Worth a quick call?</t>
  </si>
  <si>
    <t>Comps put it around $986K (~$822/SF). It should rent ~$23/SF — about $27K/yr gross.</t>
  </si>
  <si>
    <t>What's it worth? Comps support ~$986K (~$822/SF). You're listed at $995K.  •  What does it rent for? ~$23/SF/yr — about $27K/yr gross on 1,200 SF.  •  How's demand? The marine &amp; yachting-services heart of the market — and increasingly a waterfront redevelopment target.  •  Why now? 1031 buyers are active, the Live Local Act unlocks density on commercial land, and rising insurance is nudging owners to test the market.</t>
  </si>
  <si>
    <t>Hi — you're on the market at 200 S Andrews Ave Unit#503 for $990K ($412/SF). Comparable office on Andrews Ave · SE 17th St has been closer to $227/SF; I have a read on where it clears and a few active buyers. Worth a quick call?</t>
  </si>
  <si>
    <t>Comps put it around $545K (~$227/SF) — about a 3.9% cap at market rents. It should rent ~$17/SF — about $41K/yr gross.</t>
  </si>
  <si>
    <t>What's it worth? Comps support ~$545K (~$227/SF). You're listed at $990K.  •  What does it rent for? ~$17/SF/yr — about $41K/yr gross on 2,400 SF.  •  What cap? ~3.9% implied from lease-vs-sale comps (market benchmark ~6.75–8.0%).  •  How's demand? The region's most active development submarket — a former warehouse district now dense with high-rise multifamily, creative office and ground-floor retail.  •  Why now? 1031 buyers are active, the Live Local Act unlocks density on commercial land, and rising insurance is nudging owners to test the market.</t>
  </si>
  <si>
    <t>1200 S Federal Hwy</t>
  </si>
  <si>
    <t>Hi — you're on the market at 1200 S Federal Hwy for $710K ($387/SF). Comparable retail on Federal Hwy · SR-84 has been closer to $413/SF; I have a read on where it clears and a few active buyers. Worth a quick call?</t>
  </si>
  <si>
    <t>Comps put it around $757K (~$413/SF) — about a 4.3% cap at market rents. It should rent ~$28/SF — about $51K/yr gross.</t>
  </si>
  <si>
    <t>What's it worth? Comps support ~$757K (~$413/SF). You're listed at $710K.  •  What does it rent for? ~$28/SF/yr — about $51K/yr gross on 1,833 SF.  •  What cap? ~4.3% implied from lease-vs-sale comps (market benchmark ~6.0–6.1%).  •  Why now? 1031 buyers are active, the Live Local Act unlocks density on commercial land, and rising insurance is nudging owners to test the market.</t>
  </si>
  <si>
    <t>Neighborhoods — each submarket as a system</t>
  </si>
  <si>
    <t>Normalized $/SqFt, rents, yield, supply and stance side by side. Per-area repricing detail is in the Repricing tab and the Neighborhood Report PDF.</t>
  </si>
  <si>
    <t>Submarket</t>
  </si>
  <si>
    <t>Corridors</t>
  </si>
  <si>
    <t>Profile</t>
  </si>
  <si>
    <t>Norm $/SF</t>
  </si>
  <si>
    <t>Median sold $/SF</t>
  </si>
  <si>
    <t>vs city %</t>
  </si>
  <si>
    <t>Gross yld</t>
  </si>
  <si>
    <t>Mo supply</t>
  </si>
  <si>
    <t>Fail %</t>
  </si>
  <si>
    <t>Under</t>
  </si>
  <si>
    <t>Over</t>
  </si>
  <si>
    <t>Stance</t>
  </si>
  <si>
    <t>SE 17th St · Federal Hwy</t>
  </si>
  <si>
    <t>17th Street Causeway / Harbor Beach / SE</t>
  </si>
  <si>
    <t>Neutral</t>
  </si>
  <si>
    <t>Broward Blvd</t>
  </si>
  <si>
    <t>Sistrunk / Progresso / Northwest</t>
  </si>
  <si>
    <t>Wilton Dr · Federal Hwy</t>
  </si>
  <si>
    <t>Wilton Manors</t>
  </si>
  <si>
    <t>Dixie Hwy · Oakland Park Blvd</t>
  </si>
  <si>
    <t>Oakland Park</t>
  </si>
  <si>
    <t>Andrews Ave</t>
  </si>
  <si>
    <t>Downtown / Flagler Village</t>
  </si>
  <si>
    <t>Andrews Ave · SE 17th St</t>
  </si>
  <si>
    <t>Davie Blvd · Las Olas Blvd</t>
  </si>
  <si>
    <t>Las Olas</t>
  </si>
  <si>
    <t>Sunrise Blvd</t>
  </si>
  <si>
    <t>Ocean Blvd · SE 17th St</t>
  </si>
  <si>
    <t>Fort Lauderdale Beach</t>
  </si>
  <si>
    <t>Repricing — going for vs. should be going for</t>
  </si>
  <si>
    <t>Model $/SF = normalized value for that exact building (size/age/type removed). Adjust ▲ up = priced below the market (room to raise / a buy); ▼ down = priced above. Live + failed listings.</t>
  </si>
  <si>
    <t>Asking</t>
  </si>
  <si>
    <t>Adjust %</t>
  </si>
  <si>
    <t>Basis Δ $</t>
  </si>
  <si>
    <t>Income gap %</t>
  </si>
  <si>
    <t>1103 E Las Olas Boulevard</t>
  </si>
  <si>
    <t>2001 W St. Road</t>
  </si>
  <si>
    <t>2612 SW 14th Avenue</t>
  </si>
  <si>
    <t>2455 E Sunrise Boulevard Unit#CU-1D</t>
  </si>
  <si>
    <t>2455 E Sunrise Boulevard Unit#CU-1C</t>
  </si>
  <si>
    <t>649 NW 22nd Rd</t>
  </si>
  <si>
    <t>2455 E Sunrise Blvd Unit#CU9J</t>
  </si>
  <si>
    <t>2217 NW 19th St</t>
  </si>
  <si>
    <t>Area 3090</t>
  </si>
  <si>
    <t>1432 NE 10th Avenue</t>
  </si>
  <si>
    <t>355 NW 32nd St Unit#1-6</t>
  </si>
  <si>
    <t>201 SE 19th Street</t>
  </si>
  <si>
    <t>1021 NW 1st Street</t>
  </si>
  <si>
    <t>1518-1522 NE 4th Ave</t>
  </si>
  <si>
    <t>1313 S Andrews Avenue</t>
  </si>
  <si>
    <t>1126 SE 2nd Ave</t>
  </si>
  <si>
    <t>701 W Las Olas Boulevard</t>
  </si>
  <si>
    <t>Pending</t>
  </si>
  <si>
    <t>1225 NE 15th Ave Unit#1-9</t>
  </si>
  <si>
    <t>834 NW 10th Terr</t>
  </si>
  <si>
    <t>505 SE 16th St</t>
  </si>
  <si>
    <t>1901 SE 4th Avenue</t>
  </si>
  <si>
    <t>1100 NW 4th Street</t>
  </si>
  <si>
    <t>1536 NW 6th Street</t>
  </si>
  <si>
    <t>2401 NW 9th Ave Unit#1-8</t>
  </si>
  <si>
    <t>751 NW 5th Street</t>
  </si>
  <si>
    <t>1110 NW 7th Avenue</t>
  </si>
  <si>
    <t>325 SW 26th Street</t>
  </si>
  <si>
    <t>212 SE 8th Street</t>
  </si>
  <si>
    <t>700 NE 13th Street</t>
  </si>
  <si>
    <t>2209 NE 26th St</t>
  </si>
  <si>
    <t>1111 SW 4th St</t>
  </si>
  <si>
    <t>1225 SE 2nd Avenue</t>
  </si>
  <si>
    <t>2001 W State Road 84 Unit#412-3</t>
  </si>
  <si>
    <t>645 NE 4th Avenue</t>
  </si>
  <si>
    <t>2724 NE 14th St</t>
  </si>
  <si>
    <t>520 Orton Ave Unit#201, 204, 403</t>
  </si>
  <si>
    <t>2724 NE 14th Street</t>
  </si>
  <si>
    <t>114 NW 5th Street</t>
  </si>
  <si>
    <t>900 Sunrise Lane</t>
  </si>
  <si>
    <t>425 NE 8th St</t>
  </si>
  <si>
    <t>901 Sunrise Lane</t>
  </si>
  <si>
    <t>3005 Alhambra St</t>
  </si>
  <si>
    <t>2100 Miami Road</t>
  </si>
  <si>
    <t>3086 Harbor Dr</t>
  </si>
  <si>
    <t>1147 Seabreeze Boulevard</t>
  </si>
  <si>
    <t>1827 Middle River Drive</t>
  </si>
  <si>
    <t>3020 + 3024 Seville St</t>
  </si>
  <si>
    <t>850 NE 13th Street Unit#A-D</t>
  </si>
  <si>
    <t>347 N Birch Road</t>
  </si>
  <si>
    <t>125 N Birch Road</t>
  </si>
  <si>
    <t>202 NW 14th Ave Unit#202</t>
  </si>
  <si>
    <t>2200 N Ocean Blvd Unit#CU3</t>
  </si>
  <si>
    <t>955 S Federal Hwy</t>
  </si>
  <si>
    <t>2881 E Oakland Park Blvd</t>
  </si>
  <si>
    <t>Segmentation &amp; market share — by asset type, price bracket, size class</t>
  </si>
  <si>
    <t>Shares are within the stated parent. 'Size class' is a SqFt bracket (no floor-plan/unit-mix data in the export); unit brackets cover only multifamily with a parsed unit count. Size class = SqFt bracket (no floor-plan data in the export).</t>
  </si>
  <si>
    <t>Market composition — by asset type</t>
  </si>
  <si>
    <t>Count</t>
  </si>
  <si>
    <t>% of market</t>
  </si>
  <si>
    <t>Median $/SqFt</t>
  </si>
  <si>
    <t>Market composition — by price bracket</t>
  </si>
  <si>
    <t>Market composition — by size class</t>
  </si>
  <si>
    <t>Asset type × price bracket</t>
  </si>
  <si>
    <t>Total</t>
  </si>
  <si>
    <t>% share (within row)</t>
  </si>
  <si>
    <t>Asset type × size class (SqFt)</t>
  </si>
  <si>
    <t>Price bracket × size class (which sizes trade in which price bands)</t>
  </si>
  <si>
    <t>Multifamily unit-count mix (30 parsed — limited coverage)</t>
  </si>
  <si>
    <t>Units</t>
  </si>
  <si>
    <t>&lt; 10</t>
  </si>
  <si>
    <t>25–50</t>
  </si>
  <si>
    <t>Neighborhood mix — what each area is made of</t>
  </si>
  <si>
    <t>Share is within the neighborhood: e.g. what % of Area X is each asset type / price bracket / size class.</t>
  </si>
  <si>
    <t>Neighborhood × asset type</t>
  </si>
  <si>
    <t>Neighborhood × price bracket</t>
  </si>
  <si>
    <t>Neighborhood × size class (SqFt)</t>
  </si>
  <si>
    <t>Underpriced opportunities</t>
  </si>
  <si>
    <t>The comp-backed buy list. 'Why' explains each.</t>
  </si>
  <si>
    <t>Value</t>
  </si>
  <si>
    <t>Gap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</si>
  <si>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</si>
  <si>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</si>
  <si>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</si>
  <si>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</si>
  <si>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</si>
  <si>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</si>
  <si>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</si>
  <si>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</si>
  <si>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</si>
  <si>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</si>
  <si>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</si>
  <si>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</si>
  <si>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</si>
  <si>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</si>
  <si>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</si>
  <si>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</si>
  <si>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</si>
  <si>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</si>
  <si>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</si>
  <si>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Prospects — failed listings &amp; overpriced actives</t>
  </si>
  <si>
    <t>Motivated owners to call.</t>
  </si>
  <si>
    <t>$/SqFt</t>
  </si>
  <si>
    <t>Comp $/SqFt</t>
  </si>
  <si>
    <t>Overpricing</t>
  </si>
  <si>
    <t>Leasing — asking rents &amp; data-derived caps</t>
  </si>
  <si>
    <t>244 lease listings (50 active, 41 leased). Implied cap = (lease÷sale gross yield) × (1−vac) × (1−opex).</t>
  </si>
  <si>
    <t>P25</t>
  </si>
  <si>
    <t>P75</t>
  </si>
  <si>
    <t>n</t>
  </si>
  <si>
    <t>Sale $/SF</t>
  </si>
  <si>
    <t>Assumed cap</t>
  </si>
  <si>
    <t>Lease $/SqFt by submarket</t>
  </si>
  <si>
    <t>Leased</t>
  </si>
  <si>
    <t>Federal Hwy · Andrews Ave</t>
  </si>
  <si>
    <t>Ocean Blvd · Sunrise Blvd</t>
  </si>
  <si>
    <t>Federal Hwy · Sunrise Blvd</t>
  </si>
  <si>
    <t>Cordova Rd · Oakland Park Blvd</t>
  </si>
  <si>
    <t>Oakland Park Blvd · Dixie Hwy</t>
  </si>
  <si>
    <t>Davie Blvd · Oakland Park Blvd</t>
  </si>
  <si>
    <t>Federal Hwy · Oakland Park Blvd</t>
  </si>
  <si>
    <t>Federal Hwy</t>
  </si>
  <si>
    <t>Wilton Dr · Andrews Ave</t>
  </si>
  <si>
    <t>Oakland Park Blvd · Wilton Dr</t>
  </si>
  <si>
    <t>Andrews Ave · Oakland Park Blvd</t>
  </si>
  <si>
    <t>Oakland Park Blvd</t>
  </si>
  <si>
    <t>SE 17th St</t>
  </si>
  <si>
    <t>Las Olas Blvd · SR-84</t>
  </si>
  <si>
    <t>SE 17th St · Andrews Ave</t>
  </si>
  <si>
    <t>Closed comps</t>
  </si>
  <si>
    <t>The closed sales behind every $/SqFt number.</t>
  </si>
  <si>
    <t>Built</t>
  </si>
  <si>
    <t>Price</t>
  </si>
  <si>
    <t>vs model</t>
  </si>
  <si>
    <t>708 Spangler Blvd Unit#BAY7</t>
  </si>
  <si>
    <t>Area 3050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</si>
  <si>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</si>
  <si>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</si>
  <si>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</si>
  <si>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</si>
  <si>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</si>
  <si>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</si>
  <si>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</si>
  <si>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</si>
  <si>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</si>
  <si>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</si>
  <si>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</si>
  <si>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</si>
  <si>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</si>
  <si>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</si>
  <si>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</si>
  <si>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</si>
  <si>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</si>
  <si>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</si>
  <si>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</si>
  <si>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</si>
  <si>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</si>
  <si>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</si>
  <si>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</si>
  <si>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</si>
  <si>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</si>
  <si>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</si>
  <si>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</si>
  <si>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</si>
  <si>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</si>
  <si>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</si>
  <si>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1215-1221 NE 17th Avenue</t>
  </si>
  <si>
    <t>1241 NE 16th Terrace</t>
  </si>
  <si>
    <t>1129 NE 16th Avenue Unit#1-5</t>
  </si>
  <si>
    <t>1200 NE 7th Avenue Unit#1</t>
  </si>
  <si>
    <t>1211 NE 4th Avenue</t>
  </si>
  <si>
    <t>1100 NE 4th Ave Unit#1-2</t>
  </si>
  <si>
    <t>723 NW 6th Avenue</t>
  </si>
  <si>
    <t>701 NW 7th Terrace</t>
  </si>
  <si>
    <t>1448 NW 6th Street</t>
  </si>
  <si>
    <t>111 W Davie Boulevard</t>
  </si>
  <si>
    <t>1851 SW 2nd Ave Unit#8</t>
  </si>
  <si>
    <t>1320 SW 26th St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</si>
  <si>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</si>
  <si>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</si>
  <si>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</si>
  <si>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</si>
  <si>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</si>
  <si>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</si>
  <si>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</si>
  <si>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</si>
  <si>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</si>
  <si>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</si>
  <si>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</si>
  <si>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</si>
  <si>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</si>
  <si>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</si>
  <si>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</si>
  <si>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</si>
  <si>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</si>
  <si>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</si>
  <si>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</si>
  <si>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</si>
  <si>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</si>
  <si>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</si>
  <si>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</si>
  <si>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</si>
  <si>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Market context — researched benchmarks</t>
  </si>
  <si>
    <t>External Broward / Fort Lauderdale benchmarks, 2024–2025 (some Q1 2026); curated 2026-07-29. The market backdrop to compare your data against — verify before quoting a specific deal.</t>
  </si>
  <si>
    <t>Benchmarks by asset class</t>
  </si>
  <si>
    <t>Cap</t>
  </si>
  <si>
    <t>Rent</t>
  </si>
  <si>
    <t>Vacancy</t>
  </si>
  <si>
    <t>Trend</t>
  </si>
  <si>
    <t>4.7–5.4% (A ~4.74% · B ~4.92% · C ~5.38%); ~5.6% blended, Yardi ~6.3%</t>
  </si>
  <si>
    <t>priced per unit; ~$359,437/unit avg (2025 YTD)</t>
  </si>
  <si>
    <t>~$300–450/SF on value-add product; per-unit is the metric</t>
  </si>
  <si>
    <t>~7.9% (buildings 50+ units, Q3 2025)</t>
  </si>
  <si>
    <t>Ranked #1 of 30 US markets for MF investment profitability; ~$1.8B annual volume; A/B cap compression, C softer. Live Local Act driving density.</t>
  </si>
  <si>
    <t>~6.75–8.0%</t>
  </si>
  <si>
    <t>$41.60/SF full-service overall (record high); Class A $46.74/SF; medical ~$34–36/SF</t>
  </si>
  <si>
    <t>closed $196–442/SF (Plantation Place ~$196; Las Olas Centre trophy $442)</t>
  </si>
  <si>
    <t>~12.3% (Broward, Q4 2025)</t>
  </si>
  <si>
    <t>Flight-to-quality — post-2010 buildings hold occupancy while the market runs negative absorption; record asking rents; medical/healthcare growing.</t>
  </si>
  <si>
    <t>~6.0–6.1%</t>
  </si>
  <si>
    <t>$27.59/SF NNN Broward; Fort Lauderdale ~$36/SF; prime Las Olas/Downtown $50–75/SF</t>
  </si>
  <si>
    <t>closed ~$391/SF (RK Centers, Riverbend, Dec 2025); listings avg ~$630/SF</t>
  </si>
  <si>
    <t>~3.8–3.9% (very tight)</t>
  </si>
  <si>
    <t>Sub-4% vacancy, little new supply, grocery-anchored &amp; infill centers in demand; absorption limited by scarce space, not weak demand.</t>
  </si>
  <si>
    <t>~6.0–6.3% (South FL)</t>
  </si>
  <si>
    <t>~$16/SF NNN (Fort Lauderdale ~$16.22); small-bay/flex $18–30/SF NNN</t>
  </si>
  <si>
    <t>~$150–300/SF (well-located Broward warehouse)</t>
  </si>
  <si>
    <t>~4.0–5.5% (rising on new supply)</t>
  </si>
  <si>
    <t>Record pipeline concentrated in Pompano; small-bay/flex tight while big-box distribution absorbs slowly.</t>
  </si>
  <si>
    <t>~7.8%</t>
  </si>
  <si>
    <t>ADR $129 (summer trough) to ~$240 peak; per key ~$273,831</t>
  </si>
  <si>
    <t>priced per key (~$274K/key), not per SF</t>
  </si>
  <si>
    <t>occupancy ~55% (summer) to 72–85% (peak/annual, destination-wide)</t>
  </si>
  <si>
    <t>801-room Omni + Whitfield/Auberge underway; beachfront commands a clear ADR premium; tourism/TDT revenue near record.</t>
  </si>
  <si>
    <t>~6.0–6.75% (blends retail/MF)</t>
  </si>
  <si>
    <t>ground-floor retail $27–75/SF NNN + residential above</t>
  </si>
  <si>
    <t>varies with the residential/retail split</t>
  </si>
  <si>
    <t>tracks its retail (sub-4%) and MF (~8%) components</t>
  </si>
  <si>
    <t>The dominant new-development format downtown (Live Local density bonuses).</t>
  </si>
  <si>
    <t>Construction (hard $/SqFt)</t>
  </si>
  <si>
    <t>Multifamily — garden / wood (1–3 story)</t>
  </si>
  <si>
    <t>$170–200/SF</t>
  </si>
  <si>
    <t>Multifamily — mid-rise podium (5-over-1)</t>
  </si>
  <si>
    <t>$200–275/SF</t>
  </si>
  <si>
    <t>Multifamily — high-rise (concrete tower)</t>
  </si>
  <si>
    <t>$400–675/SF</t>
  </si>
  <si>
    <t>$200–575/SF (Class A $350–575)</t>
  </si>
  <si>
    <t>Retail / strip center</t>
  </si>
  <si>
    <t>$245–415/SF (standalone store ~$180/SF)</t>
  </si>
  <si>
    <t>Industrial / warehouse (tilt-up)</t>
  </si>
  <si>
    <t>$156–234/SF</t>
  </si>
  <si>
    <t>$150–250 economy · $250–400 midscale · $400–600+/SF luxury</t>
  </si>
  <si>
    <t>Renovation / rehab</t>
  </si>
  <si>
    <t>Multifamily — light reno (paint/floors/fixtures)</t>
  </si>
  <si>
    <t>$15,000–25,000/unit</t>
  </si>
  <si>
    <t>Multifamily — moderate (kitchen/bath/appliances)</t>
  </si>
  <si>
    <t>$25,000–45,000/unit</t>
  </si>
  <si>
    <t>Multifamily — heavy / gut (systems)</t>
  </si>
  <si>
    <t>$45,000–65,000+/unit</t>
  </si>
  <si>
    <t>Office tenant improvement (Miami)</t>
  </si>
  <si>
    <t>~$122/SF (Class A $135–150 · Class B $90–120)</t>
  </si>
  <si>
    <t>Retail tenant improvement</t>
  </si>
  <si>
    <t>$40–300/SF (restaurant $200–500/SF)</t>
  </si>
  <si>
    <t>Florida cost adders</t>
  </si>
  <si>
    <t>Soft costs</t>
  </si>
  <si>
    <t>15–30% of hard costs</t>
  </si>
  <si>
    <t>HVHZ hurricane-code premium (Broward/Miami-Dade)</t>
  </si>
  <si>
    <t>+10–15% of construction cost</t>
  </si>
  <si>
    <t>Builders-risk insurance (during build)</t>
  </si>
  <si>
    <t>1–5% of value; coastal within ~1 mi 2–3×</t>
  </si>
  <si>
    <t>Impact fees (Miami-Dade example)</t>
  </si>
  <si>
    <t>~$7,500/MF unit · ~$13/SF commercial</t>
  </si>
  <si>
    <t>Cost escalation (2025)</t>
  </si>
  <si>
    <t>~+4–5.5%/yr (Turner index; RLB Miami +4.7–5.5% YoY)</t>
  </si>
  <si>
    <t>Land basis</t>
  </si>
  <si>
    <t>Commercial land (small infill)</t>
  </si>
  <si>
    <t>~$944/SF (avg parcel ~6,700 SF); ~$4.04M/acre</t>
  </si>
  <si>
    <t>Downtown per-buildable-unit land</t>
  </si>
  <si>
    <t>~$82,000/unit (200 W Broward, 381 units, 2024)</t>
  </si>
  <si>
    <t>Near-downtown per-unit land</t>
  </si>
  <si>
    <t>~$38,000/unit (2125 S Andrews 'The Era', 400 units, 2024)</t>
  </si>
  <si>
    <t>Flagler Village per-unit land</t>
  </si>
  <si>
    <t>~$43,650/unit (Advantis assemblage, 252 units)</t>
  </si>
  <si>
    <t>Waterfront luxury per-unit land</t>
  </si>
  <si>
    <t>~$420,000/unit (900 Intracoastal 'Sage', 44 units, 2024)</t>
  </si>
  <si>
    <t>Flagler Village land $/SF</t>
  </si>
  <si>
    <t>$126–267/land SF (2024 comps)</t>
  </si>
  <si>
    <t>Stabilized MF (residual-land context)</t>
  </si>
  <si>
    <t>2025 YTD $359,437/unit @ $268/SF, ~$2,760/unit rent, 91.7% occ</t>
  </si>
  <si>
    <t>Waterfront &amp; dockage</t>
  </si>
  <si>
    <t>Waterfront premium</t>
  </si>
  <si>
    <t>direct/unobstructed water access sells ~30–50% above comparable dry-lot</t>
  </si>
  <si>
    <t>Waterfront land</t>
  </si>
  <si>
    <t>~$4.84M/acre vs ~$4.04M/acre general commercial</t>
  </si>
  <si>
    <t>Deep-water value driver</t>
  </si>
  <si>
    <t>6 ft+ at mean low tide (8–12 ft for large vessels), NO fixed bridges, point lots = top value</t>
  </si>
  <si>
    <t>Pricing convention</t>
  </si>
  <si>
    <t>per linear foot of frontage, adjusted for depth, bridge clearance, seawall/dock</t>
  </si>
  <si>
    <t>Seawall cost</t>
  </si>
  <si>
    <t>~$500–1,000/linear foot</t>
  </si>
  <si>
    <t>Marina slip rental</t>
  </si>
  <si>
    <t>~$25/ft/month</t>
  </si>
  <si>
    <t>Marina land comp</t>
  </si>
  <si>
    <t>Lauderdale Marine Center (~60 ac) $340M in 2021 ≈ $5.67M/acre</t>
  </si>
  <si>
    <t>Insurance</t>
  </si>
  <si>
    <t>MF insurance (Fort Lauderdale)</t>
  </si>
  <si>
    <t>~$1,430/unit/yr (+53% YoY, 2024)</t>
  </si>
  <si>
    <t>FL MF trend</t>
  </si>
  <si>
    <t>~$800 → ~$2,000/unit over two years (+150%)</t>
  </si>
  <si>
    <t>Per SqFt</t>
  </si>
  <si>
    <t>$0.50–3.00/SF/yr (condo towers ~$0.23–0.26/SF/month)</t>
  </si>
  <si>
    <t>Effect on value</t>
  </si>
  <si>
    <t>insurance ~7% of opex but ~17% of expense growth since 2019 → compresses NOI, expands caps; FL values −6.8%</t>
  </si>
  <si>
    <t>Flood (NFIP)</t>
  </si>
  <si>
    <t>avg ~$938/yr; Zone AE $300–500K property ~$1,500–3,500/yr; VE = coastal high-hazard; Broward maps updated Jul 2024</t>
  </si>
  <si>
    <t>Incentives</t>
  </si>
  <si>
    <t>Opportunity Zones</t>
  </si>
  <si>
    <t>Broward 30 tracts / Fort Lauderdale 10 — prime: Flagler Village, 13th St/Progresso, Sistrunk</t>
  </si>
  <si>
    <t>NPF-CRA</t>
  </si>
  <si>
    <t>Northwest–Progresso–Flagler Heights CRA grant/incentive programs; plan amended 2025</t>
  </si>
  <si>
    <t>Live Local Act (SB 102)</t>
  </si>
  <si>
    <t>by-right MF on commercial/industrial if ≥40% units ≤120% AMI; density = highest in jurisdiction, height = highest within 1 mi; 75–100% property-tax exemption on affordable units</t>
  </si>
  <si>
    <t>Neighborhood playbook</t>
  </si>
  <si>
    <t>Area 3600 → 17th Street Causeway / Harbor Beach / SE</t>
  </si>
  <si>
    <t>The marine &amp; yachting-services heart of the market — and increasingly a waterfront redevelopment target.  RECENT: The Quay (1515 SE 17th) — Related/BH/PEBB bought the ~7-acre waterfront marina/retail site for $48.5M (2024) and won approval for a 521-unit tower (40% workforce, Live Local). F3 Marina automated drystack completed.  PLAY: Waterfront/marina redevelopment; dockage value; Live Local density on the water.</t>
  </si>
  <si>
    <t>Area 3810 → Sistrunk / Progresso / Northwest</t>
  </si>
  <si>
    <t>A CRA-driven, largely opportunity-zone corridor where public subsidy is catalyzing affordable/workforce and mixed-use redevelopment.  RECENT: The Aldridge &amp; The Laramore — ~$42M, 72-unit mixed-use with retail at 1204 Sistrunk. NPF-CRA plan runs to 2035 with construction/façade incentives.  PLAY: Low basis vs downtown; land assembly on the OZ + CRA-incentive angle; Flagler Village spillover.</t>
  </si>
  <si>
    <t>Area 3380 → Wilton Manors</t>
  </si>
  <si>
    <t>A walkable, affluent arts-and-entertainment node (Wilton Drive) drawing its first mid-rise projects.  RECENT: Stiles bought the Shoppes of Wilton Manors (78,600 SF) for $27.6M (Dec 2024), pursuing an 82-unit rezoning; Kaplan's Generation proposes ~190 units.  PLAY: Retail redevelopment; constrained supply; strong restaurant/retail demand.</t>
  </si>
  <si>
    <t>Area 3370 → Oakland Park</t>
  </si>
  <si>
    <t>One of Broward's fastest-emerging urban-infill submarkets, led by public placemaking.  RECENT: Culinary Arts District (NE 12th Ave) restaurant/distillery corridor; new City Hall mixed-use (2025); 6-acre Horizon redevelopment of the old City Hall site.  PLAY: Infill mixed-use, older-industrial repositioning; CRA incentives; attractive basis.</t>
  </si>
  <si>
    <t>Area 3500 → Downtown / Flagler Village</t>
  </si>
  <si>
    <t>The region's most active development submarket — a former warehouse district now dense with high-rise multifamily, creative office and ground-floor retail.  RECENT: FAT Village — Hines/Urban Street ~$500M, ~600 units + the region's first mass-timber office, topping off 2025, delivery mid-2026. Gallery at Flagler Village (263 units) queued. Class A office asking low-$40s/SF.  PLAY: Development &amp; land assembly; Live Local density bonuses; office repositioning.</t>
  </si>
  <si>
    <t>Area 3800 → Downtown / Flagler Village</t>
  </si>
  <si>
    <t>Area 3470 → Las Olas</t>
  </si>
  <si>
    <t>Broward's premier office / CBD address — law, finance and wealth-management tenancy.  RECENT: 2025 delivered the two largest office trades in a decade: Las Olas Centre I &amp; II $208M (~$442/SF, Bradford Allen) and Bank of America Plaza at 401 E Las Olas ~$220M (Lone Star/Highline/Square2).  PLAY: Trophy office, repositioning, ground-floor retail at $50–75/SF.</t>
  </si>
  <si>
    <t>Area 3460 → Sistrunk / Progresso / Northwest</t>
  </si>
  <si>
    <t>Area 3160 → Fort Lauderdale Beach</t>
  </si>
  <si>
    <t>The barrier-island beach market — hospitality, beachfront retail and boutique commercial/condo, where waterfront and ocean views drive a clear premium.  RECENT: Hotel product trades ~$274K/key with a beachfront ADR premium; retail/mixed commercial along the A1A / Ocean Blvd corridor.  PLAY: Hospitality &amp; beachfront retail; premium land; tourism demand.</t>
  </si>
  <si>
    <t>Sources</t>
  </si>
  <si>
    <t>Multifamily — CBRE (Calum Weaver) Fort Lauderdale submarket report 2024–25</t>
  </si>
  <si>
    <t>Fort Lauderdale #1 MF profitability (Yardi Matrix / MIAMI REALTORS, Oct 2025)</t>
  </si>
  <si>
    <t>Office &amp; Retail — Colliers Broward Q4 2025</t>
  </si>
  <si>
    <t>Retail — Colliers Broward Q4 2025</t>
  </si>
  <si>
    <t>Office/Retail — Matthews Fort Lauderdale reports 2025</t>
  </si>
  <si>
    <t>Las Olas Centre $442/SF sale (CRE-Sources, Feb 2025)</t>
  </si>
  <si>
    <t>401 E Las Olas / BofA tower ~$220M (The Real Deal, Feb 2025)</t>
  </si>
  <si>
    <t>The Quay waterfront $48.5M (Commercial Observer, 2024)</t>
  </si>
  <si>
    <t>Industrial — CBRE Broward Q1 2025</t>
  </si>
  <si>
    <t>Industrial — JLL Broward Q1 2025</t>
  </si>
  <si>
    <t>Hotel — Matthews Fort Lauderdale Hospitality Q3 2025</t>
  </si>
  <si>
    <t>Construction cost — RSMeans</t>
  </si>
  <si>
    <t>Construction escalation — Turner Building Cost Index 2025</t>
  </si>
  <si>
    <t>Construction escalation — RLB North America Q3 2025</t>
  </si>
  <si>
    <t>Office/retail TI &amp; rehab — Terrapin CG / CommercialCafe 2024–26</t>
  </si>
  <si>
    <t>HVHZ &amp; builders-risk — Bridgeway Insurance 2026</t>
  </si>
  <si>
    <t>Land values — LandSearch Fort Lauderdale</t>
  </si>
  <si>
    <t>Per-unit land — The Real Deal / bldup 2024</t>
  </si>
  <si>
    <t>Waterfront pricing — Gilles Rais Fine Homes 2026</t>
  </si>
  <si>
    <t>MF insurance — Matthews Florida Multifamily 2024–25</t>
  </si>
  <si>
    <t>Flood insurance — Harbour Insurance / NerdWallet 2026</t>
  </si>
  <si>
    <t>Opportunity Zones — Greater Fort Lauderdale Alliance</t>
  </si>
  <si>
    <t>Live Local Act — Holland &amp; Knight 2023</t>
  </si>
  <si>
    <t>Submarkets — Florida YIMBY / The Real Deal / SFBJ 2024–25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</si>
  <si>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</si>
  <si>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</si>
  <si>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Rent $/SqFt</t>
  </si>
  <si>
    <t>Vacancy %</t>
  </si>
  <si>
    <t>Opex % EGI</t>
  </si>
  <si>
    <t>Market cap %</t>
  </si>
  <si>
    <t>Mkt rent (comps)</t>
  </si>
  <si>
    <t>Conf</t>
  </si>
  <si>
    <t>High</t>
  </si>
  <si>
    <t>Indicative</t>
  </si>
  <si>
    <t>Med</t>
  </si>
  <si>
    <t>'Mkt rent (comps)' is the median asking lease rate from the lease listings — where present, consider replacing the assumed Rent $/SqFt with it.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</si>
  <si>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</si>
  <si>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</si>
  <si>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</si>
  <si>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</si>
  <si>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</si>
  <si>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</si>
  <si>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</si>
  <si>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</si>
  <si>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</si>
  <si>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</si>
  <si>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</si>
  <si>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</si>
  <si>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</si>
  <si>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</si>
  <si>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</si>
  <si>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</si>
  <si>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</si>
  <si>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</si>
  <si>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</si>
  <si>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</si>
  <si>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</si>
  <si>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</si>
  <si>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</si>
  <si>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</si>
  <si>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</si>
  <si>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</si>
  <si>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</si>
  <si>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</si>
  <si>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</si>
  <si>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</si>
  <si>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</si>
  <si>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</si>
  <si>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</si>
  <si>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</si>
  <si>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</si>
  <si>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</si>
  <si>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</si>
  <si>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</si>
  <si>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</si>
  <si>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</si>
  <si>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</si>
  <si>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</si>
  <si>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</si>
  <si>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</si>
  <si>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</si>
  <si>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</si>
  <si>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</si>
  <si>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</si>
  <si>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</si>
  <si>
    <t>Asset types — $/SqFt &amp; assumed income</t>
  </si>
  <si>
    <t>Median $/SqFt (factual) + default assumptions.</t>
  </si>
  <si>
    <t>Sold</t>
  </si>
  <si>
    <t>Mkt rent</t>
  </si>
  <si>
    <t>Vac</t>
  </si>
  <si>
    <t>Opex</t>
  </si>
  <si>
    <t>Mkt cap</t>
  </si>
  <si>
    <t>Absorption &amp; segments</t>
  </si>
  <si>
    <t>Months of supply = live / (closed per month); closed assumed to span 18 months (no dates in export — set CRE_SOLD_MONTHS).</t>
  </si>
  <si>
    <t>Live</t>
  </si>
  <si>
    <t>Data — every listing (the backbone)</t>
  </si>
  <si>
    <t>The full cleaned data set the whole workbook runs on. Filter/sort freely; the Dashboard and New Property tabs compute live off these rows.</t>
  </si>
  <si>
    <t>MLS</t>
  </si>
  <si>
    <t>Sale/Lease</t>
  </si>
  <si>
    <t>Waterfront</t>
  </si>
  <si>
    <t>Zoning</t>
  </si>
  <si>
    <t>F10474240</t>
  </si>
  <si>
    <t>701 Bayshore Drive</t>
  </si>
  <si>
    <t>Sale</t>
  </si>
  <si>
    <t>IOA</t>
  </si>
  <si>
    <t>A11927736</t>
  </si>
  <si>
    <t>RM-15</t>
  </si>
  <si>
    <t>F10322285</t>
  </si>
  <si>
    <t>F10514756</t>
  </si>
  <si>
    <t>RAC-UV</t>
  </si>
  <si>
    <t>F10371713</t>
  </si>
  <si>
    <t>220 SW 31st Street</t>
  </si>
  <si>
    <t>INDUSTRI</t>
  </si>
  <si>
    <t>F10402950</t>
  </si>
  <si>
    <t>B-1</t>
  </si>
  <si>
    <t>F10465569</t>
  </si>
  <si>
    <t>B-3</t>
  </si>
  <si>
    <t>A11344372</t>
  </si>
  <si>
    <t>B-2</t>
  </si>
  <si>
    <t>B26018225</t>
  </si>
  <si>
    <t>RMM-25</t>
  </si>
  <si>
    <t>F10525141</t>
  </si>
  <si>
    <t>CB</t>
  </si>
  <si>
    <t>A11702199</t>
  </si>
  <si>
    <t>RDS-15</t>
  </si>
  <si>
    <t>F10439465</t>
  </si>
  <si>
    <t>RAC-CC</t>
  </si>
  <si>
    <t>F10545299</t>
  </si>
  <si>
    <t>NBRA</t>
  </si>
  <si>
    <t>F10484556</t>
  </si>
  <si>
    <t>I</t>
  </si>
  <si>
    <t>F10479999</t>
  </si>
  <si>
    <t>F10530249</t>
  </si>
  <si>
    <t>B-2 A&amp;E Overlay</t>
  </si>
  <si>
    <t>F10432211</t>
  </si>
  <si>
    <t>F10458288</t>
  </si>
  <si>
    <t>3045 N Federal Highway</t>
  </si>
  <si>
    <t>A11909736</t>
  </si>
  <si>
    <t>A11772256</t>
  </si>
  <si>
    <t>A &amp; E DI</t>
  </si>
  <si>
    <t>F10523192</t>
  </si>
  <si>
    <t>620 W Las Olas Boulevard</t>
  </si>
  <si>
    <t>F10483444</t>
  </si>
  <si>
    <t>RC-15</t>
  </si>
  <si>
    <t>F10459521</t>
  </si>
  <si>
    <t>F10462139</t>
  </si>
  <si>
    <t>F10543625</t>
  </si>
  <si>
    <t>R11041532</t>
  </si>
  <si>
    <t>1721 NE 8 Street</t>
  </si>
  <si>
    <t>A11776976</t>
  </si>
  <si>
    <t>F10472248</t>
  </si>
  <si>
    <t>F10512931</t>
  </si>
  <si>
    <t>A11864949</t>
  </si>
  <si>
    <t>F10437672</t>
  </si>
  <si>
    <t>F10469019</t>
  </si>
  <si>
    <t>A11691076</t>
  </si>
  <si>
    <t>A11743959</t>
  </si>
  <si>
    <t>NWRAC-MU</t>
  </si>
  <si>
    <t>F10482119</t>
  </si>
  <si>
    <t>R10989684</t>
  </si>
  <si>
    <t>350 SW 25 Street</t>
  </si>
  <si>
    <t>C-2</t>
  </si>
  <si>
    <t>F10506173</t>
  </si>
  <si>
    <t>A11972748</t>
  </si>
  <si>
    <t>RML-25</t>
  </si>
  <si>
    <t>A11618230</t>
  </si>
  <si>
    <t>F10455487</t>
  </si>
  <si>
    <t>F10455464</t>
  </si>
  <si>
    <t>F10461212</t>
  </si>
  <si>
    <t>ROA</t>
  </si>
  <si>
    <t>F10490057</t>
  </si>
  <si>
    <t>F10466055</t>
  </si>
  <si>
    <t>F10494364</t>
  </si>
  <si>
    <t>A11717708</t>
  </si>
  <si>
    <t>A11821328</t>
  </si>
  <si>
    <t>TOC SOUT</t>
  </si>
  <si>
    <t>A11645293</t>
  </si>
  <si>
    <t>R10880283</t>
  </si>
  <si>
    <t>715 W Sunrise Boulevard</t>
  </si>
  <si>
    <t>F10471504</t>
  </si>
  <si>
    <t>2808-2816 N Dixie</t>
  </si>
  <si>
    <t>A11631671</t>
  </si>
  <si>
    <t>SRAC-SAw</t>
  </si>
  <si>
    <t>R11098527</t>
  </si>
  <si>
    <t>1359 SW 21st Terrace</t>
  </si>
  <si>
    <t>F10517299</t>
  </si>
  <si>
    <t>A11887948</t>
  </si>
  <si>
    <t>F10532075</t>
  </si>
  <si>
    <t>A11771376</t>
  </si>
  <si>
    <t>Yes</t>
  </si>
  <si>
    <t>R-1</t>
  </si>
  <si>
    <t>F10486633</t>
  </si>
  <si>
    <t>LI</t>
  </si>
  <si>
    <t>F10484176</t>
  </si>
  <si>
    <t>NWRAC-MUne</t>
  </si>
  <si>
    <t>F10451956</t>
  </si>
  <si>
    <t>F10468256</t>
  </si>
  <si>
    <t>RO</t>
  </si>
  <si>
    <t>F10489400</t>
  </si>
  <si>
    <t>NWRAC-MUW</t>
  </si>
  <si>
    <t>A11859675</t>
  </si>
  <si>
    <t>F10469034</t>
  </si>
  <si>
    <t>ROSC-2</t>
  </si>
  <si>
    <t>F10479444</t>
  </si>
  <si>
    <t>A11710589</t>
  </si>
  <si>
    <t>IM-3</t>
  </si>
  <si>
    <t>A11819826</t>
  </si>
  <si>
    <t>F10505483</t>
  </si>
  <si>
    <t>F10460731</t>
  </si>
  <si>
    <t>RAC-SMU</t>
  </si>
  <si>
    <t>R11089663</t>
  </si>
  <si>
    <t>626 NW 10th Terrace Unit#1-5</t>
  </si>
  <si>
    <t>A11538174</t>
  </si>
  <si>
    <t>2455 E Sunrise Blvd Unit#CU11A</t>
  </si>
  <si>
    <t>F10470263</t>
  </si>
  <si>
    <t>548 32nd Street Unit#548</t>
  </si>
  <si>
    <t>A11954137</t>
  </si>
  <si>
    <t>A11770215</t>
  </si>
  <si>
    <t>RAC-RPO</t>
  </si>
  <si>
    <t>F10485692</t>
  </si>
  <si>
    <t>F10435691</t>
  </si>
  <si>
    <t>R11123080</t>
  </si>
  <si>
    <t>412 SE 23 Street</t>
  </si>
  <si>
    <t>A11690352</t>
  </si>
  <si>
    <t>A11782606</t>
  </si>
  <si>
    <t>F10481226</t>
  </si>
  <si>
    <t>2011 W State Road 84 Unit#218-1</t>
  </si>
  <si>
    <t>PUD</t>
  </si>
  <si>
    <t>A11923553</t>
  </si>
  <si>
    <t>A11562261</t>
  </si>
  <si>
    <t>2011 W State Road 84 Unit#212-1</t>
  </si>
  <si>
    <t>A11562239</t>
  </si>
  <si>
    <t>2011 W State Road 84 Unit#210-1</t>
  </si>
  <si>
    <t>A11775992</t>
  </si>
  <si>
    <t>F10521525</t>
  </si>
  <si>
    <t>F10425450</t>
  </si>
  <si>
    <t>F10463044</t>
  </si>
  <si>
    <t>1801 SE 17th Street</t>
  </si>
  <si>
    <t>0</t>
  </si>
  <si>
    <t>A11696069</t>
  </si>
  <si>
    <t>1400 E Oakland Park Blvd Unit#108</t>
  </si>
  <si>
    <t>F10483757</t>
  </si>
  <si>
    <t>A11727327</t>
  </si>
  <si>
    <t>Lease</t>
  </si>
  <si>
    <t>A11617243</t>
  </si>
  <si>
    <t>728 NW 9th Ave</t>
  </si>
  <si>
    <t>A12018855</t>
  </si>
  <si>
    <t>100 E OAKLAND PARK BLVD Unit#100</t>
  </si>
  <si>
    <t>A11732635</t>
  </si>
  <si>
    <t>3296 NW 9th Ave</t>
  </si>
  <si>
    <t>PRZD</t>
  </si>
  <si>
    <t>A11808816</t>
  </si>
  <si>
    <t>1318 SE 2nd Ave</t>
  </si>
  <si>
    <t>A11968233</t>
  </si>
  <si>
    <t>2727 E Oakland Park Blvd Unit#100</t>
  </si>
  <si>
    <t>A11989969</t>
  </si>
  <si>
    <t>809-813 NW 1st St</t>
  </si>
  <si>
    <t>A11606299</t>
  </si>
  <si>
    <t>A11643838</t>
  </si>
  <si>
    <t>200 SW 25th St Unit#200</t>
  </si>
  <si>
    <t>A11937859</t>
  </si>
  <si>
    <t>2740 E Oakland Park Blvd Unit#205</t>
  </si>
  <si>
    <t>A11782064</t>
  </si>
  <si>
    <t>1053 SE 17th St</t>
  </si>
  <si>
    <t>A11949542</t>
  </si>
  <si>
    <t>801 E Oakland Park Blvd</t>
  </si>
  <si>
    <t>A11831163</t>
  </si>
  <si>
    <t>A11763612</t>
  </si>
  <si>
    <t>1301 SW 1st Ave</t>
  </si>
  <si>
    <t>A11641387</t>
  </si>
  <si>
    <t>2011 W State Road 84 Unit#320-3</t>
  </si>
  <si>
    <t>A11619644</t>
  </si>
  <si>
    <t>2011 W State Road 84 Unit#230-2</t>
  </si>
  <si>
    <t>A11956734</t>
  </si>
  <si>
    <t>200 SE 19th St</t>
  </si>
  <si>
    <t>Area 3080</t>
  </si>
  <si>
    <t>A11757981</t>
  </si>
  <si>
    <t>2215 S Federal Hwy</t>
  </si>
  <si>
    <t>A11676550</t>
  </si>
  <si>
    <t>720 NW 4th St</t>
  </si>
  <si>
    <t>A11614871</t>
  </si>
  <si>
    <t>1255 N flagler</t>
  </si>
  <si>
    <t>A11872397</t>
  </si>
  <si>
    <t>R11051189</t>
  </si>
  <si>
    <t>2631 E Oakland Park Boulevard Unit#205</t>
  </si>
  <si>
    <t>A11795232</t>
  </si>
  <si>
    <t>3225 N Andrews Ave Unit#B</t>
  </si>
  <si>
    <t>A11723402</t>
  </si>
  <si>
    <t>2400 E Oakland Park Blvd Unit#201</t>
  </si>
  <si>
    <t>A11512783</t>
  </si>
  <si>
    <t>1995 E Oakland Park Blvd Unit#300</t>
  </si>
  <si>
    <t>A11666061</t>
  </si>
  <si>
    <t>825 NE 11th St</t>
  </si>
  <si>
    <t>A11832302</t>
  </si>
  <si>
    <t>2691 E Oakland Park Blvd Unit#300</t>
  </si>
  <si>
    <t>A11615002</t>
  </si>
  <si>
    <t>A11661989</t>
  </si>
  <si>
    <t>1026-1030 NW 9th Ave</t>
  </si>
  <si>
    <t>A12029709</t>
  </si>
  <si>
    <t>150 SE 12th St Unit#300</t>
  </si>
  <si>
    <t>A11808055</t>
  </si>
  <si>
    <t>563 W OAKLAND PARK BLVD</t>
  </si>
  <si>
    <t>Area 3550</t>
  </si>
  <si>
    <t>A11621153</t>
  </si>
  <si>
    <t>A11617870</t>
  </si>
  <si>
    <t>2691 E Oakland Park Blvd Unit#304</t>
  </si>
  <si>
    <t>A12016169</t>
  </si>
  <si>
    <t>2740 E Oakland Park Blvd Unit#206</t>
  </si>
  <si>
    <t>A11847445</t>
  </si>
  <si>
    <t>1222 S Andrews Ave Unit#503</t>
  </si>
  <si>
    <t>SRAC-SAe</t>
  </si>
  <si>
    <t>A11921071</t>
  </si>
  <si>
    <t>24 East Oakland Park Boulevard Unit#24</t>
  </si>
  <si>
    <t>A11787994</t>
  </si>
  <si>
    <t>1040-52 E Oakland Park Blvd Unit#1043</t>
  </si>
  <si>
    <t>MR</t>
  </si>
  <si>
    <t>A11723068</t>
  </si>
  <si>
    <t>287 NE 31st St</t>
  </si>
  <si>
    <t>R11051181</t>
  </si>
  <si>
    <t>2631 E Oakland Park Boulevard Unit#106</t>
  </si>
  <si>
    <t>A12041060</t>
  </si>
  <si>
    <t>800 SE 3rd Ave Unit#4 -S</t>
  </si>
  <si>
    <t>A11831962</t>
  </si>
  <si>
    <t>A11933824</t>
  </si>
  <si>
    <t>2727 E Oakland Park Blvd Unit#103</t>
  </si>
  <si>
    <t>A11621187</t>
  </si>
  <si>
    <t>150 SE 12th St Unit#101-3</t>
  </si>
  <si>
    <t>A11686039</t>
  </si>
  <si>
    <t>150 SE 12th St Unit#101-1</t>
  </si>
  <si>
    <t>A11832493</t>
  </si>
  <si>
    <t>150 SE 12th St Unit#201-3</t>
  </si>
  <si>
    <t>A11832277</t>
  </si>
  <si>
    <t>2691 E Oakland Park Blvd Unit#203D</t>
  </si>
  <si>
    <t>A11832262</t>
  </si>
  <si>
    <t>2691 E Oakland Park Blvd Unit#203A</t>
  </si>
  <si>
    <t>A11832486</t>
  </si>
  <si>
    <t>150 SE 12th St Unit#201-2</t>
  </si>
  <si>
    <t>A11832483</t>
  </si>
  <si>
    <t>150 SE 12th St Unit#101-</t>
  </si>
  <si>
    <t>A11832478</t>
  </si>
  <si>
    <t>150 SE 12th St Unit#101</t>
  </si>
  <si>
    <t>A11737969</t>
  </si>
  <si>
    <t>A11830049</t>
  </si>
  <si>
    <t>101 NE 3rd Ave</t>
  </si>
  <si>
    <t>A11596374</t>
  </si>
  <si>
    <t>A11998799</t>
  </si>
  <si>
    <t>2866 E Oakland Park Blvd</t>
  </si>
  <si>
    <t>A11689903</t>
  </si>
  <si>
    <t>79-199 E Oakland Park Blvd Unit#179-189</t>
  </si>
  <si>
    <t>A11514713</t>
  </si>
  <si>
    <t>200 S Andrews Ave Unit#500</t>
  </si>
  <si>
    <t>A11865029</t>
  </si>
  <si>
    <t>1217 E Broward Blvd</t>
  </si>
  <si>
    <t>A11807268</t>
  </si>
  <si>
    <t>2810 E Oakland Park Blvd Unit#305</t>
  </si>
  <si>
    <t>A11504856</t>
  </si>
  <si>
    <t>216 NE 33rd St Unit#240 F</t>
  </si>
  <si>
    <t>Area 3740</t>
  </si>
  <si>
    <t>I-1</t>
  </si>
  <si>
    <t>A11975059</t>
  </si>
  <si>
    <t>119 E Oakland Park Blvd Unit#119</t>
  </si>
  <si>
    <t>Area 3670</t>
  </si>
  <si>
    <t>A11975002</t>
  </si>
  <si>
    <t>165 E Oakland Park Blvd Unit#165</t>
  </si>
  <si>
    <t>Area 3770</t>
  </si>
  <si>
    <t>A11806751</t>
  </si>
  <si>
    <t>901 NW 11th Ave</t>
  </si>
  <si>
    <t>A11598131</t>
  </si>
  <si>
    <t>101 NE 3rd Ave Unit#1500</t>
  </si>
  <si>
    <t>A12040868</t>
  </si>
  <si>
    <t>A12003177</t>
  </si>
  <si>
    <t>901 NW 11th Ave Unit#1-2, 7-9, 15</t>
  </si>
  <si>
    <t>F10541001</t>
  </si>
  <si>
    <t>B26017874</t>
  </si>
  <si>
    <t>936 NW 1st Street</t>
  </si>
  <si>
    <t>F10546000</t>
  </si>
  <si>
    <t>F10455534</t>
  </si>
  <si>
    <t>S-L-A</t>
  </si>
  <si>
    <t>F10447470</t>
  </si>
  <si>
    <t>ROC</t>
  </si>
  <si>
    <t>A11979422</t>
  </si>
  <si>
    <t>A11831403</t>
  </si>
  <si>
    <t>B26021365</t>
  </si>
  <si>
    <t>F10382163</t>
  </si>
  <si>
    <t>A11841391</t>
  </si>
  <si>
    <t>A11941918</t>
  </si>
  <si>
    <t>F10540017</t>
  </si>
  <si>
    <t>F10473738</t>
  </si>
  <si>
    <t>441 NE 3 Unit#206</t>
  </si>
  <si>
    <t>B26007016</t>
  </si>
  <si>
    <t>307 SW 5th Street</t>
  </si>
  <si>
    <t>F10530725</t>
  </si>
  <si>
    <t>1101 NE 8th Avenue</t>
  </si>
  <si>
    <t>A11911232</t>
  </si>
  <si>
    <t>809 NW 1st St</t>
  </si>
  <si>
    <t>B26013550</t>
  </si>
  <si>
    <t>841 N Fort Lauderdale Beach Boulevard</t>
  </si>
  <si>
    <t>SLA</t>
  </si>
  <si>
    <t>B26027512</t>
  </si>
  <si>
    <t>B26019308</t>
  </si>
  <si>
    <t>901 S Andrews Avenue</t>
  </si>
  <si>
    <t>B26019377</t>
  </si>
  <si>
    <t>3134 NE 9th Street</t>
  </si>
  <si>
    <t>A12052897</t>
  </si>
  <si>
    <t>RM-12</t>
  </si>
  <si>
    <t>B26041866</t>
  </si>
  <si>
    <t>1471 NE 26th Street</t>
  </si>
  <si>
    <t>TOC EAST</t>
  </si>
  <si>
    <t>A11967447</t>
  </si>
  <si>
    <t>F10506416</t>
  </si>
  <si>
    <t>B26048153</t>
  </si>
  <si>
    <t>3000 N Federal Highway</t>
  </si>
  <si>
    <t>F10506407</t>
  </si>
  <si>
    <t>F10547944</t>
  </si>
  <si>
    <t>F10500865</t>
  </si>
  <si>
    <t>R11142630</t>
  </si>
  <si>
    <t>811 SE 16th Street</t>
  </si>
  <si>
    <t>B26019243</t>
  </si>
  <si>
    <t>853 N Fort Lauderdale Beach Boulevard</t>
  </si>
  <si>
    <t>F10556402</t>
  </si>
  <si>
    <t>F10513768</t>
  </si>
  <si>
    <t>F10513760</t>
  </si>
  <si>
    <t>A11879773</t>
  </si>
  <si>
    <t>B26019024</t>
  </si>
  <si>
    <t>625-631 S Andrews Avenue</t>
  </si>
  <si>
    <t>A11922150</t>
  </si>
  <si>
    <t>A11960453</t>
  </si>
  <si>
    <t>R11142640</t>
  </si>
  <si>
    <t>105 NE 16th Terrace</t>
  </si>
  <si>
    <t>A11966949</t>
  </si>
  <si>
    <t>F10391933</t>
  </si>
  <si>
    <t>tocw</t>
  </si>
  <si>
    <t>A11965191</t>
  </si>
  <si>
    <t>200 E Andrews Ave Unit#300</t>
  </si>
  <si>
    <t>F10502298</t>
  </si>
  <si>
    <t>B26004494</t>
  </si>
  <si>
    <t>B26052973</t>
  </si>
  <si>
    <t>1301 NE 16TH Terrace Unit#1-9</t>
  </si>
  <si>
    <t>F10536144</t>
  </si>
  <si>
    <t>F10551939</t>
  </si>
  <si>
    <t>RD-15</t>
  </si>
  <si>
    <t>F10554980</t>
  </si>
  <si>
    <t>B26054776</t>
  </si>
  <si>
    <t>2206 NE 26TH</t>
  </si>
  <si>
    <t>B26031058</t>
  </si>
  <si>
    <t>806 NE 16th Place Unit#1-8</t>
  </si>
  <si>
    <t>A11947999</t>
  </si>
  <si>
    <t>F10550621</t>
  </si>
  <si>
    <t>A11923542</t>
  </si>
  <si>
    <t>B26028545</t>
  </si>
  <si>
    <t>1325/1329/1333 NE 5th Terrace Unit#1</t>
  </si>
  <si>
    <t>A11948614</t>
  </si>
  <si>
    <t>RCS-15</t>
  </si>
  <si>
    <t>F10532006</t>
  </si>
  <si>
    <t>R11160213</t>
  </si>
  <si>
    <t>825 NE 6th Street Unit#1-7</t>
  </si>
  <si>
    <t>A12031317</t>
  </si>
  <si>
    <t>B26044278</t>
  </si>
  <si>
    <t>602 SW 12th Avenue</t>
  </si>
  <si>
    <t>RS-8</t>
  </si>
  <si>
    <t>B26014252</t>
  </si>
  <si>
    <t>720 NE 3rd</t>
  </si>
  <si>
    <t>A12016794</t>
  </si>
  <si>
    <t>A12023882</t>
  </si>
  <si>
    <t>F10522666</t>
  </si>
  <si>
    <t>B26021514</t>
  </si>
  <si>
    <t>435 NW 7th Avenue</t>
  </si>
  <si>
    <t>NWRAC-MUw</t>
  </si>
  <si>
    <t>B26035857</t>
  </si>
  <si>
    <t>540 NW 20th Avenue</t>
  </si>
  <si>
    <t>F10435807</t>
  </si>
  <si>
    <t>RAC-AS</t>
  </si>
  <si>
    <t>A12031212</t>
  </si>
  <si>
    <t>200 S Andrews Ave Unit#302-303</t>
  </si>
  <si>
    <t>A12030525</t>
  </si>
  <si>
    <t>200 S Andrews Ave Unit#300-301</t>
  </si>
  <si>
    <t>A11851609</t>
  </si>
  <si>
    <t>A11993577</t>
  </si>
  <si>
    <t>A12045322</t>
  </si>
  <si>
    <t>B26019252</t>
  </si>
  <si>
    <t>917 N Fort Lauderdale Beach Boulevard</t>
  </si>
  <si>
    <t>A11941319</t>
  </si>
  <si>
    <t>2301 Wilton Dr Unit#C5</t>
  </si>
  <si>
    <t>B26041815</t>
  </si>
  <si>
    <t>103 NE 4th Street</t>
  </si>
  <si>
    <t>F10546525</t>
  </si>
  <si>
    <t>B26010834</t>
  </si>
  <si>
    <t>2633 Middle River Drive Unit#1-6</t>
  </si>
  <si>
    <t>A11978741</t>
  </si>
  <si>
    <t>R-2</t>
  </si>
  <si>
    <t>F10552058</t>
  </si>
  <si>
    <t>A12004590</t>
  </si>
  <si>
    <t>A12029539</t>
  </si>
  <si>
    <t>A12026724</t>
  </si>
  <si>
    <t>F10532172</t>
  </si>
  <si>
    <t>MIXED USE COMM</t>
  </si>
  <si>
    <t>F10555318</t>
  </si>
  <si>
    <t>812 NE 15 Avenue</t>
  </si>
  <si>
    <t>A11911133</t>
  </si>
  <si>
    <t>A12026991</t>
  </si>
  <si>
    <t>F10503436</t>
  </si>
  <si>
    <t>3045 N Federal Highway Unit#50</t>
  </si>
  <si>
    <t>B26017087</t>
  </si>
  <si>
    <t>2165 NW 19th Street</t>
  </si>
  <si>
    <t>F10550299</t>
  </si>
  <si>
    <t>17</t>
  </si>
  <si>
    <t>A12048692</t>
  </si>
  <si>
    <t>A11992794</t>
  </si>
  <si>
    <t>B26033810</t>
  </si>
  <si>
    <t>1219 NE 5th Terrace Unit#1-2</t>
  </si>
  <si>
    <t>A11865042</t>
  </si>
  <si>
    <t>F10541521</t>
  </si>
  <si>
    <t>F10554850</t>
  </si>
  <si>
    <t>2455 E Sunrise Boulevard</t>
  </si>
  <si>
    <t>A11953210</t>
  </si>
  <si>
    <t>B26042261</t>
  </si>
  <si>
    <t>2455 E Sunrise Boulevard Unit#801</t>
  </si>
  <si>
    <t>B26042257</t>
  </si>
  <si>
    <t>2455 E Sunrise Boulevard Unit#802</t>
  </si>
  <si>
    <t>B26002784</t>
  </si>
  <si>
    <t>3015 N Ocean Boulevard Unit#C122</t>
  </si>
  <si>
    <t>B26025000</t>
  </si>
  <si>
    <t>3015 N Ocean Boulevard Unit#C109a</t>
  </si>
  <si>
    <t>F10551345</t>
  </si>
  <si>
    <t>3015 N Ocean Boulevard Unit#C-125</t>
  </si>
  <si>
    <t>F10536326</t>
  </si>
  <si>
    <t>3015 N Ocean Unit#C-3</t>
  </si>
  <si>
    <t>mixed</t>
  </si>
  <si>
    <t>F10538016</t>
  </si>
  <si>
    <t>2050 E Oakland Park Boulevard</t>
  </si>
  <si>
    <t>F10550891</t>
  </si>
  <si>
    <t>A12015540</t>
  </si>
  <si>
    <t>201 SW 1st Ave Unit#145</t>
  </si>
  <si>
    <t>F10538013</t>
  </si>
  <si>
    <t>3315 E Oakland Park Boulevard</t>
  </si>
  <si>
    <t>A11811326</t>
  </si>
  <si>
    <t>1226 NW 23rd Ave</t>
  </si>
  <si>
    <t>B26041396</t>
  </si>
  <si>
    <t>815 NE 13th Street Unit#(combined, A+b)</t>
  </si>
  <si>
    <t>F10551820</t>
  </si>
  <si>
    <t>1130 Bayview Drive</t>
  </si>
  <si>
    <t>RS-4.4</t>
  </si>
  <si>
    <t>B26041421</t>
  </si>
  <si>
    <t>815 NE 13th Street Unit#Rear</t>
  </si>
  <si>
    <t>A11910237</t>
  </si>
  <si>
    <t>B26041406</t>
  </si>
  <si>
    <t>815 NE 13th Street Unit#Front</t>
  </si>
  <si>
    <t>A12014178</t>
  </si>
  <si>
    <t>721 NE 3rd Ave Unit#A</t>
  </si>
  <si>
    <t>B26016137</t>
  </si>
  <si>
    <t>3333 N Federal Highway Unit#Unit A</t>
  </si>
  <si>
    <t>F10524505</t>
  </si>
  <si>
    <t>21 W Las Olas Boulevard</t>
  </si>
  <si>
    <t>A12020538</t>
  </si>
  <si>
    <t>B26036365</t>
  </si>
  <si>
    <t>2888 E Oakland Park Boulevard Unit#101</t>
  </si>
  <si>
    <t>Com Business</t>
  </si>
  <si>
    <t>A11933690</t>
  </si>
  <si>
    <t>2740 E Oakland Park Blvd Unit#300</t>
  </si>
  <si>
    <t>A12016176</t>
  </si>
  <si>
    <t>2740 E Oakland Park Blvd Unit#207</t>
  </si>
  <si>
    <t>F10532951</t>
  </si>
  <si>
    <t>1527 NE 4th Avenue</t>
  </si>
  <si>
    <t>F10549437</t>
  </si>
  <si>
    <t>888 E Oakland Park Boulevard</t>
  </si>
  <si>
    <t>B26010101</t>
  </si>
  <si>
    <t>713 NW 6th Avenue</t>
  </si>
  <si>
    <t>A11950492</t>
  </si>
  <si>
    <t>2233 S Federal Hwy Unit#2223</t>
  </si>
  <si>
    <t>A11968260</t>
  </si>
  <si>
    <t>2727 E Oakland Park Blvd Unit#200</t>
  </si>
  <si>
    <t>A12016150</t>
  </si>
  <si>
    <t>2727 E Oakland Park Blvd Unit#305</t>
  </si>
  <si>
    <t>B26023971</t>
  </si>
  <si>
    <t>1881 NE 26th Street Unit#80</t>
  </si>
  <si>
    <t>F10548079</t>
  </si>
  <si>
    <t>1790 N Andrews Square</t>
  </si>
  <si>
    <t>F10549258</t>
  </si>
  <si>
    <t>1732 NE 26th Street Unit#202</t>
  </si>
  <si>
    <t>A11894670</t>
  </si>
  <si>
    <t>2727 E Oakland Park Blvd Unit#203</t>
  </si>
  <si>
    <t>F10556440</t>
  </si>
  <si>
    <t>2315 N Andrews Avenue Unit#2315</t>
  </si>
  <si>
    <t>A12013293</t>
  </si>
  <si>
    <t>2406 E Oakland Park Blvd</t>
  </si>
  <si>
    <t>F10556048</t>
  </si>
  <si>
    <t>3038 N Federal Highway Unit#1st Floor</t>
  </si>
  <si>
    <t>F10556046</t>
  </si>
  <si>
    <t>3020 N Federal Highway Unit#6</t>
  </si>
  <si>
    <t>B26044721</t>
  </si>
  <si>
    <t>2631 E Oakland Park Boulevard Unit#110</t>
  </si>
  <si>
    <t>A12016185</t>
  </si>
  <si>
    <t>2740 E Oakland Park Blvd Unit#208</t>
  </si>
  <si>
    <t>A12042840</t>
  </si>
  <si>
    <t>B26044568</t>
  </si>
  <si>
    <t>441 NE 5th Avenue Unit#5</t>
  </si>
  <si>
    <t>Area 5940 Florida Other</t>
  </si>
  <si>
    <t>B26028601</t>
  </si>
  <si>
    <t>B26016896</t>
  </si>
  <si>
    <t>A11926557</t>
  </si>
  <si>
    <t>2727 E Oakland Park Blvd Unit#303</t>
  </si>
  <si>
    <t>A12001900</t>
  </si>
  <si>
    <t>2429 Davie Blvd Unit#Unit 2</t>
  </si>
  <si>
    <t>F10556047</t>
  </si>
  <si>
    <t>3020 N Federal Highway Unit#6 - 2nd FLOOR</t>
  </si>
  <si>
    <t>F10522889</t>
  </si>
  <si>
    <t>1231 NE 8th Avenue</t>
  </si>
  <si>
    <t>A11771440</t>
  </si>
  <si>
    <t>515 W Oakland Park Blvd</t>
  </si>
  <si>
    <t>A11907987</t>
  </si>
  <si>
    <t>A11958276</t>
  </si>
  <si>
    <t>200 S Andrews Ave Unit#102</t>
  </si>
  <si>
    <t>B26044047</t>
  </si>
  <si>
    <t>1596 Cordova Road</t>
  </si>
  <si>
    <t>A12034670</t>
  </si>
  <si>
    <t>44 E OAKLAND PARK BLVD Unit#44</t>
  </si>
  <si>
    <t>B-2 - CENTRAL BUSINE</t>
  </si>
  <si>
    <t>R11127830</t>
  </si>
  <si>
    <t>R11127782</t>
  </si>
  <si>
    <t>F10517025</t>
  </si>
  <si>
    <t>300 SW Himmarshee Street Unit#8</t>
  </si>
  <si>
    <t>B26038226</t>
  </si>
  <si>
    <t>289 E Oakland Park Boulevard Unit#287</t>
  </si>
  <si>
    <t>B26038220</t>
  </si>
  <si>
    <t>287 E Oakland Park Boulevard</t>
  </si>
  <si>
    <t>A11900437</t>
  </si>
  <si>
    <t>2727 E Oakland Park Blvd Unit#300</t>
  </si>
  <si>
    <t>B26044154</t>
  </si>
  <si>
    <t>720 NE 3rd Avenue Unit#720</t>
  </si>
  <si>
    <t>B26035188</t>
  </si>
  <si>
    <t>832 NW 1st Street</t>
  </si>
  <si>
    <t>A11901212</t>
  </si>
  <si>
    <t>2727 E Oakland Park Blvd Unit#304</t>
  </si>
  <si>
    <t>B26044611</t>
  </si>
  <si>
    <t>2631 E Oakland Park Boulevard Unit#105b</t>
  </si>
  <si>
    <t>F10554854</t>
  </si>
  <si>
    <t>3020 N Federal Highway Unit#3-4</t>
  </si>
  <si>
    <t>A12042858</t>
  </si>
  <si>
    <t>B26008176</t>
  </si>
  <si>
    <t>825 NE 11th Street Unit#2</t>
  </si>
  <si>
    <t>F10556049</t>
  </si>
  <si>
    <t>3038 N Federal Highway Unit#E - 2nd FL Office</t>
  </si>
  <si>
    <t>F10530498</t>
  </si>
  <si>
    <t>2400 E Oakland Park Boulevard</t>
  </si>
  <si>
    <t>A12031157</t>
  </si>
  <si>
    <t>2691 E Oakland Park Blvd Unit#203B</t>
  </si>
  <si>
    <t>A12022526</t>
  </si>
  <si>
    <t>B26046281</t>
  </si>
  <si>
    <t>300 Hendricks Isle</t>
  </si>
  <si>
    <t>A12041312</t>
  </si>
  <si>
    <t>A11844944</t>
  </si>
  <si>
    <t>2933 E Las Olas Blvd</t>
  </si>
  <si>
    <t>PRD</t>
  </si>
  <si>
    <t>A11971258</t>
  </si>
  <si>
    <t>2300 NE 6th Ave</t>
  </si>
  <si>
    <t>B26015863</t>
  </si>
  <si>
    <t>3201 N Federal Highway Unit#100</t>
  </si>
  <si>
    <t>F10522678</t>
  </si>
  <si>
    <t>2217 Wilton Drive Unit#2217</t>
  </si>
  <si>
    <t>A &amp; E DISTRICT</t>
  </si>
  <si>
    <t>A12046047</t>
  </si>
  <si>
    <t>721 NE 3rd Ave</t>
  </si>
  <si>
    <t>A12030462</t>
  </si>
  <si>
    <t>B26013807</t>
  </si>
  <si>
    <t>3101 N Federal Highway Unit#800</t>
  </si>
  <si>
    <t>F10493990</t>
  </si>
  <si>
    <t>1948 E Sunrise Boulevard</t>
  </si>
  <si>
    <t>F10486226</t>
  </si>
  <si>
    <t>821 N Federal Highway</t>
  </si>
  <si>
    <t>B26003399</t>
  </si>
  <si>
    <t>100 SE 6th Street</t>
  </si>
  <si>
    <t>B26014032</t>
  </si>
  <si>
    <t>3101 N Federal Highway Unit#202</t>
  </si>
  <si>
    <t>B26013773</t>
  </si>
  <si>
    <t>3101 N Federal Highway Unit#700</t>
  </si>
  <si>
    <t>A12018487</t>
  </si>
  <si>
    <t>B26040389</t>
  </si>
  <si>
    <t>441 NW 1st Avenue</t>
  </si>
  <si>
    <t>A11998806</t>
  </si>
  <si>
    <t>2876 E Oakland Park Blvd</t>
  </si>
  <si>
    <t>A11998773</t>
  </si>
  <si>
    <t>2856 E Oakland Park Blvd</t>
  </si>
  <si>
    <t>F10530751</t>
  </si>
  <si>
    <t>2101 N Andrews Avenue</t>
  </si>
  <si>
    <t>B26048696</t>
  </si>
  <si>
    <t>2208 NE 26th Avenue Unit#A</t>
  </si>
  <si>
    <t>B26014944</t>
  </si>
  <si>
    <t>2301 NE 26th Street Unit#A-b-c</t>
  </si>
  <si>
    <t>B26044281</t>
  </si>
  <si>
    <t>F10522748</t>
  </si>
  <si>
    <t>642 NE 3rd Avenue</t>
  </si>
  <si>
    <t>B26042077</t>
  </si>
  <si>
    <t>643 N Andrews Avenue</t>
  </si>
  <si>
    <t>F10549143</t>
  </si>
  <si>
    <t>1400 E Oakland Park Boulevard Unit#103</t>
  </si>
  <si>
    <t>F10523069</t>
  </si>
  <si>
    <t>1330 SE 4th Avenue Unit#F</t>
  </si>
  <si>
    <t>F10487620</t>
  </si>
  <si>
    <t>707 NE 3rd Avenue</t>
  </si>
  <si>
    <t>F10550186</t>
  </si>
  <si>
    <t>2150 S Andrews Avenue</t>
  </si>
  <si>
    <t>B26038881</t>
  </si>
  <si>
    <t>429 NW 1st Avenue</t>
  </si>
  <si>
    <t>F10472004</t>
  </si>
  <si>
    <t>3045 N Federal Highway Unit#60H</t>
  </si>
  <si>
    <t>A12019845</t>
  </si>
  <si>
    <t>1395 W Sunrise Blvd</t>
  </si>
  <si>
    <t>A11874384</t>
  </si>
  <si>
    <t>1512 NE 4th Ave</t>
  </si>
  <si>
    <t>A12017741</t>
  </si>
  <si>
    <t>2429 Davie Blvd Unit#Unit 1</t>
  </si>
  <si>
    <t>F10498745</t>
  </si>
  <si>
    <t>910 SE 17th Street</t>
  </si>
  <si>
    <t>F10493993</t>
  </si>
  <si>
    <t>915 NE 20th Unit#1</t>
  </si>
  <si>
    <t>B26013594</t>
  </si>
  <si>
    <t>777 E Oakland Park Boulevard</t>
  </si>
  <si>
    <t>A12048526</t>
  </si>
  <si>
    <t>A12027577</t>
  </si>
  <si>
    <t>A12027389</t>
  </si>
  <si>
    <t>A11965243</t>
  </si>
  <si>
    <t>200 S Andrews Ave Unit#300</t>
  </si>
  <si>
    <t>A12032885</t>
  </si>
  <si>
    <t>A11974673</t>
  </si>
  <si>
    <t>89-99 E Oakland Park Blvd Unit#89-99</t>
  </si>
  <si>
    <t>F10550164</t>
  </si>
  <si>
    <t>1100 NE 5th Terrace</t>
  </si>
  <si>
    <t>A11420510</t>
  </si>
  <si>
    <t>1975 E SUNRISE BLVD Unit#various</t>
  </si>
  <si>
    <t>OFFICE</t>
  </si>
  <si>
    <t>B26046253</t>
  </si>
  <si>
    <t>1600 NE 12th Terrace</t>
  </si>
  <si>
    <t>A12009452</t>
  </si>
  <si>
    <t>806 NW 8th Ave</t>
  </si>
  <si>
    <t>A12031126</t>
  </si>
  <si>
    <t>1207 SW 1st Ave</t>
  </si>
  <si>
    <t>A11915657</t>
  </si>
  <si>
    <t>Area 3590</t>
  </si>
  <si>
    <t>F10525613</t>
  </si>
  <si>
    <t>3046 NE 12th Terrace</t>
  </si>
  <si>
    <t>Area 3332</t>
  </si>
  <si>
    <t>Rented</t>
  </si>
  <si>
    <t>WF</t>
  </si>
  <si>
    <t>F10484007</t>
  </si>
  <si>
    <t>F10465119</t>
  </si>
  <si>
    <t>2500 N Federal Highway</t>
  </si>
  <si>
    <t>F10461760</t>
  </si>
  <si>
    <t>12 NE 12th Avenue</t>
  </si>
  <si>
    <t>B26030015</t>
  </si>
  <si>
    <t>1501 NE 4th Avenue</t>
  </si>
  <si>
    <t>F10437712</t>
  </si>
  <si>
    <t>441-443 SW 5th Street</t>
  </si>
  <si>
    <t>F10484169</t>
  </si>
  <si>
    <t>1160 NE 24th Court</t>
  </si>
  <si>
    <t>TOC SOUTH</t>
  </si>
  <si>
    <t>F10497367</t>
  </si>
  <si>
    <t>124 NE 32nd Court</t>
  </si>
  <si>
    <t>F10436885</t>
  </si>
  <si>
    <t>F10497691</t>
  </si>
  <si>
    <t>1053 SE 17th Street</t>
  </si>
  <si>
    <t>F10495750</t>
  </si>
  <si>
    <t>1167 NE 24th Street Unit#West Unit</t>
  </si>
  <si>
    <t>TOC S</t>
  </si>
  <si>
    <t>F10496260</t>
  </si>
  <si>
    <t>808 NE 20th Avenue</t>
  </si>
  <si>
    <t>F10495557</t>
  </si>
  <si>
    <t>2550 NE 15th Avenue Unit#2550</t>
  </si>
  <si>
    <t>F10440727</t>
  </si>
  <si>
    <t>1200 NE 7th Avenue Unit#3</t>
  </si>
  <si>
    <t>F10501655</t>
  </si>
  <si>
    <t>900 S Andrews Avenue</t>
  </si>
  <si>
    <t>F10446447</t>
  </si>
  <si>
    <t>503 SW 5th Avenue</t>
  </si>
  <si>
    <t>F10463702</t>
  </si>
  <si>
    <t>802 NW 10th Terrace Unit#Bay # 2</t>
  </si>
  <si>
    <t>F10542917</t>
  </si>
  <si>
    <t>306 E Oakland Park Boulevard</t>
  </si>
  <si>
    <t>F10451046</t>
  </si>
  <si>
    <t>400 E Oakland Park Boulevard Unit#404</t>
  </si>
  <si>
    <t>F10431163</t>
  </si>
  <si>
    <t>F10497425</t>
  </si>
  <si>
    <t>201 -207 SW  207 5th Street</t>
  </si>
  <si>
    <t>F10428905</t>
  </si>
  <si>
    <t>F10541766</t>
  </si>
  <si>
    <t>3020 N Federal Highway Unit#12</t>
  </si>
  <si>
    <t>F10454949</t>
  </si>
  <si>
    <t>1400 E Oakland Park Boulevard Unit#111</t>
  </si>
  <si>
    <t>F10463619</t>
  </si>
  <si>
    <t>802 NW 10th Terrace Unit#Bay # 1</t>
  </si>
  <si>
    <t>F10472082</t>
  </si>
  <si>
    <t>914 W State Road 84</t>
  </si>
  <si>
    <t>Area 3020</t>
  </si>
  <si>
    <t>F10471459</t>
  </si>
  <si>
    <t>F10450892</t>
  </si>
  <si>
    <t>3045 N Federal Highway Unit#D</t>
  </si>
  <si>
    <t>F10338284</t>
  </si>
  <si>
    <t>884-B E Oakland Park Boulevard Unit#884-B</t>
  </si>
  <si>
    <t>F10529706</t>
  </si>
  <si>
    <t>3015 N Ocean Boulevard Unit#C116</t>
  </si>
  <si>
    <t>12</t>
  </si>
  <si>
    <t>F10539051</t>
  </si>
  <si>
    <t>2831 E Oakland Park Boulevard Unit#6</t>
  </si>
  <si>
    <t>F10454930</t>
  </si>
  <si>
    <t>1400 E Oakland Park Boulevard Unit#101B</t>
  </si>
  <si>
    <t>F10446515</t>
  </si>
  <si>
    <t>450 NE 5th Avenue Unit#1</t>
  </si>
  <si>
    <t>F10433463</t>
  </si>
  <si>
    <t>2900 E Oakland Park Boulevard Unit#200</t>
  </si>
  <si>
    <t>F10494040</t>
  </si>
  <si>
    <t>2420 N Dixie Highway</t>
  </si>
  <si>
    <t>TOC South</t>
  </si>
  <si>
    <t>F10446614</t>
  </si>
  <si>
    <t>440 NE 4th Avenue Unit#3</t>
  </si>
  <si>
    <t>F10467967</t>
  </si>
  <si>
    <t>2701 E Oakland Park Boulevard Unit#D</t>
  </si>
  <si>
    <t>F10487369</t>
  </si>
  <si>
    <t>3045 N Federal Highway Unit#96</t>
  </si>
  <si>
    <t>F10514747</t>
  </si>
  <si>
    <t>701 SE 32nd Court Unit#204</t>
  </si>
  <si>
    <t>M-1</t>
  </si>
  <si>
    <t>F10475335</t>
  </si>
  <si>
    <t>2701 E Oakland Park Boulevard Unit#C</t>
  </si>
  <si>
    <t>F10480590</t>
  </si>
  <si>
    <t>F10454945</t>
  </si>
  <si>
    <t>1400 E Oakland Park Boulevard Unit#109B</t>
  </si>
  <si>
    <t>F10514282</t>
  </si>
  <si>
    <t>2665 E Oakland Park Boulevard</t>
  </si>
  <si>
    <t>F10527227</t>
  </si>
  <si>
    <t>3000 N Federal Highway Unit#6-7</t>
  </si>
  <si>
    <t>F10514377</t>
  </si>
  <si>
    <t>599 SW 2nd Avenue</t>
  </si>
  <si>
    <t>F10515784</t>
  </si>
  <si>
    <t>2450 NE 13th Avenue</t>
  </si>
  <si>
    <t>F10472786</t>
  </si>
  <si>
    <t>441 NE 3 Unit#208</t>
  </si>
  <si>
    <t>F10505782</t>
  </si>
  <si>
    <t>F10516626</t>
  </si>
  <si>
    <t>2448 NE 13th Avenue</t>
  </si>
  <si>
    <t>B26045139</t>
  </si>
  <si>
    <t>441 NE 3rd Avenue Unit#202</t>
  </si>
  <si>
    <t>F10501834</t>
  </si>
  <si>
    <t>2500 N Federal Highway Unit#200</t>
  </si>
  <si>
    <t>F10498739</t>
  </si>
  <si>
    <t>2542 N Federal Highway</t>
  </si>
  <si>
    <t>F10494001</t>
  </si>
  <si>
    <t>1930 E Sunrise Boulevard Unit#4</t>
  </si>
  <si>
    <t>F10493998</t>
  </si>
  <si>
    <t>1930 E Sunrise Boulevard Unit#9</t>
  </si>
  <si>
    <t>F10503334</t>
  </si>
  <si>
    <t>545 NE 13th Street</t>
  </si>
  <si>
    <t>F10523092</t>
  </si>
  <si>
    <t>907-911 NE 20th</t>
  </si>
  <si>
    <t>F10493994</t>
  </si>
  <si>
    <t>919 NE 20th</t>
  </si>
  <si>
    <t>F10436905</t>
  </si>
  <si>
    <t>F10498150</t>
  </si>
  <si>
    <t>603 NE 13th Street Unit#C</t>
  </si>
  <si>
    <t>F10322336</t>
  </si>
  <si>
    <t>416 SW 1st Avenue</t>
  </si>
  <si>
    <t>F10541322</t>
  </si>
  <si>
    <t>905 Sunrise Lane</t>
  </si>
  <si>
    <t>F10495690</t>
  </si>
  <si>
    <t>801 NE 2nd Avenue Unit#120</t>
  </si>
  <si>
    <t>NW-RAC M</t>
  </si>
  <si>
    <t>F10518243</t>
  </si>
  <si>
    <t>1412 NE 4th Avenue</t>
  </si>
  <si>
    <t>B26006664</t>
  </si>
  <si>
    <t>408 N Andrews Avenue</t>
  </si>
  <si>
    <t>F10537813</t>
  </si>
  <si>
    <t>1800 E Las Olas Boulevard Unit#2nd Floor</t>
  </si>
  <si>
    <t>F10454938</t>
  </si>
  <si>
    <t>F10494025</t>
  </si>
  <si>
    <t>501 NW 7th Avenue</t>
  </si>
  <si>
    <t>F10491644</t>
  </si>
  <si>
    <t>500 SE 15th Street Unit#106</t>
  </si>
  <si>
    <t>F10334215</t>
  </si>
  <si>
    <t>1142 NE 4th Avenue</t>
  </si>
  <si>
    <t>B26019616</t>
  </si>
  <si>
    <t>F10453180</t>
  </si>
  <si>
    <t>F10498993</t>
  </si>
  <si>
    <t>1800 NE 26th Street</t>
  </si>
  <si>
    <t>RS-5</t>
  </si>
  <si>
    <t>F10409244</t>
  </si>
  <si>
    <t>612 NW 9th Avenue Unit#A-E</t>
  </si>
  <si>
    <t>F10523394</t>
  </si>
  <si>
    <t>200 S Andrews Avenue Unit#603</t>
  </si>
  <si>
    <t>F10499339</t>
  </si>
  <si>
    <t>200 S Andrews Avenue Unit#201</t>
  </si>
  <si>
    <t>RAC-CC,MEDICAL</t>
  </si>
  <si>
    <t>F10396947</t>
  </si>
  <si>
    <t>522 NE 33rd Street Unit#541B</t>
  </si>
  <si>
    <t>F10494033</t>
  </si>
  <si>
    <t>F10453622</t>
  </si>
  <si>
    <t>1164 E Oakland Park Boulevard</t>
  </si>
  <si>
    <t>F10487613</t>
  </si>
  <si>
    <t>825 A/B NW A/b 8th Avenue</t>
  </si>
  <si>
    <t>F10461277</t>
  </si>
  <si>
    <t>851-863 NE 30th Court</t>
  </si>
  <si>
    <t>F10452752</t>
  </si>
  <si>
    <t>3200A NE 33rd Street Unit#3200A</t>
  </si>
  <si>
    <t>F10494021</t>
  </si>
  <si>
    <t>540-550 W Sunrise Boulevard Unit#550</t>
  </si>
  <si>
    <t>F10452759</t>
  </si>
  <si>
    <t>3200B NE 32nd Street</t>
  </si>
  <si>
    <t>F10472654</t>
  </si>
  <si>
    <t>161 NE 32 Street</t>
  </si>
  <si>
    <t>A11572479</t>
  </si>
  <si>
    <t>A11665921</t>
  </si>
  <si>
    <t>RMH-25</t>
  </si>
  <si>
    <t>A11842347</t>
  </si>
  <si>
    <t>A11425211</t>
  </si>
  <si>
    <t>F10438219</t>
  </si>
  <si>
    <t>A11698022</t>
  </si>
  <si>
    <t>F10493575</t>
  </si>
  <si>
    <t>F10497615</t>
  </si>
  <si>
    <t>A11594999</t>
  </si>
  <si>
    <t>F10551745</t>
  </si>
  <si>
    <t>3061 N Federal Highway</t>
  </si>
  <si>
    <t>F10486612</t>
  </si>
  <si>
    <t>F10418800</t>
  </si>
  <si>
    <t>200 S Andrews Avenue Unit#3rd floor</t>
  </si>
  <si>
    <t>A11646889</t>
  </si>
  <si>
    <t>F10467536</t>
  </si>
  <si>
    <t>F10499110</t>
  </si>
  <si>
    <t>F10499336</t>
  </si>
  <si>
    <t>F10414807</t>
  </si>
  <si>
    <t>A11823943</t>
  </si>
  <si>
    <t>R11053108</t>
  </si>
  <si>
    <t>A11579197</t>
  </si>
  <si>
    <t>F10396875</t>
  </si>
  <si>
    <t>A11480161</t>
  </si>
  <si>
    <t>F10463127</t>
  </si>
  <si>
    <t>MO</t>
  </si>
  <si>
    <t>F10492389</t>
  </si>
  <si>
    <t>F10418787</t>
  </si>
  <si>
    <t>F10507916</t>
  </si>
  <si>
    <t>820 NE 21st Drive</t>
  </si>
  <si>
    <t>Rs-5</t>
  </si>
  <si>
    <t>F10447022</t>
  </si>
  <si>
    <t>F10544162</t>
  </si>
  <si>
    <t>F10461720</t>
  </si>
  <si>
    <t>A11681312</t>
  </si>
  <si>
    <t>A11652916</t>
  </si>
  <si>
    <t>A11974556</t>
  </si>
  <si>
    <t>F10499337</t>
  </si>
  <si>
    <t>R10987079</t>
  </si>
  <si>
    <t>1021 N Victoria Park Road</t>
  </si>
  <si>
    <t>A11825502</t>
  </si>
  <si>
    <t>A11986634</t>
  </si>
  <si>
    <t>A11610343</t>
  </si>
  <si>
    <t>A11952041</t>
  </si>
  <si>
    <t>R11054030</t>
  </si>
  <si>
    <t>1310 NE 30 Street</t>
  </si>
  <si>
    <t>A11888354</t>
  </si>
  <si>
    <t>A11812059</t>
  </si>
  <si>
    <t>A11977607</t>
  </si>
  <si>
    <t>F10475739</t>
  </si>
  <si>
    <t>301 SE 20th Street</t>
  </si>
  <si>
    <t>F10436370</t>
  </si>
  <si>
    <t>A11794628</t>
  </si>
  <si>
    <t>F10538522</t>
  </si>
  <si>
    <t>608 NE 16th Avenue Unit#1-5</t>
  </si>
  <si>
    <t>A11985417</t>
  </si>
  <si>
    <t>A11806234</t>
  </si>
  <si>
    <t>F10545614</t>
  </si>
  <si>
    <t>F10517843</t>
  </si>
  <si>
    <t>A11592284</t>
  </si>
  <si>
    <t>A11957283</t>
  </si>
  <si>
    <t>A11737941</t>
  </si>
  <si>
    <t>F10540599</t>
  </si>
  <si>
    <t>2455 E Sunrise Boulevard Unit#CU-4G-4H-4I</t>
  </si>
  <si>
    <t>F10472586</t>
  </si>
  <si>
    <t>F10468835</t>
  </si>
  <si>
    <t>A11701071</t>
  </si>
  <si>
    <t>F10526269</t>
  </si>
  <si>
    <t>A11619459</t>
  </si>
  <si>
    <t>Pud</t>
  </si>
  <si>
    <t>A11820243</t>
  </si>
  <si>
    <t>3015 N Ocean Blvd Unit#C116</t>
  </si>
  <si>
    <t>F10522740</t>
  </si>
  <si>
    <t>F10502935</t>
  </si>
  <si>
    <t>A11934612</t>
  </si>
  <si>
    <t>F10554860</t>
  </si>
  <si>
    <t>2900 State Road 7</t>
  </si>
  <si>
    <t>Area 3611</t>
  </si>
  <si>
    <t>F10536686</t>
  </si>
  <si>
    <t>R11034062</t>
  </si>
  <si>
    <t>3015 N Ocean Boulevard Unit#C101</t>
  </si>
  <si>
    <t>F10535527</t>
  </si>
  <si>
    <t>3015 Ocean</t>
  </si>
  <si>
    <t>F10409228</t>
  </si>
  <si>
    <t>235 S Fort Lauderdale Beach Boulevard</t>
  </si>
  <si>
    <t>A11677495</t>
  </si>
  <si>
    <t>350 SW 25th St</t>
  </si>
  <si>
    <t>A11768887</t>
  </si>
  <si>
    <t>A11998591</t>
  </si>
  <si>
    <t>A11979992</t>
  </si>
  <si>
    <t>900 NW 6th St</t>
  </si>
  <si>
    <t>A11977108</t>
  </si>
  <si>
    <t>608 SW 16th Ave Unit#1-4</t>
  </si>
  <si>
    <t>A11819771</t>
  </si>
  <si>
    <t>B26002389</t>
  </si>
  <si>
    <t>2455 E Sunrise Boulevard Unit#Cu-4g-4h-4i</t>
  </si>
  <si>
    <t>A11946393</t>
  </si>
  <si>
    <t>F10505840</t>
  </si>
  <si>
    <t>200 S Andrews Avenue Unit#602</t>
  </si>
  <si>
    <t>A11585935</t>
  </si>
  <si>
    <t>1318 SE 2 AVENUE</t>
  </si>
  <si>
    <t>COMM</t>
  </si>
  <si>
    <t>F10449627</t>
  </si>
  <si>
    <t>200 SW 25th Street</t>
  </si>
  <si>
    <t>A11752931</t>
  </si>
  <si>
    <t>3212 SE 6th Ave</t>
  </si>
  <si>
    <t>Area 3100</t>
  </si>
  <si>
    <t>A11741277</t>
  </si>
  <si>
    <t>A11707682</t>
  </si>
  <si>
    <t>216 NE 33rd St Unit#232 F</t>
  </si>
  <si>
    <t>A11725441</t>
  </si>
  <si>
    <t>F10434310</t>
  </si>
  <si>
    <t>2720 E Oakland Park Boulevard Unit#103</t>
  </si>
  <si>
    <t>A11847955</t>
  </si>
  <si>
    <t>30 E OAKLAND PARK BOULEVARD Unit#30</t>
  </si>
  <si>
    <t>A12024173</t>
  </si>
  <si>
    <t>F10435706</t>
  </si>
  <si>
    <t>A11687065</t>
  </si>
  <si>
    <t>F10485213</t>
  </si>
  <si>
    <t>R11145898</t>
  </si>
  <si>
    <t>921 NE 20th Avenue</t>
  </si>
  <si>
    <t>A11759237</t>
  </si>
  <si>
    <t>F10469645</t>
  </si>
  <si>
    <t>A11964394</t>
  </si>
  <si>
    <t>1040 E Oakland Park Blvd Unit#1040-42</t>
  </si>
  <si>
    <t>F10437573</t>
  </si>
  <si>
    <t>900 NE 20th Avenue</t>
  </si>
  <si>
    <t>Area 3140</t>
  </si>
  <si>
    <t>R11098410</t>
  </si>
  <si>
    <t>A11740333</t>
  </si>
  <si>
    <t>1212 NE 4th Ave</t>
  </si>
  <si>
    <t>F10516078</t>
  </si>
  <si>
    <t>2009 NW 21st Avenue</t>
  </si>
  <si>
    <t>A11950349</t>
  </si>
  <si>
    <t>2215 S Federal Hwy Unit#2223</t>
  </si>
  <si>
    <t>A11767683</t>
  </si>
  <si>
    <t>20-22 East Oakland Park Boulevard</t>
  </si>
  <si>
    <t>F10451287</t>
  </si>
  <si>
    <t>2800 N Federal Highway</t>
  </si>
  <si>
    <t>F10509142</t>
  </si>
  <si>
    <t>1429 NE 4th Avenue</t>
  </si>
  <si>
    <t>A11573035</t>
  </si>
  <si>
    <t>831 N Federal Highway Unit#831E</t>
  </si>
  <si>
    <t>A11767560</t>
  </si>
  <si>
    <t>down town Las olas</t>
  </si>
  <si>
    <t>F10554718</t>
  </si>
  <si>
    <t>2724 N Andrews Avenue Unit#2740</t>
  </si>
  <si>
    <t>A11893223</t>
  </si>
  <si>
    <t>A11832497</t>
  </si>
  <si>
    <t>A12021715</t>
  </si>
  <si>
    <t>88 E OAKLAND PARK BLVD Unit#88</t>
  </si>
  <si>
    <t>F10440942</t>
  </si>
  <si>
    <t>2715 E Oakland Park Boulevard Unit#100</t>
  </si>
  <si>
    <t>F10482553</t>
  </si>
  <si>
    <t>2151 NW 6th Street</t>
  </si>
  <si>
    <t>F10485011</t>
  </si>
  <si>
    <t>701 SE 32 Court Unit#205</t>
  </si>
  <si>
    <t>B3</t>
  </si>
  <si>
    <t>A11807525</t>
  </si>
  <si>
    <t>120 East Oakland Park Boulevard Unit#107</t>
  </si>
  <si>
    <t>A11610411</t>
  </si>
  <si>
    <t>3025 N Ocean Blvd Unit##6</t>
  </si>
  <si>
    <t>F10485351</t>
  </si>
  <si>
    <t>F10398362</t>
  </si>
  <si>
    <t>111 SW 12th Street</t>
  </si>
  <si>
    <t>SA-RAC</t>
  </si>
  <si>
    <t>F10458702</t>
  </si>
  <si>
    <t>441 NE 3rd Avenue Unit#208</t>
  </si>
  <si>
    <t>R11098242</t>
  </si>
  <si>
    <t>A11752065</t>
  </si>
  <si>
    <t>2307 N Andrews Ave</t>
  </si>
  <si>
    <t>F10448914</t>
  </si>
  <si>
    <t>441 NE 3rd Avenue Unit#205</t>
  </si>
  <si>
    <t>A11767571</t>
  </si>
  <si>
    <t>Down town Las Olas</t>
  </si>
  <si>
    <t>F10457185</t>
  </si>
  <si>
    <t>1200 NE 7th Avenue</t>
  </si>
  <si>
    <t>A11231196</t>
  </si>
  <si>
    <t>1901 S Andrews Ave</t>
  </si>
  <si>
    <t>Bus</t>
  </si>
  <si>
    <t>A11624100</t>
  </si>
  <si>
    <t>2691 E Oakland Park Blvd</t>
  </si>
  <si>
    <t>A11899826</t>
  </si>
  <si>
    <t>150 SE 12th St</t>
  </si>
  <si>
    <t>F10501588</t>
  </si>
  <si>
    <t>2000 S Federal Highway Unit#D</t>
  </si>
  <si>
    <t>F10501587</t>
  </si>
  <si>
    <t>F10494020</t>
  </si>
  <si>
    <t>719 NE 2nd Avenue</t>
  </si>
  <si>
    <t>F10446634</t>
  </si>
  <si>
    <t>2136 E Oakland Park Boulevard Unit#2136</t>
  </si>
  <si>
    <t>F10486631</t>
  </si>
  <si>
    <t>F10542269</t>
  </si>
  <si>
    <t>F10496808</t>
  </si>
  <si>
    <t>1416 NE 4th Avenue</t>
  </si>
  <si>
    <t>A11647486</t>
  </si>
  <si>
    <t>F10494022</t>
  </si>
  <si>
    <t>700 N Andrews Avenue</t>
  </si>
  <si>
    <t>NWRAC-MUe</t>
  </si>
  <si>
    <t>F10440621</t>
  </si>
  <si>
    <t>F10419781</t>
  </si>
  <si>
    <t>F10454187</t>
  </si>
  <si>
    <t>701 NW 5th Avenue Unit#1040</t>
  </si>
  <si>
    <t>F10514310</t>
  </si>
  <si>
    <t>F10494006</t>
  </si>
  <si>
    <t>1229-1231 NE 9th Avenue Unit#1231</t>
  </si>
  <si>
    <t>F10411532</t>
  </si>
  <si>
    <t>2655 E Oakland Park Boulevard</t>
  </si>
  <si>
    <t>F10455374</t>
  </si>
  <si>
    <t>2132 E Oakland Park Boulevard</t>
  </si>
  <si>
    <t>A11768897</t>
  </si>
  <si>
    <t>F10524049</t>
  </si>
  <si>
    <t>1201 NE 26th Street Unit#101</t>
  </si>
  <si>
    <t>PUD-M</t>
  </si>
  <si>
    <t>F10418794</t>
  </si>
  <si>
    <t>F10418807</t>
  </si>
  <si>
    <t>R11023016</t>
  </si>
  <si>
    <t>A11985434</t>
  </si>
  <si>
    <t>A11900068</t>
  </si>
  <si>
    <t>A11810199</t>
  </si>
  <si>
    <t>F10499338</t>
  </si>
  <si>
    <t>F10424646</t>
  </si>
  <si>
    <t>701 NW 5th Avenue Unit#1101</t>
  </si>
  <si>
    <t>F10423474</t>
  </si>
  <si>
    <t>701 NW 5th Avenue Unit#1131</t>
  </si>
  <si>
    <t>F10487627</t>
  </si>
  <si>
    <t>837 NW 8th Avenue</t>
  </si>
  <si>
    <t>A11931699</t>
  </si>
  <si>
    <t>1845 Cordova Rd Unit#203</t>
  </si>
  <si>
    <t>PEDD</t>
  </si>
  <si>
    <t>F10448201</t>
  </si>
  <si>
    <t>701 NW 5th Avenue Unit#1061</t>
  </si>
  <si>
    <t>R11013017</t>
  </si>
  <si>
    <t>1919 NW 19 Street Unit#201</t>
  </si>
  <si>
    <t>B26017727</t>
  </si>
  <si>
    <t>F10513010</t>
  </si>
  <si>
    <t>F10483250</t>
  </si>
  <si>
    <t>F10492704</t>
  </si>
  <si>
    <t>F10436822</t>
  </si>
  <si>
    <t>A11690066</t>
  </si>
  <si>
    <t>ABA</t>
  </si>
  <si>
    <t>F10426156</t>
  </si>
  <si>
    <t>F10494003</t>
  </si>
  <si>
    <t>F10530893</t>
  </si>
  <si>
    <t>A11624877</t>
  </si>
  <si>
    <t>F10409873</t>
  </si>
  <si>
    <t>A11640494</t>
  </si>
  <si>
    <t>A11664525</t>
  </si>
  <si>
    <t>A11854783</t>
  </si>
  <si>
    <t>F10432503</t>
  </si>
  <si>
    <t>F10322411</t>
  </si>
  <si>
    <t>F10518967</t>
  </si>
  <si>
    <t>F10468635</t>
  </si>
  <si>
    <t>A11572456</t>
  </si>
  <si>
    <t>A11587494</t>
  </si>
  <si>
    <t>F10513789</t>
  </si>
  <si>
    <t>F10502149</t>
  </si>
  <si>
    <t>F10458308</t>
  </si>
  <si>
    <t>A11857454</t>
  </si>
  <si>
    <t>A11185753</t>
  </si>
  <si>
    <t>RAC-UV - REGIONAL AC</t>
  </si>
  <si>
    <t>A10547525</t>
  </si>
  <si>
    <t>F10468630</t>
  </si>
  <si>
    <t>R11029990</t>
  </si>
  <si>
    <t>2648 NE 32 Street</t>
  </si>
  <si>
    <t>F10429656</t>
  </si>
  <si>
    <t>F10425362</t>
  </si>
  <si>
    <t>F10541974</t>
  </si>
  <si>
    <t>F10495959</t>
  </si>
  <si>
    <t>F10483251</t>
  </si>
  <si>
    <t>F10497468</t>
  </si>
  <si>
    <t>A11724942</t>
  </si>
  <si>
    <t>R11126749</t>
  </si>
  <si>
    <t>F10539676</t>
  </si>
  <si>
    <t>F10496405</t>
  </si>
  <si>
    <t>F10467546</t>
  </si>
  <si>
    <t>F10421930</t>
  </si>
  <si>
    <t>F10479873</t>
  </si>
  <si>
    <t>F10467099</t>
  </si>
  <si>
    <t>A11649334</t>
  </si>
  <si>
    <t>F10495101</t>
  </si>
  <si>
    <t>F10421721</t>
  </si>
  <si>
    <t>2455 E Sunrise Boulevard Unit#cu-phA-G</t>
  </si>
  <si>
    <t>F10463900</t>
  </si>
  <si>
    <t>A11771851</t>
  </si>
  <si>
    <t>F10466998</t>
  </si>
  <si>
    <t>A11510533</t>
  </si>
  <si>
    <t>A11677038</t>
  </si>
  <si>
    <t>200 S Andrews Ave Unit#300 to 303</t>
  </si>
  <si>
    <t>F10544997</t>
  </si>
  <si>
    <t>F10358396</t>
  </si>
  <si>
    <t>F10530037</t>
  </si>
  <si>
    <t>A11769839</t>
  </si>
  <si>
    <t>A11766749</t>
  </si>
  <si>
    <t>A11932016</t>
  </si>
  <si>
    <t>A11889793</t>
  </si>
  <si>
    <t>F10498147</t>
  </si>
  <si>
    <t>A11308343</t>
  </si>
  <si>
    <t>F10446472</t>
  </si>
  <si>
    <t>RM-16</t>
  </si>
  <si>
    <t>A11563857</t>
  </si>
  <si>
    <t>F10530033</t>
  </si>
  <si>
    <t>F10283367</t>
  </si>
  <si>
    <t>F10417742</t>
  </si>
  <si>
    <t>F10469634</t>
  </si>
  <si>
    <t>F10531419</t>
  </si>
  <si>
    <t>A11812151</t>
  </si>
  <si>
    <t>F10503686</t>
  </si>
  <si>
    <t>F10447881</t>
  </si>
  <si>
    <t>F10523632</t>
  </si>
  <si>
    <t>A11803692</t>
  </si>
  <si>
    <t>R11040900</t>
  </si>
  <si>
    <t>1315 NW 2nd Street Unit#Mix</t>
  </si>
  <si>
    <t>A11564907</t>
  </si>
  <si>
    <t>F10428676</t>
  </si>
  <si>
    <t>RM12</t>
  </si>
  <si>
    <t>A11948494</t>
  </si>
  <si>
    <t>F10426987</t>
  </si>
  <si>
    <t>F10496195</t>
  </si>
  <si>
    <t>CB, RMM25</t>
  </si>
  <si>
    <t>A11739246</t>
  </si>
  <si>
    <t>A11444550</t>
  </si>
  <si>
    <t>A11657946</t>
  </si>
  <si>
    <t>A11727291</t>
  </si>
  <si>
    <t>F10504783</t>
  </si>
  <si>
    <t>F10423861</t>
  </si>
  <si>
    <t>A11363737</t>
  </si>
  <si>
    <t>A11690572</t>
  </si>
  <si>
    <t>F10460691</t>
  </si>
  <si>
    <t>F10507604</t>
  </si>
  <si>
    <t>1848 SE 1st Avenue</t>
  </si>
  <si>
    <t>A11753988</t>
  </si>
  <si>
    <t>F10457923</t>
  </si>
  <si>
    <t>F10396003</t>
  </si>
  <si>
    <t>F10435565</t>
  </si>
  <si>
    <t>F10395763</t>
  </si>
  <si>
    <t>A11677774</t>
  </si>
  <si>
    <t>200 S Andrews Ave Unit#201</t>
  </si>
  <si>
    <t>A11615342</t>
  </si>
  <si>
    <t>F10455010</t>
  </si>
  <si>
    <t>250 NE 44th Street</t>
  </si>
  <si>
    <t>B2</t>
  </si>
  <si>
    <t>F10486705</t>
  </si>
  <si>
    <t>R11122108</t>
  </si>
  <si>
    <t>200 S Andrews Avenue Unit#100</t>
  </si>
  <si>
    <t>R11160298</t>
  </si>
  <si>
    <t>925 W Las Olas Boulevard Unit#1-2</t>
  </si>
  <si>
    <t>F10491189</t>
  </si>
  <si>
    <t>2001 W State Road 84 #410</t>
  </si>
  <si>
    <t>F10432650</t>
  </si>
  <si>
    <t>F10352347</t>
  </si>
  <si>
    <t>A11889386</t>
  </si>
  <si>
    <t>A11814830</t>
  </si>
  <si>
    <t>F10481743</t>
  </si>
  <si>
    <t>A11892190</t>
  </si>
  <si>
    <t>A11616873</t>
  </si>
  <si>
    <t>R11054574</t>
  </si>
  <si>
    <t>2513 NW 19 Street</t>
  </si>
  <si>
    <t>F10516675</t>
  </si>
  <si>
    <t>F10465676</t>
  </si>
  <si>
    <t>F10516187</t>
  </si>
  <si>
    <t>A11642161</t>
  </si>
  <si>
    <t>A11934425</t>
  </si>
  <si>
    <t>F10410358</t>
  </si>
  <si>
    <t>F10526788</t>
  </si>
  <si>
    <t>F10526976</t>
  </si>
  <si>
    <t>RAC-SMU (TMU)</t>
  </si>
  <si>
    <t>F10482300</t>
  </si>
  <si>
    <t>A11781126</t>
  </si>
  <si>
    <t>A11685059</t>
  </si>
  <si>
    <t>F10491389</t>
  </si>
  <si>
    <t>F10447221</t>
  </si>
  <si>
    <t>888 SE 3rd Avenue Unit#502A</t>
  </si>
  <si>
    <t>F10491090</t>
  </si>
  <si>
    <t>F10497894</t>
  </si>
  <si>
    <t>B26011928</t>
  </si>
  <si>
    <t>105 S Ave Of The Arts</t>
  </si>
  <si>
    <t>F10529942</t>
  </si>
  <si>
    <t>A11657759</t>
  </si>
  <si>
    <t>A11534878</t>
  </si>
  <si>
    <t>A11750386</t>
  </si>
  <si>
    <t>TOC-W</t>
  </si>
  <si>
    <t>F10405105</t>
  </si>
  <si>
    <t>F10491429</t>
  </si>
  <si>
    <t>F10466346</t>
  </si>
  <si>
    <t>A11773250</t>
  </si>
  <si>
    <t>A11640503</t>
  </si>
  <si>
    <t>2011 W State Road 84 Unit#306-3</t>
  </si>
  <si>
    <t>F10453529</t>
  </si>
  <si>
    <t>A11637888</t>
  </si>
  <si>
    <t>A11740659</t>
  </si>
  <si>
    <t>2011 W State Road 84 Unit#244-2</t>
  </si>
  <si>
    <t>R11044347</t>
  </si>
  <si>
    <t>1100 NE 4th Avenue Unit#1-2</t>
  </si>
  <si>
    <t>B26010079</t>
  </si>
  <si>
    <t>600 SW 9th Street Unit#1-5</t>
  </si>
  <si>
    <t>F10450330</t>
  </si>
  <si>
    <t>A11706192</t>
  </si>
  <si>
    <t>A11582220</t>
  </si>
  <si>
    <t>F10450315</t>
  </si>
  <si>
    <t>A11891960</t>
  </si>
  <si>
    <t>F10405535</t>
  </si>
  <si>
    <t>A11748832</t>
  </si>
  <si>
    <t>F10512115</t>
  </si>
  <si>
    <t>CF</t>
  </si>
  <si>
    <t>A11718368</t>
  </si>
  <si>
    <t>F10462346</t>
  </si>
  <si>
    <t>B26010074</t>
  </si>
  <si>
    <t>908 NE 17th Terrace Unit#1-6</t>
  </si>
  <si>
    <t>A11899504</t>
  </si>
  <si>
    <t>A11475571</t>
  </si>
  <si>
    <t>F10453661</t>
  </si>
  <si>
    <t>A11225517</t>
  </si>
  <si>
    <t>A11721197</t>
  </si>
  <si>
    <t>F10450332</t>
  </si>
  <si>
    <t>F10453687</t>
  </si>
  <si>
    <t>F10517078</t>
  </si>
  <si>
    <t>2301 Wilton Drive</t>
  </si>
  <si>
    <t>R10984954</t>
  </si>
  <si>
    <t>A11716543</t>
  </si>
  <si>
    <t>A11626291</t>
  </si>
  <si>
    <t>A11842002</t>
  </si>
  <si>
    <t>R11118069</t>
  </si>
  <si>
    <t>748 NW 22nd Road</t>
  </si>
  <si>
    <t>Area 3850</t>
  </si>
  <si>
    <t>F10491116</t>
  </si>
  <si>
    <t>F10481913</t>
  </si>
  <si>
    <t>F10490790</t>
  </si>
  <si>
    <t>A11614123</t>
  </si>
  <si>
    <t>A11819489</t>
  </si>
  <si>
    <t>A11572781</t>
  </si>
  <si>
    <t>A11804621</t>
  </si>
  <si>
    <t>A11441902</t>
  </si>
  <si>
    <t>F10491103</t>
  </si>
  <si>
    <t>F10498122</t>
  </si>
  <si>
    <t>2455 E Sunrise Boulevard Unit#1201</t>
  </si>
  <si>
    <t>F10421306</t>
  </si>
  <si>
    <t>F10520496</t>
  </si>
  <si>
    <t>F10450333</t>
  </si>
  <si>
    <t>F10541309</t>
  </si>
  <si>
    <t>1400 E Oakland Park Boulevard Unit#102</t>
  </si>
  <si>
    <t>F10450336</t>
  </si>
  <si>
    <t>A11773645</t>
  </si>
  <si>
    <t>2011 W State Road 84 Unit#214-1</t>
  </si>
  <si>
    <t>F10445819</t>
  </si>
  <si>
    <t>2455 E Sunrise Boulevard Unit#1112</t>
  </si>
  <si>
    <t>F10482184</t>
  </si>
  <si>
    <t>3015 N Ocean Boulevard Unit#C126</t>
  </si>
  <si>
    <t>F10489081</t>
  </si>
  <si>
    <t>415-417 E Oakland Park Boulevard</t>
  </si>
  <si>
    <t>F10447813</t>
  </si>
  <si>
    <t>F10449571</t>
  </si>
  <si>
    <t>F10541302</t>
  </si>
  <si>
    <t>1400 E Oakland Park Boulevard Unit#100</t>
  </si>
  <si>
    <t>F10450305</t>
  </si>
  <si>
    <t>F10540431</t>
  </si>
  <si>
    <t>1801 SE 17th Street Unit#112</t>
  </si>
  <si>
    <t>F10450312</t>
  </si>
  <si>
    <t>F10449575</t>
  </si>
  <si>
    <t>F10450279</t>
  </si>
  <si>
    <t>F10424980</t>
  </si>
  <si>
    <t>F10552870</t>
  </si>
  <si>
    <t>F10528747</t>
  </si>
  <si>
    <t>3015 N Ocean Boulevard Unit#C106</t>
  </si>
  <si>
    <t>F10502365</t>
  </si>
  <si>
    <t>3015 N Ocean Boulevard</t>
  </si>
  <si>
    <t>F10482180</t>
  </si>
  <si>
    <t>3015 N Ocean Boulevard Unit#C117</t>
  </si>
  <si>
    <t>F10458842</t>
  </si>
  <si>
    <t>2031 Wilton Drive</t>
  </si>
  <si>
    <t>A11708099</t>
  </si>
  <si>
    <t>A11845437</t>
  </si>
  <si>
    <t>A11629439</t>
  </si>
  <si>
    <t>A11854739</t>
  </si>
  <si>
    <t>F10474545</t>
  </si>
  <si>
    <t>1001 W Sunrise Boulevard</t>
  </si>
  <si>
    <t>A11769815</t>
  </si>
  <si>
    <t>A11575411</t>
  </si>
  <si>
    <t>F10443466</t>
  </si>
  <si>
    <t>2901 SW 3rd Avenue Unit#1B</t>
  </si>
  <si>
    <t>A11879199</t>
  </si>
  <si>
    <t>F10538206</t>
  </si>
  <si>
    <t>A11363745</t>
  </si>
  <si>
    <t>330 SW 12th St</t>
  </si>
  <si>
    <t>F10499877</t>
  </si>
  <si>
    <t>3101 N Federal Highway Unit#200</t>
  </si>
  <si>
    <t>B26026572</t>
  </si>
  <si>
    <t>F10523355</t>
  </si>
  <si>
    <t>2739 Oakland Park Boulevard</t>
  </si>
  <si>
    <t>A11432606</t>
  </si>
  <si>
    <t>1301 N Dixie Hwy</t>
  </si>
  <si>
    <t>A11591447</t>
  </si>
  <si>
    <t>3291 N Andrews Ave</t>
  </si>
  <si>
    <t>F10535152</t>
  </si>
  <si>
    <t>614 S Federal Highway</t>
  </si>
  <si>
    <t>F10447318</t>
  </si>
  <si>
    <t>3000 N Federal Highway Unit#1A</t>
  </si>
  <si>
    <t>F10447815</t>
  </si>
  <si>
    <t>F10469748</t>
  </si>
  <si>
    <t>401 NE 8th Street</t>
  </si>
  <si>
    <t>A11569314</t>
  </si>
  <si>
    <t>900 N Federal Hwy</t>
  </si>
  <si>
    <t>Area 3200</t>
  </si>
  <si>
    <t>A11557055</t>
  </si>
  <si>
    <t>3225 N Andrews Ave</t>
  </si>
  <si>
    <t>F10455810</t>
  </si>
  <si>
    <t>304 SE 20th Street</t>
  </si>
  <si>
    <t>F10432468</t>
  </si>
  <si>
    <t>2455 E Sunrise Boulevard Unit#cu-ph-c/d</t>
  </si>
  <si>
    <t>commercial</t>
  </si>
  <si>
    <t>F10412130</t>
  </si>
  <si>
    <t>904 NW 9th Avenue</t>
  </si>
  <si>
    <t>F10429925</t>
  </si>
  <si>
    <t>2727 E Oakland Park Boulevard Unit#100</t>
  </si>
  <si>
    <t>F10542918</t>
  </si>
  <si>
    <t>404 E Oakland Park Boulevard</t>
  </si>
  <si>
    <t>F10542067</t>
  </si>
  <si>
    <t>711 6 Avenue</t>
  </si>
  <si>
    <t>F10489057</t>
  </si>
  <si>
    <t>F10511233</t>
  </si>
  <si>
    <t>308 E Oakland Park Unit#308</t>
  </si>
  <si>
    <t>A11631399</t>
  </si>
  <si>
    <t>F10479623</t>
  </si>
  <si>
    <t>404 E Oakland Park Boulevard Unit#404</t>
  </si>
  <si>
    <t>F10455923</t>
  </si>
  <si>
    <t>F10476954</t>
  </si>
  <si>
    <t>1167 NE 24th Street Unit#1167</t>
  </si>
  <si>
    <t>F10424848</t>
  </si>
  <si>
    <t>413 SW 3rd Avenue</t>
  </si>
  <si>
    <t>F10505986</t>
  </si>
  <si>
    <t>R11037027</t>
  </si>
  <si>
    <t>2215 S Federal Highway</t>
  </si>
  <si>
    <t>F10443132</t>
  </si>
  <si>
    <t>2500 NE 15 Unit#2500</t>
  </si>
  <si>
    <t>F10469010</t>
  </si>
  <si>
    <t>3101 N Federal Highway Unit#303</t>
  </si>
  <si>
    <t>F10412684</t>
  </si>
  <si>
    <t>8 SE 8th Street</t>
  </si>
  <si>
    <t>R11056666</t>
  </si>
  <si>
    <t>2223 S Federal Highway</t>
  </si>
  <si>
    <t>A11673464</t>
  </si>
  <si>
    <t>2500 SW 3rd Ave</t>
  </si>
  <si>
    <t>A11870797</t>
  </si>
  <si>
    <t>905 Sunrise Ln</t>
  </si>
  <si>
    <t>F10483270</t>
  </si>
  <si>
    <t>550 S Andrews Avenue</t>
  </si>
  <si>
    <t>A11864518</t>
  </si>
  <si>
    <t>1968 E Sunrise Blvd</t>
  </si>
  <si>
    <t>F10343857</t>
  </si>
  <si>
    <t>F10507065</t>
  </si>
  <si>
    <t>2831 E Oakland Park Boulevard Unit#7</t>
  </si>
  <si>
    <t>F10498514</t>
  </si>
  <si>
    <t>F10446547</t>
  </si>
  <si>
    <t>1128 SE 3rd Avenue</t>
  </si>
  <si>
    <t>A11764586</t>
  </si>
  <si>
    <t>3020 NE 32nd Ave Unit#OU40</t>
  </si>
  <si>
    <t>F10506005</t>
  </si>
  <si>
    <t>F10472080</t>
  </si>
  <si>
    <t>1231 NE 8th Avenue Unit#2nd Floor</t>
  </si>
  <si>
    <t>F10424414</t>
  </si>
  <si>
    <t>1337 NE 4 Avenue</t>
  </si>
  <si>
    <t>A11855316</t>
  </si>
  <si>
    <t>F10424593</t>
  </si>
  <si>
    <t>702 NW 6th Avenue</t>
  </si>
  <si>
    <t>F10494810</t>
  </si>
  <si>
    <t>620 NE 3rd Street Unit#Upper</t>
  </si>
  <si>
    <t>RAC-EMU</t>
  </si>
  <si>
    <t>A11941150</t>
  </si>
  <si>
    <t>800 SE 3rd Ave Unit#4-SW Corner</t>
  </si>
  <si>
    <t>A11940200</t>
  </si>
  <si>
    <t>800 SE 3rd Ave Unit#4-NW Corner</t>
  </si>
  <si>
    <t>A11646613</t>
  </si>
  <si>
    <t>A11589488</t>
  </si>
  <si>
    <t>2455 E Sunrise Blvd Unit#CU917-I</t>
  </si>
  <si>
    <t>A11685454</t>
  </si>
  <si>
    <t>A11917909</t>
  </si>
  <si>
    <t>2429 Davie Blvd</t>
  </si>
  <si>
    <t>Area 3520</t>
  </si>
  <si>
    <t>A11950319</t>
  </si>
  <si>
    <t>888 SE 3 ave</t>
  </si>
  <si>
    <t>A11793134</t>
  </si>
  <si>
    <t>1224 SW 1st Ave</t>
  </si>
  <si>
    <t>A11712240</t>
  </si>
  <si>
    <t>2315 N Andrews Ave Unit#2315</t>
  </si>
  <si>
    <t>R11080509</t>
  </si>
  <si>
    <t>1036 NW 9th Avenue</t>
  </si>
  <si>
    <t>Area 3111</t>
  </si>
  <si>
    <t>A11883919</t>
  </si>
  <si>
    <t>A11837892</t>
  </si>
  <si>
    <t>3104 NE 9th St</t>
  </si>
  <si>
    <t>A11694169</t>
  </si>
  <si>
    <t>A11767758</t>
  </si>
  <si>
    <t>120 E Oakland Park Blvd</t>
  </si>
  <si>
    <t>A11661871</t>
  </si>
  <si>
    <t>287 NE Oakland park Blvd</t>
  </si>
  <si>
    <t>F10484979</t>
  </si>
  <si>
    <t>701 SE 32 Court Unit#204</t>
  </si>
  <si>
    <t>F10542132</t>
  </si>
  <si>
    <t>720 NE 3rd Avenue</t>
  </si>
  <si>
    <t>A11655618</t>
  </si>
  <si>
    <t>3015 N Ocean Blvd Unit#C104</t>
  </si>
  <si>
    <t>F10447940</t>
  </si>
  <si>
    <t>F10435230</t>
  </si>
  <si>
    <t>101 W Sunrise Boulevard Unit#125</t>
  </si>
  <si>
    <t>A11921105</t>
  </si>
  <si>
    <t>120 East Oakland Park Boulevard Unit#208</t>
  </si>
  <si>
    <t>A11483268</t>
  </si>
  <si>
    <t>3025 N Ocean Blvd Unit## 6</t>
  </si>
  <si>
    <t>F10460442</t>
  </si>
  <si>
    <t>1500 E Las Olas</t>
  </si>
  <si>
    <t>F10402666</t>
  </si>
  <si>
    <t>1316 NE 4th Avenue Unit#Suite C</t>
  </si>
  <si>
    <t>A11655613</t>
  </si>
  <si>
    <t>A11598158</t>
  </si>
  <si>
    <t>313 Hendricks Isle Unit#SLIP 2</t>
  </si>
  <si>
    <t>F10484024</t>
  </si>
  <si>
    <t>A11941173</t>
  </si>
  <si>
    <t>800 SE 3rd Ave Unit#4-N</t>
  </si>
  <si>
    <t>A11941159</t>
  </si>
  <si>
    <t>800 SE 3rd Ave Unit#4-S</t>
  </si>
  <si>
    <t>F10433292</t>
  </si>
  <si>
    <t>2831 E Oakland Park Boulevard Unit#10</t>
  </si>
  <si>
    <t>F10432981</t>
  </si>
  <si>
    <t>2455 CU-PH-E E Cu-Ph-E Sunrise Boulevard</t>
  </si>
  <si>
    <t>COMMERCIAL</t>
  </si>
  <si>
    <t>R11118522</t>
  </si>
  <si>
    <t>R11051184</t>
  </si>
  <si>
    <t>2631 E Oakland Park Boulevard Unit#203</t>
  </si>
  <si>
    <t>F10504271</t>
  </si>
  <si>
    <t>F10453747</t>
  </si>
  <si>
    <t>3038 N Federal Highway Unit#2nd Floor Office</t>
  </si>
  <si>
    <t>A11864516</t>
  </si>
  <si>
    <t>F10543944</t>
  </si>
  <si>
    <t>608 SE 6th Street Unit#6</t>
  </si>
  <si>
    <t>F10495222</t>
  </si>
  <si>
    <t>2435 N Dixie Highway Unit#3A</t>
  </si>
  <si>
    <t>A11979981</t>
  </si>
  <si>
    <t>900 NW 6th St Unit#B</t>
  </si>
  <si>
    <t>F10311486</t>
  </si>
  <si>
    <t>A11255914</t>
  </si>
  <si>
    <t>2400 E Oakland Park Blvd Unit#202</t>
  </si>
  <si>
    <t>A11807878</t>
  </si>
  <si>
    <t>F10422494</t>
  </si>
  <si>
    <t>Area 3212</t>
  </si>
  <si>
    <t>A11885128</t>
  </si>
  <si>
    <t>A11655620</t>
  </si>
  <si>
    <t>R11046982</t>
  </si>
  <si>
    <t>801 Seabreeze Boulevard</t>
  </si>
  <si>
    <t>SBMHA</t>
  </si>
  <si>
    <t>F10500883</t>
  </si>
  <si>
    <t>801 N Federal Highway</t>
  </si>
  <si>
    <t>F10499862</t>
  </si>
  <si>
    <t>501 NE 5th Terrace Unit#700</t>
  </si>
  <si>
    <t>F10511719</t>
  </si>
  <si>
    <t>2262 Wilton Drive</t>
  </si>
  <si>
    <t>F10322328</t>
  </si>
  <si>
    <t>F10511728</t>
  </si>
  <si>
    <t>2211 Wilton Drive</t>
  </si>
  <si>
    <t>F10531646</t>
  </si>
  <si>
    <t>727 3rd Avenue</t>
  </si>
  <si>
    <t>F10440728</t>
  </si>
  <si>
    <t>888 SE 3rd Avenue</t>
  </si>
  <si>
    <t>F10480187</t>
  </si>
  <si>
    <t>2216 E Oakland Park Boulevard</t>
  </si>
  <si>
    <t>F10436037</t>
  </si>
  <si>
    <t>603 NE 13th Street</t>
  </si>
  <si>
    <t>F10498148</t>
  </si>
  <si>
    <t>535 NE 13th Street Unit#2</t>
  </si>
  <si>
    <t>F10464702</t>
  </si>
  <si>
    <t>200 NE 3rd Avenue</t>
  </si>
  <si>
    <t>F10512095</t>
  </si>
  <si>
    <t>920 NE 13th Street</t>
  </si>
  <si>
    <t>F10480162</t>
  </si>
  <si>
    <t>F10511622</t>
  </si>
  <si>
    <t>900 NE 26th Avenue</t>
  </si>
  <si>
    <t>A11567376</t>
  </si>
  <si>
    <t>2852 E Oakland Park Blvd</t>
  </si>
  <si>
    <t>F10440891</t>
  </si>
  <si>
    <t>906 NE 26th Avenue</t>
  </si>
  <si>
    <t>R-O</t>
  </si>
  <si>
    <t>A11350356</t>
  </si>
  <si>
    <t>1811 Cordova Rd Unit#1811</t>
  </si>
  <si>
    <t>A11350353</t>
  </si>
  <si>
    <t>1865 Cordova Rd Unit#B215</t>
  </si>
  <si>
    <t>A11350330</t>
  </si>
  <si>
    <t>1865 Cordova Rd Unit#B217</t>
  </si>
  <si>
    <t>F10421703</t>
  </si>
  <si>
    <t>F10396985</t>
  </si>
  <si>
    <t>1217 E Broward Boulevard</t>
  </si>
  <si>
    <t>F10441698</t>
  </si>
  <si>
    <t>727 NE 3rd Avenue</t>
  </si>
  <si>
    <t>Area 3240</t>
  </si>
  <si>
    <t>F10512373</t>
  </si>
  <si>
    <t>716-718 NE 2nd Avenue</t>
  </si>
  <si>
    <t>A11552079</t>
  </si>
  <si>
    <t>519 SE 32nd Ct</t>
  </si>
  <si>
    <t>A11971615</t>
  </si>
  <si>
    <t>993 W State Road 84 Unit#993</t>
  </si>
  <si>
    <t>R11008132</t>
  </si>
  <si>
    <t>R11008129</t>
  </si>
  <si>
    <t>R11008125</t>
  </si>
  <si>
    <t>F10502363</t>
  </si>
  <si>
    <t>F10453939</t>
  </si>
  <si>
    <t>1881 NE 26th Street</t>
  </si>
  <si>
    <t>A11543408</t>
  </si>
  <si>
    <t>1408 NE 4th Ave</t>
  </si>
  <si>
    <t>F10445871</t>
  </si>
  <si>
    <t>3001 N Federal Highway</t>
  </si>
  <si>
    <t>F10485519</t>
  </si>
  <si>
    <t>F10430135</t>
  </si>
  <si>
    <t>2876 E Oakland Park Boulevard</t>
  </si>
  <si>
    <t>F10455355</t>
  </si>
  <si>
    <t>F10403204</t>
  </si>
  <si>
    <t>200 Davie Boulevard</t>
  </si>
  <si>
    <t>A11521140</t>
  </si>
  <si>
    <t>F10425780</t>
  </si>
  <si>
    <t>900 NE 13th Street</t>
  </si>
  <si>
    <t>A11939037</t>
  </si>
  <si>
    <t>A11852410</t>
  </si>
  <si>
    <t>A11927961</t>
  </si>
  <si>
    <t>F10430433</t>
  </si>
  <si>
    <t>2455 E Sunrise Boulevard Unit#CUPHA</t>
  </si>
  <si>
    <t>A11716499</t>
  </si>
  <si>
    <t>A11625990</t>
  </si>
  <si>
    <t>A11703844</t>
  </si>
  <si>
    <t>3038 N Federal Hwy Unit#C</t>
  </si>
  <si>
    <t>A11592666</t>
  </si>
  <si>
    <t>A11811173</t>
  </si>
  <si>
    <t>129-135 E Oakland Park Blvd Unit#129</t>
  </si>
  <si>
    <t>F10425925</t>
  </si>
  <si>
    <t>1212 NE 26th Street</t>
  </si>
  <si>
    <t>F10516746</t>
  </si>
  <si>
    <t>634 NE 3rd Avenue</t>
  </si>
  <si>
    <t>A11677775</t>
  </si>
  <si>
    <t>A11677668</t>
  </si>
  <si>
    <t>F10515307</t>
  </si>
  <si>
    <t>511 NE 32nd Street Unit#541A</t>
  </si>
  <si>
    <t>F10428945</t>
  </si>
  <si>
    <t>2740 E Oakland Park Boulevard</t>
  </si>
  <si>
    <t>F10470696</t>
  </si>
  <si>
    <t>A12001188</t>
  </si>
  <si>
    <t>F10528201</t>
  </si>
  <si>
    <t>709 NW 8th Avenue</t>
  </si>
  <si>
    <t>F10500577</t>
  </si>
  <si>
    <t>1717 N Andrews Avenue</t>
  </si>
  <si>
    <t>A11573726</t>
  </si>
  <si>
    <t>141 NE 32nd St</t>
  </si>
  <si>
    <t>A11814253</t>
  </si>
  <si>
    <t>820 NW 10th Ter Unit#3</t>
  </si>
  <si>
    <t>A11814233</t>
  </si>
  <si>
    <t>820 NW 10th Ter Unit#4</t>
  </si>
  <si>
    <t>F10523098</t>
  </si>
  <si>
    <t>500 NE 3rd Avenue</t>
  </si>
  <si>
    <t>F10428941</t>
  </si>
  <si>
    <t>2727 E Oakland Park Boulevard</t>
  </si>
  <si>
    <t>A11703885</t>
  </si>
  <si>
    <t>3038 N Federal Hwy Unit#D</t>
  </si>
  <si>
    <t>A11592964</t>
  </si>
  <si>
    <t>A11806810</t>
  </si>
  <si>
    <t>3031 NE 12th Ter</t>
  </si>
  <si>
    <t>Warehouse Flex</t>
  </si>
  <si>
    <t>A11701414</t>
  </si>
  <si>
    <t>A11707110</t>
  </si>
  <si>
    <t>216 NE 33rd St Unit#228 F</t>
  </si>
  <si>
    <t>A11890728</t>
  </si>
  <si>
    <t>A11851127</t>
  </si>
  <si>
    <t>B26014880</t>
  </si>
  <si>
    <t>821 NW 10th Terrace</t>
  </si>
  <si>
    <t>B26001982</t>
  </si>
  <si>
    <t>705 NW 8th Avenue</t>
  </si>
  <si>
    <t>F10556540</t>
  </si>
  <si>
    <t>A11977975</t>
  </si>
  <si>
    <t>F10541814</t>
  </si>
  <si>
    <t>F10541816</t>
  </si>
  <si>
    <t>F10469040</t>
  </si>
  <si>
    <t>F10469036</t>
  </si>
  <si>
    <t>3101 N Federal Highway Unit#300</t>
  </si>
  <si>
    <t>F10469032</t>
  </si>
  <si>
    <t>3101 N Federal Highway Unit#302</t>
  </si>
  <si>
    <t>F10441635</t>
  </si>
  <si>
    <t>F10511940</t>
  </si>
  <si>
    <t>F10540595</t>
  </si>
  <si>
    <t>2455 E Sunrise Boulevard Unit#CU-4I</t>
  </si>
  <si>
    <t>F10540589</t>
  </si>
  <si>
    <t>2455 E Sunrise Boulevard Unit#CU-4G</t>
  </si>
  <si>
    <t>F10540593</t>
  </si>
  <si>
    <t>2455 E Sunrise Boulevard Unit#CU-4H</t>
  </si>
  <si>
    <t>B26010620</t>
  </si>
  <si>
    <t>503 SW 2nd Avenue</t>
  </si>
  <si>
    <t>F10554796</t>
  </si>
  <si>
    <t>2900 E Oakland Park Boulevard Unit#300-4</t>
  </si>
  <si>
    <t>F10534060</t>
  </si>
  <si>
    <t>101 NE 3rd Avenue</t>
  </si>
</sst>
</file>

<file path=xl/styles.xml><?xml version="1.0" encoding="utf-8"?>
<styleSheet xmlns="http://schemas.openxmlformats.org/spreadsheetml/2006/main">
  <numFmts count="10">
    <numFmt numFmtId="164" formatCode="$#,##0"/>
    <numFmt numFmtId="165" formatCode="#,##0"/>
    <numFmt numFmtId="166" formatCode="+0.0%;-0.0%"/>
    <numFmt numFmtId="167" formatCode="0.00%"/>
    <numFmt numFmtId="168" formatCode="+0.0;-0.0"/>
    <numFmt numFmtId="169" formatCode="0.0"/>
    <numFmt numFmtId="170" formatCode="0.0&quot;%&quot;"/>
    <numFmt numFmtId="171" formatCode="0%"/>
    <numFmt numFmtId="172" formatCode="0.00&quot;×&quot;"/>
    <numFmt numFmtId="173" formatCode="0.0%"/>
  </numFmts>
  <fonts count="11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sz val="10"/>
      <color rgb="FF7A786F"/>
      <name val="Calibri"/>
      <family val="2"/>
      <scheme val="minor"/>
    </font>
    <font>
      <b/>
      <sz val="20"/>
      <color rgb="FF1F2A37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2F6F9F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7D6"/>
        <bgColor indexed="64"/>
      </patternFill>
    </fill>
    <fill>
      <patternFill patternType="solid">
        <fgColor rgb="FF1F2A37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0" borderId="0" xfId="0" applyFont="1"/>
    <xf numFmtId="0" fontId="6" fillId="0" borderId="0" xfId="0" applyFont="1" applyAlignment="1">
      <alignment horizontal="left"/>
    </xf>
    <xf numFmtId="164" fontId="7" fillId="0" borderId="0" xfId="0" applyNumberFormat="1" applyFont="1"/>
    <xf numFmtId="0" fontId="3" fillId="2" borderId="3" xfId="0" applyFont="1" applyFill="1" applyBorder="1" applyAlignment="1">
      <alignment horizontal="center"/>
    </xf>
    <xf numFmtId="0" fontId="0" fillId="0" borderId="1" xfId="0" applyBorder="1" applyAlignment="1">
      <alignment vertical="center"/>
    </xf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4" fontId="3" fillId="2" borderId="3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5" fontId="3" fillId="2" borderId="3" xfId="0" applyNumberFormat="1" applyFont="1" applyFill="1" applyBorder="1" applyAlignment="1">
      <alignment horizontal="right"/>
    </xf>
    <xf numFmtId="0" fontId="3" fillId="2" borderId="3" xfId="0" applyFont="1" applyFill="1" applyBorder="1" applyAlignment="1">
      <alignment horizontal="left"/>
    </xf>
    <xf numFmtId="166" fontId="3" fillId="0" borderId="1" xfId="0" applyNumberFormat="1" applyFont="1" applyBorder="1" applyAlignment="1">
      <alignment horizontal="right"/>
    </xf>
    <xf numFmtId="167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8" fillId="3" borderId="4" xfId="0" applyFont="1" applyFill="1" applyBorder="1" applyAlignment="1">
      <alignment horizontal="center" vertical="center" wrapText="1"/>
    </xf>
    <xf numFmtId="165" fontId="0" fillId="0" borderId="2" xfId="0" applyNumberForma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169" fontId="0" fillId="0" borderId="2" xfId="0" applyNumberFormat="1" applyBorder="1" applyAlignment="1">
      <alignment horizontal="right"/>
    </xf>
    <xf numFmtId="170" fontId="0" fillId="0" borderId="2" xfId="0" applyNumberFormat="1" applyBorder="1" applyAlignment="1">
      <alignment horizontal="right"/>
    </xf>
    <xf numFmtId="0" fontId="9" fillId="0" borderId="0" xfId="0" applyFont="1"/>
    <xf numFmtId="164" fontId="0" fillId="2" borderId="3" xfId="0" applyNumberFormat="1" applyFill="1" applyBorder="1" applyAlignment="1">
      <alignment horizontal="right"/>
    </xf>
    <xf numFmtId="171" fontId="0" fillId="2" borderId="3" xfId="0" applyNumberFormat="1" applyFill="1" applyBorder="1" applyAlignment="1">
      <alignment horizontal="right"/>
    </xf>
    <xf numFmtId="167" fontId="0" fillId="2" borderId="3" xfId="0" applyNumberFormat="1" applyFill="1" applyBorder="1" applyAlignment="1">
      <alignment horizontal="right"/>
    </xf>
    <xf numFmtId="0" fontId="8" fillId="4" borderId="4" xfId="0" applyFont="1" applyFill="1" applyBorder="1"/>
    <xf numFmtId="164" fontId="3" fillId="5" borderId="1" xfId="0" applyNumberFormat="1" applyFont="1" applyFill="1" applyBorder="1" applyAlignment="1">
      <alignment horizontal="right"/>
    </xf>
    <xf numFmtId="171" fontId="3" fillId="2" borderId="3" xfId="0" applyNumberFormat="1" applyFont="1" applyFill="1" applyBorder="1" applyAlignment="1">
      <alignment horizontal="right"/>
    </xf>
    <xf numFmtId="167" fontId="3" fillId="2" borderId="3" xfId="0" applyNumberFormat="1" applyFont="1" applyFill="1" applyBorder="1" applyAlignment="1">
      <alignment horizontal="right"/>
    </xf>
    <xf numFmtId="172" fontId="3" fillId="0" borderId="1" xfId="0" applyNumberFormat="1" applyFont="1" applyBorder="1" applyAlignment="1">
      <alignment horizontal="right"/>
    </xf>
    <xf numFmtId="173" fontId="3" fillId="0" borderId="1" xfId="0" applyNumberFormat="1" applyFont="1" applyBorder="1" applyAlignment="1">
      <alignment horizontal="right"/>
    </xf>
    <xf numFmtId="1" fontId="3" fillId="2" borderId="3" xfId="0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7" fontId="10" fillId="0" borderId="2" xfId="0" applyNumberFormat="1" applyFont="1" applyBorder="1" applyAlignment="1">
      <alignment horizontal="right"/>
    </xf>
    <xf numFmtId="167" fontId="3" fillId="0" borderId="2" xfId="0" applyNumberFormat="1" applyFont="1" applyBorder="1" applyAlignment="1">
      <alignment horizontal="right"/>
    </xf>
    <xf numFmtId="171" fontId="0" fillId="0" borderId="2" xfId="0" applyNumberFormat="1" applyBorder="1" applyAlignment="1">
      <alignment horizontal="right"/>
    </xf>
  </cellXfs>
  <cellStyles count="1">
    <cellStyle name="Normal" xfId="0" builtinId="0"/>
  </cellStyles>
  <dxfs count="2">
    <dxf>
      <font>
        <b/>
        <color rgb="FF3F7D5A"/>
      </font>
    </dxf>
    <dxf>
      <font>
        <b/>
        <color rgb="FFB0473A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Market share by asset type (%)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spPr>
            <a:solidFill>
              <a:srgbClr val="2F6F9F"/>
            </a:solidFill>
          </c:spPr>
          <c:dLbls>
            <c:numFmt formatCode="0.0" sourceLinked="0"/>
            <c:showVal val="1"/>
          </c:dLbls>
          <c:cat>
            <c:strRef>
              <c:f>Dashboard!$J$5:$J$14</c:f>
              <c:strCache>
                <c:ptCount val="10"/>
                <c:pt idx="0">
                  <c:v>Commercial (other)</c:v>
                </c:pt>
                <c:pt idx="1">
                  <c:v>Multifamily</c:v>
                </c:pt>
                <c:pt idx="2">
                  <c:v>Industrial</c:v>
                </c:pt>
                <c:pt idx="3">
                  <c:v>Mixed Use</c:v>
                </c:pt>
                <c:pt idx="4">
                  <c:v>Office</c:v>
                </c:pt>
                <c:pt idx="5">
                  <c:v>Retail</c:v>
                </c:pt>
                <c:pt idx="6">
                  <c:v>Hotel</c:v>
                </c:pt>
                <c:pt idx="7">
                  <c:v>Restaurant</c:v>
                </c:pt>
                <c:pt idx="8">
                  <c:v>Flex</c:v>
                </c:pt>
                <c:pt idx="9">
                  <c:v>Special Purpose</c:v>
                </c:pt>
              </c:strCache>
            </c:strRef>
          </c:cat>
          <c:val>
            <c:numRef>
              <c:f>Dashboard!$K$5:$K$14</c:f>
              <c:numCache>
                <c:formatCode>General</c:formatCode>
                <c:ptCount val="10"/>
                <c:pt idx="0">
                  <c:v>29</c:v>
                </c:pt>
                <c:pt idx="1">
                  <c:v>27.2</c:v>
                </c:pt>
                <c:pt idx="2">
                  <c:v>10.3</c:v>
                </c:pt>
                <c:pt idx="3">
                  <c:v>10</c:v>
                </c:pt>
                <c:pt idx="4">
                  <c:v>8.800000000000001</c:v>
                </c:pt>
                <c:pt idx="5">
                  <c:v>7.6</c:v>
                </c:pt>
                <c:pt idx="6">
                  <c:v>3.3</c:v>
                </c:pt>
                <c:pt idx="7">
                  <c:v>2.4</c:v>
                </c:pt>
                <c:pt idx="8">
                  <c:v>0.9</c:v>
                </c:pt>
                <c:pt idx="9">
                  <c:v>0.6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Normalized $/SqFt by neighborhood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spPr>
            <a:solidFill>
              <a:srgbClr val="2F6F9F"/>
            </a:solidFill>
          </c:spPr>
          <c:dLbls>
            <c:numFmt formatCode="0.0" sourceLinked="0"/>
            <c:showVal val="1"/>
          </c:dLbls>
          <c:cat>
            <c:strRef>
              <c:f>Dashboard!$J$18:$J$26</c:f>
              <c:strCache>
                <c:ptCount val="9"/>
                <c:pt idx="0">
                  <c:v>Area 3600</c:v>
                </c:pt>
                <c:pt idx="1">
                  <c:v>Area 3810</c:v>
                </c:pt>
                <c:pt idx="2">
                  <c:v>Area 3380</c:v>
                </c:pt>
                <c:pt idx="3">
                  <c:v>Area 3370</c:v>
                </c:pt>
                <c:pt idx="4">
                  <c:v>Area 3500</c:v>
                </c:pt>
                <c:pt idx="5">
                  <c:v>Area 3800</c:v>
                </c:pt>
                <c:pt idx="6">
                  <c:v>Area 3470</c:v>
                </c:pt>
                <c:pt idx="7">
                  <c:v>Area 3460</c:v>
                </c:pt>
                <c:pt idx="8">
                  <c:v>Area 3160</c:v>
                </c:pt>
              </c:strCache>
            </c:strRef>
          </c:cat>
          <c:val>
            <c:numRef>
              <c:f>Dashboard!$K$18:$K$26</c:f>
              <c:numCache>
                <c:formatCode>General</c:formatCode>
                <c:ptCount val="9"/>
                <c:pt idx="0">
                  <c:v>268</c:v>
                </c:pt>
                <c:pt idx="1">
                  <c:v>253</c:v>
                </c:pt>
                <c:pt idx="2">
                  <c:v>242</c:v>
                </c:pt>
                <c:pt idx="3">
                  <c:v>186</c:v>
                </c:pt>
                <c:pt idx="4">
                  <c:v>173</c:v>
                </c:pt>
                <c:pt idx="5">
                  <c:v>170</c:v>
                </c:pt>
                <c:pt idx="6">
                  <c:v>153</c:v>
                </c:pt>
                <c:pt idx="7">
                  <c:v>126</c:v>
                </c:pt>
                <c:pt idx="8">
                  <c:v>99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Data-implied cap rate by asset type (%)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spPr>
            <a:solidFill>
              <a:srgbClr val="2F6F9F"/>
            </a:solidFill>
          </c:spPr>
          <c:dLbls>
            <c:numFmt formatCode="0.0" sourceLinked="0"/>
            <c:showVal val="1"/>
          </c:dLbls>
          <c:cat>
            <c:strRef>
              <c:f>Dashboard!$J$30:$J$37</c:f>
              <c:strCache>
                <c:ptCount val="8"/>
                <c:pt idx="0">
                  <c:v>Multifamily</c:v>
                </c:pt>
                <c:pt idx="1">
                  <c:v>Office</c:v>
                </c:pt>
                <c:pt idx="2">
                  <c:v>Retail</c:v>
                </c:pt>
                <c:pt idx="3">
                  <c:v>Industrial</c:v>
                </c:pt>
                <c:pt idx="4">
                  <c:v>Mixed Use</c:v>
                </c:pt>
                <c:pt idx="5">
                  <c:v>Restaurant</c:v>
                </c:pt>
                <c:pt idx="6">
                  <c:v>Special Purpose</c:v>
                </c:pt>
                <c:pt idx="7">
                  <c:v>Commercial (other)</c:v>
                </c:pt>
              </c:strCache>
            </c:strRef>
          </c:cat>
          <c:val>
            <c:numRef>
              <c:f>Dashboard!$K$30:$K$37</c:f>
              <c:numCache>
                <c:formatCode>General</c:formatCode>
                <c:ptCount val="8"/>
                <c:pt idx="0">
                  <c:v>4.74</c:v>
                </c:pt>
                <c:pt idx="1">
                  <c:v>4.03</c:v>
                </c:pt>
                <c:pt idx="2">
                  <c:v>8.15</c:v>
                </c:pt>
                <c:pt idx="3">
                  <c:v>10.47</c:v>
                </c:pt>
                <c:pt idx="4">
                  <c:v>8.66</c:v>
                </c:pt>
                <c:pt idx="5">
                  <c:v>4.46</c:v>
                </c:pt>
                <c:pt idx="6">
                  <c:v>1.36</c:v>
                </c:pt>
                <c:pt idx="7">
                  <c:v>8.390000000000001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904875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3</xdr:col>
      <xdr:colOff>904875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3</xdr:col>
      <xdr:colOff>904875</xdr:colOff>
      <xdr:row>56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assets.cbre.com/-/media/project/cbre/shared-site/teams/united-states/ft-lauderdale/calum-weaver/fort-lauderdale-submarket-report--.pdf" TargetMode="External"/><Relationship Id="rId2" Type="http://schemas.openxmlformats.org/officeDocument/2006/relationships/hyperlink" Target="https://www.miamirealtors.com/2025/10/20/fort-lauderdale-ranked-no-1-in-multifamily-investment-profitability/" TargetMode="External"/><Relationship Id="rId3" Type="http://schemas.openxmlformats.org/officeDocument/2006/relationships/hyperlink" Target="https://www.colliers.com/en/research/ft-lauderdale/4q25-broward-county-office" TargetMode="External"/><Relationship Id="rId4" Type="http://schemas.openxmlformats.org/officeDocument/2006/relationships/hyperlink" Target="https://www.colliers.com/en/research/ft-lauderdale/4q25-broward-county-retail" TargetMode="External"/><Relationship Id="rId5" Type="http://schemas.openxmlformats.org/officeDocument/2006/relationships/hyperlink" Target="https://www.matthews.com/insights/fort-lauderdale-retail" TargetMode="External"/><Relationship Id="rId6" Type="http://schemas.openxmlformats.org/officeDocument/2006/relationships/hyperlink" Target="https://cre-sources.com/las-olas-centre-trades-for-442-psf/" TargetMode="External"/><Relationship Id="rId7" Type="http://schemas.openxmlformats.org/officeDocument/2006/relationships/hyperlink" Target="https://therealdeal.com/miami/2025/02/14/lone-star-funds-highline-square2-buy-fort-lauderdale-tower/" TargetMode="External"/><Relationship Id="rId8" Type="http://schemas.openxmlformats.org/officeDocument/2006/relationships/hyperlink" Target="https://commercialobserver.com/2024/05/related-bh-pebb-the-quay/" TargetMode="External"/><Relationship Id="rId9" Type="http://schemas.openxmlformats.org/officeDocument/2006/relationships/hyperlink" Target="https://www.cbre.com/insights/figures/broward-industrial-figures-q1-2025" TargetMode="External"/><Relationship Id="rId10" Type="http://schemas.openxmlformats.org/officeDocument/2006/relationships/hyperlink" Target="https://www.jll.com/en-us/insights/market-dynamics/broward-industrial" TargetMode="External"/><Relationship Id="rId11" Type="http://schemas.openxmlformats.org/officeDocument/2006/relationships/hyperlink" Target="https://www.matthews.com/insights/fort-lauderdale-fl-hospitality-report-q3-2025" TargetMode="External"/><Relationship Id="rId12" Type="http://schemas.openxmlformats.org/officeDocument/2006/relationships/hyperlink" Target="https://www.rsmeans.com/resources/how-much-does-it-cost-to-build-an-apartment-complex" TargetMode="External"/><Relationship Id="rId13" Type="http://schemas.openxmlformats.org/officeDocument/2006/relationships/hyperlink" Target="https://www.turnerconstruction.com/insights/turner-building-cost-index-shows-growth-in-q4-2025-amid-strong-data-center-and-manufacturing-demand" TargetMode="External"/><Relationship Id="rId14" Type="http://schemas.openxmlformats.org/officeDocument/2006/relationships/hyperlink" Target="https://www.rlb.com/americas/insight/rlb-construction-cost-report-north-america-q3-2025/" TargetMode="External"/><Relationship Id="rId15" Type="http://schemas.openxmlformats.org/officeDocument/2006/relationships/hyperlink" Target="https://www.commercialcafe.com/office-market-trends/us/fl/miami/" TargetMode="External"/><Relationship Id="rId16" Type="http://schemas.openxmlformats.org/officeDocument/2006/relationships/hyperlink" Target="https://bridgewayins.com/2026/05/05/builders-risk-insurance-florida/" TargetMode="External"/><Relationship Id="rId17" Type="http://schemas.openxmlformats.org/officeDocument/2006/relationships/hyperlink" Target="https://www.landsearch.com/commercial/fort-lauderdale-fl" TargetMode="External"/><Relationship Id="rId18" Type="http://schemas.openxmlformats.org/officeDocument/2006/relationships/hyperlink" Target="https://www.bldup.com/posts/development-site-in-downtown-fort-lauderdale-acquired-for-31-24-million" TargetMode="External"/><Relationship Id="rId19" Type="http://schemas.openxmlformats.org/officeDocument/2006/relationships/hyperlink" Target="https://gillesraisfinehomes.com/blog/how-fort-lauderdales-waterfront-micro-markets-shape-pricing" TargetMode="External"/><Relationship Id="rId20" Type="http://schemas.openxmlformats.org/officeDocument/2006/relationships/hyperlink" Target="https://www.matthews.com/insights/rising-multifamily-insurance-costs-in-2025" TargetMode="External"/><Relationship Id="rId21" Type="http://schemas.openxmlformats.org/officeDocument/2006/relationships/hyperlink" Target="https://harbourinsuranceagency.com/blog/florida-flood-zones-ae-vs-x-vs-ve-insurance-requirements-2026/" TargetMode="External"/><Relationship Id="rId22" Type="http://schemas.openxmlformats.org/officeDocument/2006/relationships/hyperlink" Target="https://www.gflalliance.org/news/2018/04/20/press-releases/gov.-scott-announces-30-low-tax-opportunity-zone-designations-for-fort-lauderdale-area/" TargetMode="External"/><Relationship Id="rId23" Type="http://schemas.openxmlformats.org/officeDocument/2006/relationships/hyperlink" Target="https://www.hklaw.com/en/insights/publications/2023/08/floridas-new-live-local-act-offers-land-use-and-tax-benefits" TargetMode="External"/><Relationship Id="rId24" Type="http://schemas.openxmlformats.org/officeDocument/2006/relationships/hyperlink" Target="https://floridayimby.com/2025/10/construction-progresses-on-500-million-fat-village-in-fort-lauderdales-flagler-villag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4"/>
  <sheetViews>
    <sheetView showGridLines="0" tabSelected="1" workbookViewId="0"/>
  </sheetViews>
  <sheetFormatPr defaultRowHeight="15"/>
  <cols>
    <col min="1" max="1" width="24.7109375" customWidth="1"/>
    <col min="2" max="2" width="96.7109375" customWidth="1"/>
  </cols>
  <sheetData>
    <row r="1" spans="1:2">
      <c r="A1" s="1" t="s">
        <v>0</v>
      </c>
    </row>
    <row r="2" spans="1:2" ht="52" customHeight="1">
      <c r="A2" s="2" t="s">
        <v>1</v>
      </c>
      <c r="B2" s="2"/>
    </row>
    <row r="4" spans="1:2">
      <c r="A4" s="1" t="s">
        <v>2</v>
      </c>
    </row>
    <row r="5" spans="1:2" ht="28" customHeight="1">
      <c r="A5" s="3" t="s">
        <v>3</v>
      </c>
      <c r="B5" s="4" t="s">
        <v>4</v>
      </c>
    </row>
    <row r="6" spans="1:2" ht="28" customHeight="1">
      <c r="A6" s="3" t="s">
        <v>3</v>
      </c>
      <c r="B6" s="4" t="s">
        <v>5</v>
      </c>
    </row>
    <row r="7" spans="1:2" ht="28" customHeight="1">
      <c r="A7" s="3" t="s">
        <v>3</v>
      </c>
      <c r="B7" s="4" t="s">
        <v>6</v>
      </c>
    </row>
    <row r="8" spans="1:2" ht="28" customHeight="1">
      <c r="A8" s="3" t="s">
        <v>3</v>
      </c>
      <c r="B8" s="4" t="s">
        <v>7</v>
      </c>
    </row>
    <row r="9" spans="1:2" ht="28" customHeight="1">
      <c r="A9" s="3" t="s">
        <v>3</v>
      </c>
      <c r="B9" s="4" t="s">
        <v>8</v>
      </c>
    </row>
    <row r="10" spans="1:2" ht="28" customHeight="1">
      <c r="A10" s="3" t="s">
        <v>3</v>
      </c>
      <c r="B10" s="4" t="s">
        <v>9</v>
      </c>
    </row>
    <row r="11" spans="1:2" ht="28" customHeight="1">
      <c r="A11" s="3" t="s">
        <v>3</v>
      </c>
      <c r="B11" s="4" t="s">
        <v>10</v>
      </c>
    </row>
    <row r="12" spans="1:2" ht="28" customHeight="1">
      <c r="A12" s="3" t="s">
        <v>3</v>
      </c>
      <c r="B12" s="4" t="s">
        <v>11</v>
      </c>
    </row>
    <row r="13" spans="1:2" ht="28" customHeight="1">
      <c r="A13" s="3" t="s">
        <v>3</v>
      </c>
      <c r="B13" s="4" t="s">
        <v>12</v>
      </c>
    </row>
    <row r="15" spans="1:2">
      <c r="A15" s="1" t="s">
        <v>13</v>
      </c>
    </row>
    <row r="16" spans="1:2" ht="20" customHeight="1">
      <c r="A16" s="5" t="s">
        <v>14</v>
      </c>
      <c r="B16" s="4" t="s">
        <v>15</v>
      </c>
    </row>
    <row r="17" spans="1:2" ht="20" customHeight="1">
      <c r="A17" s="5" t="s">
        <v>16</v>
      </c>
      <c r="B17" s="4" t="s">
        <v>17</v>
      </c>
    </row>
    <row r="18" spans="1:2" ht="20" customHeight="1">
      <c r="A18" s="5" t="s">
        <v>18</v>
      </c>
      <c r="B18" s="4" t="s">
        <v>19</v>
      </c>
    </row>
    <row r="19" spans="1:2" ht="20" customHeight="1">
      <c r="A19" s="5" t="s">
        <v>20</v>
      </c>
      <c r="B19" s="4" t="s">
        <v>21</v>
      </c>
    </row>
    <row r="20" spans="1:2" ht="20" customHeight="1">
      <c r="A20" s="5" t="s">
        <v>22</v>
      </c>
      <c r="B20" s="4" t="s">
        <v>23</v>
      </c>
    </row>
    <row r="21" spans="1:2" ht="20" customHeight="1">
      <c r="A21" s="5" t="s">
        <v>24</v>
      </c>
      <c r="B21" s="4" t="s">
        <v>25</v>
      </c>
    </row>
    <row r="22" spans="1:2" ht="20" customHeight="1">
      <c r="A22" s="5" t="s">
        <v>26</v>
      </c>
      <c r="B22" s="4" t="s">
        <v>27</v>
      </c>
    </row>
    <row r="23" spans="1:2" ht="20" customHeight="1">
      <c r="A23" s="5" t="s">
        <v>28</v>
      </c>
      <c r="B23" s="4" t="s">
        <v>29</v>
      </c>
    </row>
    <row r="24" spans="1:2" ht="20" customHeight="1">
      <c r="A24" s="5" t="s">
        <v>30</v>
      </c>
      <c r="B24" s="4" t="s">
        <v>31</v>
      </c>
    </row>
    <row r="25" spans="1:2" ht="20" customHeight="1">
      <c r="A25" s="5" t="s">
        <v>32</v>
      </c>
      <c r="B25" s="4" t="s">
        <v>33</v>
      </c>
    </row>
    <row r="26" spans="1:2" ht="20" customHeight="1">
      <c r="A26" s="5" t="s">
        <v>34</v>
      </c>
      <c r="B26" s="4" t="s">
        <v>35</v>
      </c>
    </row>
    <row r="27" spans="1:2" ht="20" customHeight="1">
      <c r="A27" s="5" t="s">
        <v>36</v>
      </c>
      <c r="B27" s="4" t="s">
        <v>37</v>
      </c>
    </row>
    <row r="28" spans="1:2" ht="20" customHeight="1">
      <c r="A28" s="5" t="s">
        <v>38</v>
      </c>
      <c r="B28" s="4" t="s">
        <v>39</v>
      </c>
    </row>
    <row r="29" spans="1:2" ht="20" customHeight="1">
      <c r="A29" s="5" t="s">
        <v>40</v>
      </c>
      <c r="B29" s="4" t="s">
        <v>41</v>
      </c>
    </row>
    <row r="30" spans="1:2" ht="20" customHeight="1">
      <c r="A30" s="5" t="s">
        <v>42</v>
      </c>
      <c r="B30" s="4" t="s">
        <v>43</v>
      </c>
    </row>
    <row r="31" spans="1:2" ht="20" customHeight="1">
      <c r="A31" s="5" t="s">
        <v>44</v>
      </c>
      <c r="B31" s="4" t="s">
        <v>45</v>
      </c>
    </row>
    <row r="32" spans="1:2" ht="20" customHeight="1">
      <c r="A32" s="5" t="s">
        <v>46</v>
      </c>
      <c r="B32" s="4" t="s">
        <v>47</v>
      </c>
    </row>
    <row r="33" spans="1:2" ht="20" customHeight="1">
      <c r="A33" s="5" t="s">
        <v>48</v>
      </c>
      <c r="B33" s="4" t="s">
        <v>49</v>
      </c>
    </row>
    <row r="34" spans="1:2" ht="20" customHeight="1">
      <c r="A34" s="5" t="s">
        <v>50</v>
      </c>
      <c r="B34" s="4" t="s">
        <v>51</v>
      </c>
    </row>
  </sheetData>
  <mergeCells count="1">
    <mergeCell ref="A2:B2"/>
  </mergeCells>
  <hyperlinks>
    <hyperlink ref="A16" location="'Dashboard'!A1" display="Dashboard"/>
    <hyperlink ref="A17" location="'New Property'!A1" display="New Property"/>
    <hyperlink ref="A18" location="'Data'!A1" display="Data"/>
    <hyperlink ref="A19" location="'Guide'!A1" display="Guide"/>
    <hyperlink ref="A20" location="'Key Takeaways'!A1" display="Key Takeaways"/>
    <hyperlink ref="A21" location="'Call List'!A1" display="Call List"/>
    <hyperlink ref="A22" location="'Neighborhoods'!A1" display="Neighborhoods"/>
    <hyperlink ref="A23" location="'Repricing'!A1" display="Repricing"/>
    <hyperlink ref="A24" location="'Segmentation'!A1" display="Segmentation"/>
    <hyperlink ref="A25" location="'Neighborhood Mix'!A1" display="Neighborhood Mix"/>
    <hyperlink ref="A26" location="'Opportunities'!A1" display="Opportunities"/>
    <hyperlink ref="A27" location="'Prospects'!A1" display="Prospects"/>
    <hyperlink ref="A28" location="'Leasing'!A1" display="Leasing"/>
    <hyperlink ref="A29" location="'Comps'!A1" display="Comps"/>
    <hyperlink ref="A30" location="'Market'!A1" display="Market"/>
    <hyperlink ref="A31" location="'Assumptions'!A1" display="Assumptions"/>
    <hyperlink ref="A32" location="'Scenario'!A1" display="Scenario"/>
    <hyperlink ref="A33" location="'Types'!A1" display="Types"/>
    <hyperlink ref="A34" location="'Absorption'!A1" display="Absorption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37"/>
  <sheetViews>
    <sheetView showGridLines="0" workbookViewId="0"/>
  </sheetViews>
  <sheetFormatPr defaultRowHeight="15"/>
  <cols>
    <col min="1" max="1" width="22.7109375" customWidth="1"/>
    <col min="2" max="5" width="14.7109375" customWidth="1"/>
    <col min="10" max="11" width="0" hidden="1" customWidth="1"/>
  </cols>
  <sheetData>
    <row r="1" spans="1:11">
      <c r="A1" s="1" t="s">
        <v>14</v>
      </c>
    </row>
    <row r="2" spans="1:11" ht="30" customHeight="1">
      <c r="A2" s="2" t="s">
        <v>52</v>
      </c>
      <c r="B2" s="2"/>
      <c r="C2" s="2"/>
      <c r="D2" s="2"/>
      <c r="E2" s="2"/>
      <c r="F2" s="2"/>
      <c r="G2" s="2"/>
    </row>
    <row r="4" spans="1:11">
      <c r="A4" s="6" t="s">
        <v>53</v>
      </c>
      <c r="B4" s="6" t="s">
        <v>54</v>
      </c>
      <c r="C4" s="6" t="s">
        <v>55</v>
      </c>
      <c r="D4" s="6" t="s">
        <v>56</v>
      </c>
      <c r="E4" s="6" t="s">
        <v>57</v>
      </c>
      <c r="J4" s="3" t="s">
        <v>64</v>
      </c>
    </row>
    <row r="5" spans="1:11">
      <c r="A5" s="7">
        <f>COUNTA(Data!A:A)-3</f>
        <v>984</v>
      </c>
      <c r="B5" s="7">
        <f>COUNTIF(Data!F:F,"Sale")</f>
        <v>463</v>
      </c>
      <c r="C5" s="7">
        <f>COUNTIFS(Data!E:E,"Sold",Data!F:F,"Sale")</f>
        <v>89</v>
      </c>
      <c r="D5" s="7">
        <f>COUNTIF(Data!F:F,"Lease")</f>
        <v>521</v>
      </c>
      <c r="E5" s="8">
        <v>182</v>
      </c>
      <c r="J5" t="s">
        <v>65</v>
      </c>
      <c r="K5">
        <v>29</v>
      </c>
    </row>
    <row r="6" spans="1:11">
      <c r="J6" t="s">
        <v>66</v>
      </c>
      <c r="K6">
        <v>27.2</v>
      </c>
    </row>
    <row r="7" spans="1:11">
      <c r="A7" s="3" t="s">
        <v>58</v>
      </c>
      <c r="B7" s="9" t="s">
        <v>59</v>
      </c>
      <c r="J7" t="s">
        <v>67</v>
      </c>
      <c r="K7">
        <v>10.3</v>
      </c>
    </row>
    <row r="8" spans="1:11">
      <c r="J8" t="s">
        <v>68</v>
      </c>
      <c r="K8">
        <v>10</v>
      </c>
    </row>
    <row r="9" spans="1:11">
      <c r="A9" s="10" t="s">
        <v>60</v>
      </c>
      <c r="B9" s="11">
        <f>IFERROR(AVERAGEIFS(Data!I:I,Data!C:C,$B$7,Data!E:E,"Sold",Data!F:F,"Sale"),"—")</f>
        <v>129.0</v>
      </c>
      <c r="J9" t="s">
        <v>69</v>
      </c>
      <c r="K9">
        <v>8.800000000000001</v>
      </c>
    </row>
    <row r="10" spans="1:11">
      <c r="A10" s="10" t="s">
        <v>55</v>
      </c>
      <c r="B10" s="12">
        <f>COUNTIFS(Data!C:C,$B$7,Data!E:E,"Sold",Data!F:F,"Sale")</f>
        <v>4</v>
      </c>
      <c r="J10" t="s">
        <v>70</v>
      </c>
      <c r="K10">
        <v>7.6</v>
      </c>
    </row>
    <row r="11" spans="1:11">
      <c r="A11" s="10" t="s">
        <v>61</v>
      </c>
      <c r="B11" s="12">
        <f>COUNTIFS(Data!C:C,$B$7,Data!E:E,"Active",Data!F:F,"Sale")+COUNTIFS(Data!C:C,$B$7,Data!E:E,"Pending",Data!F:F,"Sale")+COUNTIFS(Data!C:C,$B$7,Data!E:E,"UnderContract",Data!F:F,"Sale")</f>
        <v>10</v>
      </c>
      <c r="J11" t="s">
        <v>71</v>
      </c>
      <c r="K11">
        <v>3.3</v>
      </c>
    </row>
    <row r="12" spans="1:11">
      <c r="A12" s="10" t="s">
        <v>62</v>
      </c>
      <c r="B12" s="11">
        <f>IFERROR(AVERAGEIFS(Data!G:G,Data!C:C,$B$7,Data!E:E,"Sold",Data!F:F,"Sale"),"—")</f>
        <v>852500.0</v>
      </c>
      <c r="J12" t="s">
        <v>72</v>
      </c>
      <c r="K12">
        <v>2.4</v>
      </c>
    </row>
    <row r="13" spans="1:11">
      <c r="A13" s="10" t="s">
        <v>63</v>
      </c>
      <c r="B13" s="11">
        <f>IFERROR(AVERAGEIFS(Data!L:L,Data!C:C,$B$7,Data!F:F,"Lease"),"—")</f>
        <v>32.0</v>
      </c>
      <c r="J13" t="s">
        <v>73</v>
      </c>
      <c r="K13">
        <v>0.9</v>
      </c>
    </row>
    <row r="14" spans="1:11">
      <c r="J14" t="s">
        <v>74</v>
      </c>
      <c r="K14">
        <v>0.6</v>
      </c>
    </row>
    <row r="17" spans="10:11">
      <c r="J17" s="3" t="s">
        <v>75</v>
      </c>
    </row>
    <row r="18" spans="10:11">
      <c r="J18" t="s">
        <v>76</v>
      </c>
      <c r="K18">
        <v>268</v>
      </c>
    </row>
    <row r="19" spans="10:11">
      <c r="J19" t="s">
        <v>77</v>
      </c>
      <c r="K19">
        <v>253</v>
      </c>
    </row>
    <row r="20" spans="10:11">
      <c r="J20" t="s">
        <v>78</v>
      </c>
      <c r="K20">
        <v>242</v>
      </c>
    </row>
    <row r="21" spans="10:11">
      <c r="J21" t="s">
        <v>79</v>
      </c>
      <c r="K21">
        <v>186</v>
      </c>
    </row>
    <row r="22" spans="10:11">
      <c r="J22" t="s">
        <v>80</v>
      </c>
      <c r="K22">
        <v>173</v>
      </c>
    </row>
    <row r="23" spans="10:11">
      <c r="J23" t="s">
        <v>81</v>
      </c>
      <c r="K23">
        <v>170</v>
      </c>
    </row>
    <row r="24" spans="10:11">
      <c r="J24" t="s">
        <v>82</v>
      </c>
      <c r="K24">
        <v>153</v>
      </c>
    </row>
    <row r="25" spans="10:11">
      <c r="J25" t="s">
        <v>83</v>
      </c>
      <c r="K25">
        <v>126</v>
      </c>
    </row>
    <row r="26" spans="10:11">
      <c r="J26" t="s">
        <v>59</v>
      </c>
      <c r="K26">
        <v>99</v>
      </c>
    </row>
    <row r="29" spans="10:11">
      <c r="J29" s="3" t="s">
        <v>84</v>
      </c>
    </row>
    <row r="30" spans="10:11">
      <c r="J30" t="s">
        <v>66</v>
      </c>
      <c r="K30">
        <v>4.74</v>
      </c>
    </row>
    <row r="31" spans="10:11">
      <c r="J31" t="s">
        <v>69</v>
      </c>
      <c r="K31">
        <v>4.03</v>
      </c>
    </row>
    <row r="32" spans="10:11">
      <c r="J32" t="s">
        <v>70</v>
      </c>
      <c r="K32">
        <v>8.15</v>
      </c>
    </row>
    <row r="33" spans="10:11">
      <c r="J33" t="s">
        <v>67</v>
      </c>
      <c r="K33">
        <v>10.47</v>
      </c>
    </row>
    <row r="34" spans="10:11">
      <c r="J34" t="s">
        <v>68</v>
      </c>
      <c r="K34">
        <v>8.66</v>
      </c>
    </row>
    <row r="35" spans="10:11">
      <c r="J35" t="s">
        <v>72</v>
      </c>
      <c r="K35">
        <v>4.46</v>
      </c>
    </row>
    <row r="36" spans="10:11">
      <c r="J36" t="s">
        <v>74</v>
      </c>
      <c r="K36">
        <v>1.36</v>
      </c>
    </row>
    <row r="37" spans="10:11">
      <c r="J37" t="s">
        <v>65</v>
      </c>
      <c r="K37">
        <v>8.390000000000001</v>
      </c>
    </row>
  </sheetData>
  <mergeCells count="1">
    <mergeCell ref="A2:G2"/>
  </mergeCells>
  <dataValidations count="1">
    <dataValidation type="list" allowBlank="1" showInputMessage="1" showErrorMessage="1" sqref="B7">
      <formula1>"Area 3160,Area 3170,Area 3250,Area 3260,Area 3270,Area 3280,Area 3360,Area 3370,Area 3380,Area 3390,Area 3400,Area 3450,Area 3460,Area 3470,Area 3480,Area 3490,Area 3500,Area 3560,Area 3580,Area 3600,Area 3700,Area 3800,Area 3810"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52"/>
  <sheetViews>
    <sheetView showGridLines="0" workbookViewId="0"/>
  </sheetViews>
  <sheetFormatPr defaultRowHeight="15"/>
  <cols>
    <col min="1" max="1" width="24.7109375" customWidth="1"/>
    <col min="2" max="2" width="16.7109375" customWidth="1"/>
    <col min="3" max="3" width="3.7109375" customWidth="1"/>
    <col min="4" max="4" width="24.7109375" customWidth="1"/>
    <col min="5" max="5" width="16.7109375" customWidth="1"/>
    <col min="8" max="14" width="0" hidden="1" customWidth="1"/>
  </cols>
  <sheetData>
    <row r="1" spans="1:12">
      <c r="A1" s="1" t="s">
        <v>85</v>
      </c>
    </row>
    <row r="2" spans="1:12" ht="40" customHeight="1">
      <c r="A2" s="2" t="s">
        <v>86</v>
      </c>
      <c r="B2" s="2"/>
      <c r="C2" s="2"/>
      <c r="D2" s="2"/>
      <c r="E2" s="2"/>
      <c r="F2" s="2"/>
    </row>
    <row r="4" spans="1:12">
      <c r="A4" s="10" t="s">
        <v>121</v>
      </c>
      <c r="B4" s="13">
        <v>2000000</v>
      </c>
      <c r="D4" s="3" t="s">
        <v>125</v>
      </c>
      <c r="E4" s="14">
        <f>B4/B5</f>
        <v>200.0</v>
      </c>
      <c r="H4" t="s">
        <v>87</v>
      </c>
      <c r="I4" t="s">
        <v>88</v>
      </c>
      <c r="J4" t="s">
        <v>89</v>
      </c>
      <c r="K4" t="s">
        <v>90</v>
      </c>
      <c r="L4" t="s">
        <v>91</v>
      </c>
    </row>
    <row r="5" spans="1:12">
      <c r="A5" s="10" t="s">
        <v>122</v>
      </c>
      <c r="B5" s="15">
        <v>10000</v>
      </c>
      <c r="D5" s="3" t="s">
        <v>126</v>
      </c>
      <c r="E5" s="14">
        <f>IFERROR(IF($B$7="Any",AVERAGEIFS(Data!I:I,Data!D:D,$B$6,Data!E:E,"Sold",Data!F:F,"Sale"),AVERAGEIFS(Data!I:I,Data!C:C,$B$7,Data!D:D,$B$6,Data!E:E,"Sold",Data!F:F,"Sale")),IFERROR(AVERAGEIFS(Data!I:I,Data!D:D,$B$6,Data!E:E,"Sold",Data!F:F,"Sale"),0))</f>
        <v>191.0</v>
      </c>
      <c r="H5" t="s">
        <v>66</v>
      </c>
      <c r="I5">
        <v>18</v>
      </c>
      <c r="J5">
        <v>0.06</v>
      </c>
      <c r="K5">
        <v>0.42</v>
      </c>
      <c r="L5">
        <v>0.055</v>
      </c>
    </row>
    <row r="6" spans="1:12">
      <c r="A6" s="10" t="s">
        <v>123</v>
      </c>
      <c r="B6" s="16" t="s">
        <v>66</v>
      </c>
      <c r="D6" s="3" t="s">
        <v>127</v>
      </c>
      <c r="E6" s="17">
        <f>IFERROR(E5/E4-1,0)</f>
        <v>-0.04278960670955201</v>
      </c>
      <c r="H6" t="s">
        <v>69</v>
      </c>
      <c r="I6">
        <v>34</v>
      </c>
      <c r="J6">
        <v>0.15</v>
      </c>
      <c r="K6">
        <v>0.45</v>
      </c>
      <c r="L6">
        <v>0.08</v>
      </c>
    </row>
    <row r="7" spans="1:12">
      <c r="A7" s="10" t="s">
        <v>124</v>
      </c>
      <c r="B7" s="16" t="s">
        <v>106</v>
      </c>
      <c r="D7" s="3" t="s">
        <v>128</v>
      </c>
      <c r="E7" s="14">
        <f>(E5-E4)*B5</f>
        <v>-85579.21341910401</v>
      </c>
      <c r="H7" t="s">
        <v>70</v>
      </c>
      <c r="I7">
        <v>23</v>
      </c>
      <c r="J7">
        <v>0.08</v>
      </c>
      <c r="K7">
        <v>0.22</v>
      </c>
      <c r="L7">
        <v>0.0675</v>
      </c>
    </row>
    <row r="8" spans="1:12">
      <c r="D8" s="3" t="s">
        <v>129</v>
      </c>
      <c r="E8" s="14">
        <f>INDEX($I$4:$I$13,MATCH($B$6,$H$4:$H$13,0))</f>
        <v>18</v>
      </c>
      <c r="H8" t="s">
        <v>67</v>
      </c>
      <c r="I8">
        <v>12</v>
      </c>
      <c r="J8">
        <v>0.05</v>
      </c>
      <c r="K8">
        <v>0.15</v>
      </c>
      <c r="L8">
        <v>0.0625</v>
      </c>
    </row>
    <row r="9" spans="1:12">
      <c r="D9" s="3" t="s">
        <v>130</v>
      </c>
      <c r="E9" s="14">
        <f>B5*E8*(1-INDEX($J$4:$J$13,MATCH($B$6,$H$4:$H$13,0)))*(1-INDEX($K$4:$K$13,MATCH($B$6,$H$4:$H$13,0)))</f>
        <v>98136.00000000001</v>
      </c>
      <c r="H9" t="s">
        <v>68</v>
      </c>
      <c r="I9">
        <v>16</v>
      </c>
      <c r="J9">
        <v>0.1</v>
      </c>
      <c r="K9">
        <v>0.35</v>
      </c>
      <c r="L9">
        <v>0.0675</v>
      </c>
    </row>
    <row r="10" spans="1:12">
      <c r="D10" s="3" t="s">
        <v>131</v>
      </c>
      <c r="E10" s="18">
        <f>IFERROR(E9/B4,0)</f>
        <v>0.04906800000000001</v>
      </c>
      <c r="H10" t="s">
        <v>71</v>
      </c>
      <c r="I10">
        <v>100</v>
      </c>
      <c r="J10">
        <v>0.3</v>
      </c>
      <c r="K10">
        <v>0.62</v>
      </c>
      <c r="L10">
        <v>0.08500000000000001</v>
      </c>
    </row>
    <row r="11" spans="1:12">
      <c r="D11" s="3" t="s">
        <v>132</v>
      </c>
      <c r="E11" s="14">
        <f>IFERROR(E9/INDEX($L$4:$L$13,MATCH($B$6,$H$4:$H$13,0)),0)</f>
        <v>1784290.9090909094</v>
      </c>
      <c r="H11" t="s">
        <v>72</v>
      </c>
      <c r="I11">
        <v>33</v>
      </c>
      <c r="J11">
        <v>0.1</v>
      </c>
      <c r="K11">
        <v>0.2</v>
      </c>
      <c r="L11">
        <v>0.065</v>
      </c>
    </row>
    <row r="12" spans="1:12">
      <c r="D12" s="3" t="s">
        <v>133</v>
      </c>
      <c r="E12" s="17">
        <f>IFERROR(B4/E11-1,0)</f>
        <v>0.12089345398222862</v>
      </c>
      <c r="H12" t="s">
        <v>73</v>
      </c>
      <c r="I12">
        <v>20</v>
      </c>
      <c r="J12">
        <v>0.08</v>
      </c>
      <c r="K12">
        <v>0.2</v>
      </c>
      <c r="L12">
        <v>0.07000000000000001</v>
      </c>
    </row>
    <row r="13" spans="1:12">
      <c r="D13" s="3" t="s">
        <v>134</v>
      </c>
      <c r="E13" s="19" t="str">
        <f>IF(B4&lt;1000000,"&lt; $1M",IF(B4&lt;2500000,"$1–2.5M",IF(B4&lt;5000000,"$2.5–5M",IF(B4&lt;10000000,"$5–10M","$10M+"))))</f>
        <v>$1–2.5M</v>
      </c>
      <c r="H13" t="s">
        <v>74</v>
      </c>
      <c r="I13">
        <v>22</v>
      </c>
      <c r="J13">
        <v>0.15</v>
      </c>
      <c r="K13">
        <v>0.3</v>
      </c>
      <c r="L13">
        <v>0.075</v>
      </c>
    </row>
    <row r="14" spans="1:12">
      <c r="D14" s="3" t="s">
        <v>135</v>
      </c>
      <c r="E14" s="19" t="str">
        <f>IF(B5&lt;2500,"&lt; 2.5K",IF(B5&lt;5000,"2.5–5K",IF(B5&lt;10000,"5–10K",IF(B5&lt;25000,"10–25K",IF(B5&lt;50000,"25–50K","50K+")))))</f>
        <v>10–25K</v>
      </c>
      <c r="H14" t="s">
        <v>65</v>
      </c>
      <c r="I14">
        <v>22</v>
      </c>
      <c r="J14">
        <v>0.12</v>
      </c>
      <c r="K14">
        <v>0.3</v>
      </c>
      <c r="L14">
        <v>0.07000000000000001</v>
      </c>
    </row>
    <row r="15" spans="1:12">
      <c r="D15" s="3" t="s">
        <v>136</v>
      </c>
      <c r="E15" s="18">
        <f>IFERROR(INDEX($I$16:$I$20,MATCH(E13,$H$16:$H$20,0))/100,0)</f>
        <v>0.43200000000000005</v>
      </c>
      <c r="H15" t="s">
        <v>92</v>
      </c>
      <c r="I15" t="s">
        <v>93</v>
      </c>
    </row>
    <row r="16" spans="1:12">
      <c r="D16" s="3" t="s">
        <v>137</v>
      </c>
      <c r="E16" s="18">
        <f>IFERROR(INDEX($I$22:$I$27,MATCH(E14,$H$22:$H$27,0))/100,0)</f>
        <v>0.408</v>
      </c>
      <c r="H16" t="s">
        <v>94</v>
      </c>
      <c r="I16">
        <v>43.2</v>
      </c>
    </row>
    <row r="17" spans="1:14">
      <c r="H17" t="s">
        <v>95</v>
      </c>
      <c r="I17">
        <v>23</v>
      </c>
    </row>
    <row r="18" spans="1:14">
      <c r="A18" s="2" t="s">
        <v>138</v>
      </c>
      <c r="H18" t="s">
        <v>96</v>
      </c>
      <c r="I18">
        <v>21.8</v>
      </c>
    </row>
    <row r="19" spans="1:14">
      <c r="H19" t="s">
        <v>97</v>
      </c>
      <c r="I19">
        <v>8.5</v>
      </c>
    </row>
    <row r="20" spans="1:14">
      <c r="H20" t="s">
        <v>98</v>
      </c>
      <c r="I20">
        <v>3.6</v>
      </c>
    </row>
    <row r="21" spans="1:14">
      <c r="H21" t="s">
        <v>99</v>
      </c>
      <c r="I21" t="s">
        <v>93</v>
      </c>
    </row>
    <row r="22" spans="1:14">
      <c r="H22" t="s">
        <v>100</v>
      </c>
      <c r="I22">
        <v>40.8</v>
      </c>
    </row>
    <row r="23" spans="1:14">
      <c r="H23" t="s">
        <v>101</v>
      </c>
      <c r="I23">
        <v>36</v>
      </c>
    </row>
    <row r="24" spans="1:14">
      <c r="H24" t="s">
        <v>102</v>
      </c>
      <c r="I24">
        <v>9.4</v>
      </c>
    </row>
    <row r="25" spans="1:14">
      <c r="H25" t="s">
        <v>103</v>
      </c>
      <c r="I25">
        <v>8.5</v>
      </c>
    </row>
    <row r="26" spans="1:14">
      <c r="H26" t="s">
        <v>104</v>
      </c>
      <c r="I26">
        <v>5.1</v>
      </c>
    </row>
    <row r="27" spans="1:14">
      <c r="H27" t="s">
        <v>105</v>
      </c>
      <c r="I27">
        <v>0.3</v>
      </c>
    </row>
    <row r="29" spans="1:14">
      <c r="N29" t="s">
        <v>106</v>
      </c>
    </row>
    <row r="30" spans="1:14">
      <c r="N30" t="s">
        <v>59</v>
      </c>
    </row>
    <row r="31" spans="1:14">
      <c r="N31" t="s">
        <v>107</v>
      </c>
    </row>
    <row r="32" spans="1:14">
      <c r="N32" t="s">
        <v>108</v>
      </c>
    </row>
    <row r="33" spans="14:14">
      <c r="N33" t="s">
        <v>109</v>
      </c>
    </row>
    <row r="34" spans="14:14">
      <c r="N34" t="s">
        <v>110</v>
      </c>
    </row>
    <row r="35" spans="14:14">
      <c r="N35" t="s">
        <v>111</v>
      </c>
    </row>
    <row r="36" spans="14:14">
      <c r="N36" t="s">
        <v>112</v>
      </c>
    </row>
    <row r="37" spans="14:14">
      <c r="N37" t="s">
        <v>79</v>
      </c>
    </row>
    <row r="38" spans="14:14">
      <c r="N38" t="s">
        <v>78</v>
      </c>
    </row>
    <row r="39" spans="14:14">
      <c r="N39" t="s">
        <v>113</v>
      </c>
    </row>
    <row r="40" spans="14:14">
      <c r="N40" t="s">
        <v>114</v>
      </c>
    </row>
    <row r="41" spans="14:14">
      <c r="N41" t="s">
        <v>115</v>
      </c>
    </row>
    <row r="42" spans="14:14">
      <c r="N42" t="s">
        <v>83</v>
      </c>
    </row>
    <row r="43" spans="14:14">
      <c r="N43" t="s">
        <v>82</v>
      </c>
    </row>
    <row r="44" spans="14:14">
      <c r="N44" t="s">
        <v>116</v>
      </c>
    </row>
    <row r="45" spans="14:14">
      <c r="N45" t="s">
        <v>117</v>
      </c>
    </row>
    <row r="46" spans="14:14">
      <c r="N46" t="s">
        <v>80</v>
      </c>
    </row>
    <row r="47" spans="14:14">
      <c r="N47" t="s">
        <v>118</v>
      </c>
    </row>
    <row r="48" spans="14:14">
      <c r="N48" t="s">
        <v>119</v>
      </c>
    </row>
    <row r="49" spans="14:14">
      <c r="N49" t="s">
        <v>76</v>
      </c>
    </row>
    <row r="50" spans="14:14">
      <c r="N50" t="s">
        <v>120</v>
      </c>
    </row>
    <row r="51" spans="14:14">
      <c r="N51" t="s">
        <v>81</v>
      </c>
    </row>
    <row r="52" spans="14:14">
      <c r="N52" t="s">
        <v>77</v>
      </c>
    </row>
  </sheetData>
  <mergeCells count="1">
    <mergeCell ref="A2:F2"/>
  </mergeCells>
  <dataValidations count="2">
    <dataValidation type="list" allowBlank="1" showInputMessage="1" showErrorMessage="1" sqref="B6">
      <formula1>$H$4:$H$13</formula1>
    </dataValidation>
    <dataValidation type="list" allowBlank="1" showInputMessage="1" showErrorMessage="1" sqref="B7">
      <formula1>$N$29:$N$52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40"/>
  <sheetViews>
    <sheetView showGridLines="0" workbookViewId="0"/>
  </sheetViews>
  <sheetFormatPr defaultRowHeight="15"/>
  <cols>
    <col min="1" max="1" width="30.7109375" customWidth="1"/>
    <col min="2" max="2" width="112.7109375" customWidth="1"/>
  </cols>
  <sheetData>
    <row r="1" spans="1:2">
      <c r="A1" s="1" t="s">
        <v>139</v>
      </c>
    </row>
    <row r="2" spans="1:2" ht="24" customHeight="1">
      <c r="A2" s="2" t="s">
        <v>140</v>
      </c>
      <c r="B2" s="2"/>
    </row>
    <row r="4" spans="1:2">
      <c r="A4" s="1" t="s">
        <v>141</v>
      </c>
    </row>
    <row r="5" spans="1:2" ht="51" customHeight="1">
      <c r="A5" s="3" t="s">
        <v>142</v>
      </c>
      <c r="B5" s="4" t="s">
        <v>143</v>
      </c>
    </row>
    <row r="6" spans="1:2" ht="51" customHeight="1">
      <c r="A6" s="3" t="s">
        <v>144</v>
      </c>
      <c r="B6" s="4" t="s">
        <v>145</v>
      </c>
    </row>
    <row r="7" spans="1:2">
      <c r="A7" s="1" t="s">
        <v>146</v>
      </c>
    </row>
    <row r="8" spans="1:2" ht="36" customHeight="1">
      <c r="A8" s="3" t="s">
        <v>147</v>
      </c>
      <c r="B8" s="4" t="s">
        <v>148</v>
      </c>
    </row>
    <row r="9" spans="1:2" ht="36" customHeight="1">
      <c r="A9" s="3" t="s">
        <v>149</v>
      </c>
      <c r="B9" s="4" t="s">
        <v>150</v>
      </c>
    </row>
    <row r="10" spans="1:2">
      <c r="A10" s="1" t="s">
        <v>151</v>
      </c>
    </row>
    <row r="11" spans="1:2" ht="36" customHeight="1">
      <c r="A11" s="3" t="s">
        <v>152</v>
      </c>
      <c r="B11" s="4" t="s">
        <v>153</v>
      </c>
    </row>
    <row r="12" spans="1:2" ht="21" customHeight="1">
      <c r="A12" s="3" t="s">
        <v>154</v>
      </c>
      <c r="B12" s="4" t="s">
        <v>155</v>
      </c>
    </row>
    <row r="13" spans="1:2" ht="21" customHeight="1">
      <c r="A13" s="3" t="s">
        <v>156</v>
      </c>
      <c r="B13" s="4" t="s">
        <v>157</v>
      </c>
    </row>
    <row r="14" spans="1:2" ht="36" customHeight="1">
      <c r="A14" s="3" t="s">
        <v>158</v>
      </c>
      <c r="B14" s="4" t="s">
        <v>159</v>
      </c>
    </row>
    <row r="15" spans="1:2" ht="21" customHeight="1">
      <c r="A15" s="3" t="s">
        <v>160</v>
      </c>
      <c r="B15" s="4" t="s">
        <v>161</v>
      </c>
    </row>
    <row r="16" spans="1:2" ht="21" customHeight="1">
      <c r="A16" s="3" t="s">
        <v>162</v>
      </c>
      <c r="B16" s="4" t="s">
        <v>163</v>
      </c>
    </row>
    <row r="17" spans="1:2" ht="36" customHeight="1">
      <c r="A17" s="3" t="s">
        <v>164</v>
      </c>
      <c r="B17" s="4" t="s">
        <v>165</v>
      </c>
    </row>
    <row r="18" spans="1:2" ht="21" customHeight="1">
      <c r="A18" s="3" t="s">
        <v>166</v>
      </c>
      <c r="B18" s="4" t="s">
        <v>167</v>
      </c>
    </row>
    <row r="19" spans="1:2" ht="21" customHeight="1">
      <c r="A19" s="3" t="s">
        <v>168</v>
      </c>
      <c r="B19" s="4" t="s">
        <v>169</v>
      </c>
    </row>
    <row r="20" spans="1:2" ht="21" customHeight="1">
      <c r="A20" s="3" t="s">
        <v>170</v>
      </c>
      <c r="B20" s="4" t="s">
        <v>171</v>
      </c>
    </row>
    <row r="21" spans="1:2" ht="36" customHeight="1">
      <c r="A21" s="3" t="s">
        <v>172</v>
      </c>
      <c r="B21" s="4" t="s">
        <v>173</v>
      </c>
    </row>
    <row r="22" spans="1:2">
      <c r="A22" s="1" t="s">
        <v>174</v>
      </c>
    </row>
    <row r="23" spans="1:2" ht="21" customHeight="1">
      <c r="A23" s="3" t="s">
        <v>175</v>
      </c>
      <c r="B23" s="4" t="s">
        <v>176</v>
      </c>
    </row>
    <row r="24" spans="1:2" ht="36" customHeight="1">
      <c r="A24" s="3" t="s">
        <v>177</v>
      </c>
      <c r="B24" s="4" t="s">
        <v>178</v>
      </c>
    </row>
    <row r="25" spans="1:2" ht="36" customHeight="1">
      <c r="A25" s="3" t="s">
        <v>179</v>
      </c>
      <c r="B25" s="4" t="s">
        <v>180</v>
      </c>
    </row>
    <row r="26" spans="1:2">
      <c r="A26" s="1" t="s">
        <v>181</v>
      </c>
    </row>
    <row r="27" spans="1:2" ht="36" customHeight="1">
      <c r="A27" s="3" t="s">
        <v>182</v>
      </c>
      <c r="B27" s="4" t="s">
        <v>183</v>
      </c>
    </row>
    <row r="28" spans="1:2" ht="21" customHeight="1">
      <c r="A28" s="3" t="s">
        <v>184</v>
      </c>
      <c r="B28" s="4" t="s">
        <v>185</v>
      </c>
    </row>
    <row r="29" spans="1:2" ht="21" customHeight="1">
      <c r="A29" s="3" t="s">
        <v>186</v>
      </c>
      <c r="B29" s="4" t="s">
        <v>187</v>
      </c>
    </row>
    <row r="30" spans="1:2">
      <c r="A30" s="1" t="s">
        <v>188</v>
      </c>
    </row>
    <row r="31" spans="1:2" ht="26" customHeight="1">
      <c r="A31" s="2" t="s">
        <v>189</v>
      </c>
      <c r="B31" s="2"/>
    </row>
    <row r="32" spans="1:2" ht="36" customHeight="1">
      <c r="A32" s="3" t="s">
        <v>190</v>
      </c>
      <c r="B32" s="4" t="s">
        <v>191</v>
      </c>
    </row>
    <row r="33" spans="1:2" ht="51" customHeight="1">
      <c r="A33" s="3" t="s">
        <v>192</v>
      </c>
      <c r="B33" s="4" t="s">
        <v>193</v>
      </c>
    </row>
    <row r="34" spans="1:2" ht="36" customHeight="1">
      <c r="A34" s="3" t="s">
        <v>194</v>
      </c>
      <c r="B34" s="4" t="s">
        <v>195</v>
      </c>
    </row>
    <row r="35" spans="1:2" ht="21" customHeight="1">
      <c r="A35" s="3" t="s">
        <v>196</v>
      </c>
      <c r="B35" s="4" t="s">
        <v>197</v>
      </c>
    </row>
    <row r="36" spans="1:2" ht="51" customHeight="1">
      <c r="A36" s="3" t="s">
        <v>198</v>
      </c>
      <c r="B36" s="4" t="s">
        <v>199</v>
      </c>
    </row>
    <row r="37" spans="1:2" ht="36" customHeight="1">
      <c r="A37" s="3" t="s">
        <v>200</v>
      </c>
      <c r="B37" s="4" t="s">
        <v>201</v>
      </c>
    </row>
    <row r="38" spans="1:2">
      <c r="A38" s="1" t="s">
        <v>202</v>
      </c>
    </row>
    <row r="39" spans="1:2" ht="51" customHeight="1">
      <c r="A39" s="3" t="s">
        <v>203</v>
      </c>
      <c r="B39" s="4" t="s">
        <v>204</v>
      </c>
    </row>
    <row r="40" spans="1:2" ht="36" customHeight="1">
      <c r="A40" s="3" t="s">
        <v>205</v>
      </c>
      <c r="B40" s="4" t="s">
        <v>206</v>
      </c>
    </row>
  </sheetData>
  <mergeCells count="2">
    <mergeCell ref="A2:B2"/>
    <mergeCell ref="A31:B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/>
  </sheetViews>
  <sheetFormatPr defaultRowHeight="15"/>
  <cols>
    <col min="1" max="1" width="3.7109375" customWidth="1"/>
    <col min="2" max="2" width="112.7109375" customWidth="1"/>
  </cols>
  <sheetData>
    <row r="1" spans="1:2">
      <c r="B1" s="1" t="s">
        <v>207</v>
      </c>
    </row>
    <row r="3" spans="1:2" ht="30" customHeight="1">
      <c r="A3" s="3" t="s">
        <v>3</v>
      </c>
      <c r="B3" s="4" t="s">
        <v>208</v>
      </c>
    </row>
    <row r="4" spans="1:2" ht="30" customHeight="1">
      <c r="A4" s="3" t="s">
        <v>3</v>
      </c>
      <c r="B4" s="4" t="s">
        <v>209</v>
      </c>
    </row>
    <row r="5" spans="1:2" ht="30" customHeight="1">
      <c r="A5" s="3" t="s">
        <v>3</v>
      </c>
      <c r="B5" s="4" t="s">
        <v>210</v>
      </c>
    </row>
    <row r="6" spans="1:2" ht="30" customHeight="1">
      <c r="A6" s="3" t="s">
        <v>3</v>
      </c>
      <c r="B6" s="4" t="s">
        <v>211</v>
      </c>
    </row>
    <row r="7" spans="1:2" ht="30" customHeight="1">
      <c r="A7" s="3" t="s">
        <v>3</v>
      </c>
      <c r="B7" s="4" t="s">
        <v>212</v>
      </c>
    </row>
    <row r="8" spans="1:2" ht="30" customHeight="1">
      <c r="A8" s="3" t="s">
        <v>3</v>
      </c>
      <c r="B8" s="4" t="s">
        <v>213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O19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6.7109375" customWidth="1"/>
    <col min="3" max="4" width="15.7109375" customWidth="1"/>
    <col min="5" max="12" width="11.7109375" customWidth="1"/>
    <col min="13" max="13" width="62.7109375" customWidth="1"/>
    <col min="14" max="14" width="48.7109375" customWidth="1"/>
    <col min="15" max="15" width="80.7109375" customWidth="1"/>
  </cols>
  <sheetData>
    <row r="1" spans="1:15">
      <c r="A1" s="1" t="s">
        <v>214</v>
      </c>
    </row>
    <row r="2" spans="1:15" ht="30" customHeight="1">
      <c r="A2" s="2" t="s">
        <v>215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>
      <c r="A4" s="20" t="s">
        <v>216</v>
      </c>
      <c r="B4" s="20" t="s">
        <v>217</v>
      </c>
      <c r="C4" s="20" t="s">
        <v>218</v>
      </c>
      <c r="D4" s="20" t="s">
        <v>219</v>
      </c>
      <c r="E4" s="20" t="s">
        <v>220</v>
      </c>
      <c r="F4" s="20" t="s">
        <v>221</v>
      </c>
      <c r="G4" s="20" t="s">
        <v>222</v>
      </c>
      <c r="H4" s="20" t="s">
        <v>223</v>
      </c>
      <c r="I4" s="20" t="s">
        <v>224</v>
      </c>
      <c r="J4" s="20" t="s">
        <v>225</v>
      </c>
      <c r="K4" s="20" t="s">
        <v>226</v>
      </c>
      <c r="L4" s="20" t="s">
        <v>168</v>
      </c>
      <c r="M4" s="20" t="s">
        <v>227</v>
      </c>
      <c r="N4" s="20" t="s">
        <v>228</v>
      </c>
      <c r="O4" s="20" t="s">
        <v>229</v>
      </c>
    </row>
    <row r="5" spans="1:15">
      <c r="A5" s="21">
        <v>1</v>
      </c>
      <c r="B5" s="4" t="s">
        <v>230</v>
      </c>
      <c r="C5" s="4" t="s">
        <v>65</v>
      </c>
      <c r="D5" s="4" t="s">
        <v>81</v>
      </c>
      <c r="E5" s="4" t="s">
        <v>231</v>
      </c>
      <c r="F5" s="4" t="s">
        <v>232</v>
      </c>
      <c r="G5" s="21">
        <v>90193</v>
      </c>
      <c r="H5" s="22">
        <v>11900000</v>
      </c>
      <c r="I5" s="22">
        <v>6404000</v>
      </c>
      <c r="J5" s="22">
        <v>71</v>
      </c>
      <c r="K5" s="23">
        <v>0.1027</v>
      </c>
      <c r="L5" s="22">
        <v>26.5</v>
      </c>
      <c r="M5" s="4" t="s">
        <v>233</v>
      </c>
      <c r="N5" s="4" t="s">
        <v>234</v>
      </c>
      <c r="O5" s="4" t="s">
        <v>235</v>
      </c>
    </row>
    <row r="6" spans="1:15">
      <c r="A6" s="21">
        <v>2</v>
      </c>
      <c r="B6" s="4" t="s">
        <v>236</v>
      </c>
      <c r="C6" s="4" t="s">
        <v>71</v>
      </c>
      <c r="D6" s="4" t="s">
        <v>79</v>
      </c>
      <c r="E6" s="4" t="s">
        <v>231</v>
      </c>
      <c r="F6" s="4" t="s">
        <v>232</v>
      </c>
      <c r="G6" s="21">
        <v>27696</v>
      </c>
      <c r="H6" s="22">
        <v>9600000</v>
      </c>
      <c r="I6" s="22">
        <v>6259000</v>
      </c>
      <c r="J6" s="22">
        <v>226</v>
      </c>
      <c r="K6" s="23">
        <v>0.0767</v>
      </c>
      <c r="L6" s="24" t="s">
        <v>237</v>
      </c>
      <c r="M6" s="4" t="s">
        <v>238</v>
      </c>
      <c r="N6" s="4" t="s">
        <v>239</v>
      </c>
      <c r="O6" s="4" t="s">
        <v>240</v>
      </c>
    </row>
    <row r="7" spans="1:15">
      <c r="A7" s="21">
        <v>3</v>
      </c>
      <c r="B7" s="4" t="s">
        <v>241</v>
      </c>
      <c r="C7" s="4" t="s">
        <v>67</v>
      </c>
      <c r="D7" s="4" t="s">
        <v>117</v>
      </c>
      <c r="E7" s="4" t="s">
        <v>231</v>
      </c>
      <c r="F7" s="4" t="s">
        <v>232</v>
      </c>
      <c r="G7" s="21">
        <v>48992</v>
      </c>
      <c r="H7" s="22">
        <v>8700000</v>
      </c>
      <c r="I7" s="22">
        <v>6026000</v>
      </c>
      <c r="J7" s="22">
        <v>123</v>
      </c>
      <c r="K7" s="23">
        <v>0.0546</v>
      </c>
      <c r="L7" s="22">
        <v>19.4</v>
      </c>
      <c r="M7" s="4" t="s">
        <v>242</v>
      </c>
      <c r="N7" s="4" t="s">
        <v>243</v>
      </c>
      <c r="O7" s="4" t="s">
        <v>244</v>
      </c>
    </row>
    <row r="8" spans="1:15">
      <c r="A8" s="21">
        <v>4</v>
      </c>
      <c r="B8" s="4" t="s">
        <v>245</v>
      </c>
      <c r="C8" s="4" t="s">
        <v>71</v>
      </c>
      <c r="D8" s="4" t="s">
        <v>246</v>
      </c>
      <c r="E8" s="4" t="s">
        <v>231</v>
      </c>
      <c r="F8" s="4" t="s">
        <v>232</v>
      </c>
      <c r="G8" s="21">
        <v>18110</v>
      </c>
      <c r="H8" s="22">
        <v>8000000</v>
      </c>
      <c r="I8" s="22">
        <v>5306000</v>
      </c>
      <c r="J8" s="22">
        <v>293</v>
      </c>
      <c r="K8" s="23">
        <v>0.0602</v>
      </c>
      <c r="L8" s="24" t="s">
        <v>237</v>
      </c>
      <c r="M8" s="4" t="s">
        <v>247</v>
      </c>
      <c r="N8" s="4" t="s">
        <v>248</v>
      </c>
      <c r="O8" s="4" t="s">
        <v>249</v>
      </c>
    </row>
    <row r="9" spans="1:15">
      <c r="A9" s="21">
        <v>5</v>
      </c>
      <c r="B9" s="4" t="s">
        <v>250</v>
      </c>
      <c r="C9" s="4" t="s">
        <v>66</v>
      </c>
      <c r="D9" s="4" t="s">
        <v>82</v>
      </c>
      <c r="E9" s="4" t="s">
        <v>231</v>
      </c>
      <c r="F9" s="4" t="s">
        <v>232</v>
      </c>
      <c r="G9" s="21">
        <v>39000</v>
      </c>
      <c r="H9" s="22">
        <v>7950000</v>
      </c>
      <c r="I9" s="22">
        <v>3783000</v>
      </c>
      <c r="J9" s="22">
        <v>97</v>
      </c>
      <c r="K9" s="23">
        <v>0.0481</v>
      </c>
      <c r="L9" s="22">
        <v>15.4</v>
      </c>
      <c r="M9" s="4" t="s">
        <v>251</v>
      </c>
      <c r="N9" s="4" t="s">
        <v>252</v>
      </c>
      <c r="O9" s="4" t="s">
        <v>253</v>
      </c>
    </row>
    <row r="10" spans="1:15">
      <c r="A10" s="21">
        <v>6</v>
      </c>
      <c r="B10" s="4" t="s">
        <v>254</v>
      </c>
      <c r="C10" s="4" t="s">
        <v>68</v>
      </c>
      <c r="D10" s="4" t="s">
        <v>118</v>
      </c>
      <c r="E10" s="4" t="s">
        <v>231</v>
      </c>
      <c r="F10" s="4" t="s">
        <v>232</v>
      </c>
      <c r="G10" s="21">
        <v>26576</v>
      </c>
      <c r="H10" s="22">
        <v>7600000</v>
      </c>
      <c r="I10" s="22">
        <v>2923000</v>
      </c>
      <c r="J10" s="22">
        <v>110</v>
      </c>
      <c r="K10" s="23">
        <v>0.0327</v>
      </c>
      <c r="L10" s="22">
        <v>20.2</v>
      </c>
      <c r="M10" s="4" t="s">
        <v>255</v>
      </c>
      <c r="N10" s="4" t="s">
        <v>256</v>
      </c>
      <c r="O10" s="4" t="s">
        <v>257</v>
      </c>
    </row>
    <row r="11" spans="1:15">
      <c r="A11" s="21">
        <v>7</v>
      </c>
      <c r="B11" s="4" t="s">
        <v>258</v>
      </c>
      <c r="C11" s="4" t="s">
        <v>70</v>
      </c>
      <c r="D11" s="4" t="s">
        <v>116</v>
      </c>
      <c r="E11" s="4" t="s">
        <v>259</v>
      </c>
      <c r="F11" s="4" t="s">
        <v>232</v>
      </c>
      <c r="G11" s="21">
        <v>16875</v>
      </c>
      <c r="H11" s="22">
        <v>7000000</v>
      </c>
      <c r="I11" s="22">
        <v>2143000</v>
      </c>
      <c r="J11" s="22">
        <v>127</v>
      </c>
      <c r="K11" s="23">
        <v>0.0398</v>
      </c>
      <c r="L11" s="22">
        <v>28</v>
      </c>
      <c r="M11" s="4" t="s">
        <v>260</v>
      </c>
      <c r="N11" s="4" t="s">
        <v>261</v>
      </c>
      <c r="O11" s="4" t="s">
        <v>262</v>
      </c>
    </row>
    <row r="12" spans="1:15">
      <c r="A12" s="21">
        <v>8</v>
      </c>
      <c r="B12" s="4" t="s">
        <v>258</v>
      </c>
      <c r="C12" s="4" t="s">
        <v>70</v>
      </c>
      <c r="D12" s="4" t="s">
        <v>76</v>
      </c>
      <c r="E12" s="4" t="s">
        <v>259</v>
      </c>
      <c r="F12" s="4" t="s">
        <v>232</v>
      </c>
      <c r="G12" s="21">
        <v>16875</v>
      </c>
      <c r="H12" s="22">
        <v>7000000</v>
      </c>
      <c r="I12" s="22">
        <v>2987000</v>
      </c>
      <c r="J12" s="22">
        <v>177</v>
      </c>
      <c r="K12" s="23">
        <v>0.0398</v>
      </c>
      <c r="L12" s="22">
        <v>28</v>
      </c>
      <c r="M12" s="4" t="s">
        <v>263</v>
      </c>
      <c r="N12" s="4" t="s">
        <v>264</v>
      </c>
      <c r="O12" s="4" t="s">
        <v>265</v>
      </c>
    </row>
    <row r="13" spans="1:15">
      <c r="A13" s="21">
        <v>9</v>
      </c>
      <c r="B13" s="4" t="s">
        <v>266</v>
      </c>
      <c r="C13" s="4" t="s">
        <v>65</v>
      </c>
      <c r="D13" s="4" t="s">
        <v>109</v>
      </c>
      <c r="E13" s="4" t="s">
        <v>231</v>
      </c>
      <c r="F13" s="4" t="s">
        <v>232</v>
      </c>
      <c r="G13" s="21">
        <v>25000</v>
      </c>
      <c r="H13" s="22">
        <v>6500000</v>
      </c>
      <c r="I13" s="22">
        <v>3975000</v>
      </c>
      <c r="J13" s="22">
        <v>159</v>
      </c>
      <c r="K13" s="23">
        <v>0.0521</v>
      </c>
      <c r="L13" s="22">
        <v>26.5</v>
      </c>
      <c r="M13" s="4" t="s">
        <v>267</v>
      </c>
      <c r="N13" s="4" t="s">
        <v>268</v>
      </c>
      <c r="O13" s="4" t="s">
        <v>269</v>
      </c>
    </row>
    <row r="14" spans="1:15">
      <c r="A14" s="21">
        <v>10</v>
      </c>
      <c r="B14" s="4" t="s">
        <v>270</v>
      </c>
      <c r="C14" s="4" t="s">
        <v>71</v>
      </c>
      <c r="D14" s="4" t="s">
        <v>108</v>
      </c>
      <c r="E14" s="4" t="s">
        <v>231</v>
      </c>
      <c r="F14" s="4" t="s">
        <v>232</v>
      </c>
      <c r="G14" s="21">
        <v>29865</v>
      </c>
      <c r="H14" s="22">
        <v>6000000</v>
      </c>
      <c r="I14" s="22">
        <v>6690000</v>
      </c>
      <c r="J14" s="22">
        <v>224</v>
      </c>
      <c r="K14" s="23">
        <v>0.1324</v>
      </c>
      <c r="L14" s="24" t="s">
        <v>237</v>
      </c>
      <c r="M14" s="4" t="s">
        <v>271</v>
      </c>
      <c r="N14" s="4" t="s">
        <v>272</v>
      </c>
      <c r="O14" s="4" t="s">
        <v>273</v>
      </c>
    </row>
    <row r="15" spans="1:15">
      <c r="A15" s="21">
        <v>11</v>
      </c>
      <c r="B15" s="4" t="s">
        <v>274</v>
      </c>
      <c r="C15" s="4" t="s">
        <v>69</v>
      </c>
      <c r="D15" s="4" t="s">
        <v>112</v>
      </c>
      <c r="E15" s="4" t="s">
        <v>231</v>
      </c>
      <c r="F15" s="4" t="s">
        <v>232</v>
      </c>
      <c r="G15" s="21">
        <v>33482</v>
      </c>
      <c r="H15" s="22">
        <v>5999999</v>
      </c>
      <c r="I15" s="22">
        <v>2109000</v>
      </c>
      <c r="J15" s="22">
        <v>63</v>
      </c>
      <c r="K15" s="23">
        <v>0.0887</v>
      </c>
      <c r="L15" s="22">
        <v>17</v>
      </c>
      <c r="M15" s="4" t="s">
        <v>275</v>
      </c>
      <c r="N15" s="4" t="s">
        <v>276</v>
      </c>
      <c r="O15" s="4" t="s">
        <v>277</v>
      </c>
    </row>
    <row r="16" spans="1:15">
      <c r="A16" s="21">
        <v>12</v>
      </c>
      <c r="B16" s="4" t="s">
        <v>278</v>
      </c>
      <c r="C16" s="4" t="s">
        <v>66</v>
      </c>
      <c r="D16" s="4" t="s">
        <v>279</v>
      </c>
      <c r="E16" s="4" t="s">
        <v>231</v>
      </c>
      <c r="F16" s="4" t="s">
        <v>232</v>
      </c>
      <c r="G16" s="21">
        <v>26399</v>
      </c>
      <c r="H16" s="22">
        <v>5999999</v>
      </c>
      <c r="I16" s="22">
        <v>3933000</v>
      </c>
      <c r="J16" s="22">
        <v>149</v>
      </c>
      <c r="K16" s="23">
        <v>0.0432</v>
      </c>
      <c r="L16" s="22">
        <v>15.4</v>
      </c>
      <c r="M16" s="4" t="s">
        <v>280</v>
      </c>
      <c r="N16" s="4" t="s">
        <v>281</v>
      </c>
      <c r="O16" s="4" t="s">
        <v>282</v>
      </c>
    </row>
    <row r="17" spans="1:15">
      <c r="A17" s="21">
        <v>13</v>
      </c>
      <c r="B17" s="4" t="s">
        <v>283</v>
      </c>
      <c r="C17" s="4" t="s">
        <v>66</v>
      </c>
      <c r="D17" s="4" t="s">
        <v>279</v>
      </c>
      <c r="E17" s="4" t="s">
        <v>231</v>
      </c>
      <c r="F17" s="4" t="s">
        <v>232</v>
      </c>
      <c r="G17" s="21">
        <v>26399</v>
      </c>
      <c r="H17" s="22">
        <v>5800888</v>
      </c>
      <c r="I17" s="22">
        <v>3933000</v>
      </c>
      <c r="J17" s="22">
        <v>149</v>
      </c>
      <c r="K17" s="23">
        <v>0.0447</v>
      </c>
      <c r="L17" s="22">
        <v>15.4</v>
      </c>
      <c r="M17" s="4" t="s">
        <v>284</v>
      </c>
      <c r="N17" s="4" t="s">
        <v>285</v>
      </c>
      <c r="O17" s="4" t="s">
        <v>286</v>
      </c>
    </row>
    <row r="18" spans="1:15">
      <c r="A18" s="21">
        <v>14</v>
      </c>
      <c r="B18" s="4" t="s">
        <v>287</v>
      </c>
      <c r="C18" s="4" t="s">
        <v>66</v>
      </c>
      <c r="D18" s="4" t="s">
        <v>109</v>
      </c>
      <c r="E18" s="4" t="s">
        <v>231</v>
      </c>
      <c r="F18" s="4" t="s">
        <v>232</v>
      </c>
      <c r="G18" s="21">
        <v>19298</v>
      </c>
      <c r="H18" s="22">
        <v>5450000</v>
      </c>
      <c r="I18" s="22">
        <v>3396000</v>
      </c>
      <c r="J18" s="22">
        <v>176</v>
      </c>
      <c r="K18" s="23">
        <v>0.0347</v>
      </c>
      <c r="L18" s="22">
        <v>15.4</v>
      </c>
      <c r="M18" s="4" t="s">
        <v>288</v>
      </c>
      <c r="N18" s="4" t="s">
        <v>289</v>
      </c>
      <c r="O18" s="4" t="s">
        <v>290</v>
      </c>
    </row>
    <row r="19" spans="1:15">
      <c r="A19" s="21">
        <v>15</v>
      </c>
      <c r="B19" s="4" t="s">
        <v>291</v>
      </c>
      <c r="C19" s="4" t="s">
        <v>66</v>
      </c>
      <c r="D19" s="4" t="s">
        <v>76</v>
      </c>
      <c r="E19" s="4" t="s">
        <v>231</v>
      </c>
      <c r="F19" s="4" t="s">
        <v>232</v>
      </c>
      <c r="G19" s="21">
        <v>20020</v>
      </c>
      <c r="H19" s="22">
        <v>5295000</v>
      </c>
      <c r="I19" s="22">
        <v>4825000</v>
      </c>
      <c r="J19" s="22">
        <v>241</v>
      </c>
      <c r="K19" s="23">
        <v>0.0371</v>
      </c>
      <c r="L19" s="22">
        <v>15.4</v>
      </c>
      <c r="M19" s="4" t="s">
        <v>292</v>
      </c>
      <c r="N19" s="4" t="s">
        <v>293</v>
      </c>
      <c r="O19" s="4" t="s">
        <v>294</v>
      </c>
    </row>
    <row r="20" spans="1:15">
      <c r="A20" s="21">
        <v>16</v>
      </c>
      <c r="B20" s="4" t="s">
        <v>295</v>
      </c>
      <c r="C20" s="4" t="s">
        <v>72</v>
      </c>
      <c r="D20" s="4" t="s">
        <v>81</v>
      </c>
      <c r="E20" s="4" t="s">
        <v>231</v>
      </c>
      <c r="F20" s="4" t="s">
        <v>232</v>
      </c>
      <c r="G20" s="21">
        <v>8664</v>
      </c>
      <c r="H20" s="22">
        <v>5000000</v>
      </c>
      <c r="I20" s="22">
        <v>1594000</v>
      </c>
      <c r="J20" s="22">
        <v>184</v>
      </c>
      <c r="K20" s="23">
        <v>0.0412</v>
      </c>
      <c r="L20" s="22">
        <v>22.6</v>
      </c>
      <c r="M20" s="4" t="s">
        <v>296</v>
      </c>
      <c r="N20" s="4" t="s">
        <v>297</v>
      </c>
      <c r="O20" s="4" t="s">
        <v>298</v>
      </c>
    </row>
    <row r="21" spans="1:15">
      <c r="A21" s="21">
        <v>17</v>
      </c>
      <c r="B21" s="4" t="s">
        <v>299</v>
      </c>
      <c r="C21" s="4" t="s">
        <v>65</v>
      </c>
      <c r="D21" s="4" t="s">
        <v>77</v>
      </c>
      <c r="E21" s="4" t="s">
        <v>231</v>
      </c>
      <c r="F21" s="4" t="s">
        <v>232</v>
      </c>
      <c r="G21" s="21">
        <v>15937</v>
      </c>
      <c r="H21" s="22">
        <v>5000000</v>
      </c>
      <c r="I21" s="22">
        <v>4223000</v>
      </c>
      <c r="J21" s="22">
        <v>265</v>
      </c>
      <c r="K21" s="23">
        <v>0.0432</v>
      </c>
      <c r="L21" s="22">
        <v>26.5</v>
      </c>
      <c r="M21" s="4" t="s">
        <v>300</v>
      </c>
      <c r="N21" s="4" t="s">
        <v>301</v>
      </c>
      <c r="O21" s="4" t="s">
        <v>302</v>
      </c>
    </row>
    <row r="22" spans="1:15">
      <c r="A22" s="21">
        <v>18</v>
      </c>
      <c r="B22" s="4" t="s">
        <v>303</v>
      </c>
      <c r="C22" s="4" t="s">
        <v>65</v>
      </c>
      <c r="D22" s="4" t="s">
        <v>81</v>
      </c>
      <c r="E22" s="4" t="s">
        <v>231</v>
      </c>
      <c r="F22" s="4" t="s">
        <v>232</v>
      </c>
      <c r="G22" s="21">
        <v>12715</v>
      </c>
      <c r="H22" s="22">
        <v>4600000</v>
      </c>
      <c r="I22" s="22">
        <v>2568000</v>
      </c>
      <c r="J22" s="22">
        <v>202</v>
      </c>
      <c r="K22" s="23">
        <v>0.0375</v>
      </c>
      <c r="L22" s="22">
        <v>26.5</v>
      </c>
      <c r="M22" s="4" t="s">
        <v>304</v>
      </c>
      <c r="N22" s="4" t="s">
        <v>305</v>
      </c>
      <c r="O22" s="4" t="s">
        <v>306</v>
      </c>
    </row>
    <row r="23" spans="1:15">
      <c r="A23" s="21">
        <v>19</v>
      </c>
      <c r="B23" s="4" t="s">
        <v>307</v>
      </c>
      <c r="C23" s="4" t="s">
        <v>65</v>
      </c>
      <c r="D23" s="4" t="s">
        <v>59</v>
      </c>
      <c r="E23" s="4" t="s">
        <v>231</v>
      </c>
      <c r="F23" s="4" t="s">
        <v>232</v>
      </c>
      <c r="G23" s="21">
        <v>45568</v>
      </c>
      <c r="H23" s="22">
        <v>4500000</v>
      </c>
      <c r="I23" s="22">
        <v>2689000</v>
      </c>
      <c r="J23" s="22">
        <v>59</v>
      </c>
      <c r="K23" s="23">
        <v>0.1372</v>
      </c>
      <c r="L23" s="22">
        <v>26.5</v>
      </c>
      <c r="M23" s="4" t="s">
        <v>308</v>
      </c>
      <c r="N23" s="4" t="s">
        <v>309</v>
      </c>
      <c r="O23" s="4" t="s">
        <v>310</v>
      </c>
    </row>
    <row r="24" spans="1:15">
      <c r="A24" s="21">
        <v>20</v>
      </c>
      <c r="B24" s="4" t="s">
        <v>311</v>
      </c>
      <c r="C24" s="4" t="s">
        <v>65</v>
      </c>
      <c r="D24" s="4" t="s">
        <v>108</v>
      </c>
      <c r="E24" s="4" t="s">
        <v>231</v>
      </c>
      <c r="F24" s="4" t="s">
        <v>232</v>
      </c>
      <c r="G24" s="21">
        <v>14860</v>
      </c>
      <c r="H24" s="22">
        <v>4500000</v>
      </c>
      <c r="I24" s="22">
        <v>3106000</v>
      </c>
      <c r="J24" s="22">
        <v>209</v>
      </c>
      <c r="K24" s="23">
        <v>0.0448</v>
      </c>
      <c r="L24" s="22">
        <v>26.5</v>
      </c>
      <c r="M24" s="4" t="s">
        <v>312</v>
      </c>
      <c r="N24" s="4" t="s">
        <v>313</v>
      </c>
      <c r="O24" s="4" t="s">
        <v>314</v>
      </c>
    </row>
    <row r="25" spans="1:15">
      <c r="A25" s="21">
        <v>21</v>
      </c>
      <c r="B25" s="4" t="s">
        <v>315</v>
      </c>
      <c r="C25" s="4" t="s">
        <v>71</v>
      </c>
      <c r="D25" s="4" t="s">
        <v>108</v>
      </c>
      <c r="E25" s="4" t="s">
        <v>231</v>
      </c>
      <c r="F25" s="4" t="s">
        <v>232</v>
      </c>
      <c r="G25" s="21">
        <v>20004</v>
      </c>
      <c r="H25" s="22">
        <v>4500000</v>
      </c>
      <c r="I25" s="22">
        <v>5541000</v>
      </c>
      <c r="J25" s="22">
        <v>277</v>
      </c>
      <c r="K25" s="23">
        <v>0.1182</v>
      </c>
      <c r="L25" s="24" t="s">
        <v>237</v>
      </c>
      <c r="M25" s="4" t="s">
        <v>316</v>
      </c>
      <c r="N25" s="4" t="s">
        <v>317</v>
      </c>
      <c r="O25" s="4" t="s">
        <v>318</v>
      </c>
    </row>
    <row r="26" spans="1:15">
      <c r="A26" s="21">
        <v>22</v>
      </c>
      <c r="B26" s="4" t="s">
        <v>319</v>
      </c>
      <c r="C26" s="4" t="s">
        <v>65</v>
      </c>
      <c r="D26" s="4" t="s">
        <v>78</v>
      </c>
      <c r="E26" s="4" t="s">
        <v>259</v>
      </c>
      <c r="F26" s="4" t="s">
        <v>232</v>
      </c>
      <c r="G26" s="21">
        <v>11156</v>
      </c>
      <c r="H26" s="22">
        <v>4250000</v>
      </c>
      <c r="I26" s="22">
        <v>3414000</v>
      </c>
      <c r="J26" s="22">
        <v>306</v>
      </c>
      <c r="K26" s="23">
        <v>0.0356</v>
      </c>
      <c r="L26" s="22">
        <v>26.5</v>
      </c>
      <c r="M26" s="4" t="s">
        <v>320</v>
      </c>
      <c r="N26" s="4" t="s">
        <v>321</v>
      </c>
      <c r="O26" s="4" t="s">
        <v>322</v>
      </c>
    </row>
    <row r="27" spans="1:15">
      <c r="A27" s="21">
        <v>23</v>
      </c>
      <c r="B27" s="4" t="s">
        <v>315</v>
      </c>
      <c r="C27" s="4" t="s">
        <v>71</v>
      </c>
      <c r="D27" s="4" t="s">
        <v>108</v>
      </c>
      <c r="E27" s="4" t="s">
        <v>231</v>
      </c>
      <c r="F27" s="4" t="s">
        <v>232</v>
      </c>
      <c r="G27" s="21">
        <v>20004</v>
      </c>
      <c r="H27" s="22">
        <v>4200000</v>
      </c>
      <c r="I27" s="22">
        <v>5541000</v>
      </c>
      <c r="J27" s="22">
        <v>277</v>
      </c>
      <c r="K27" s="23">
        <v>0.1267</v>
      </c>
      <c r="L27" s="24" t="s">
        <v>237</v>
      </c>
      <c r="M27" s="4" t="s">
        <v>316</v>
      </c>
      <c r="N27" s="4" t="s">
        <v>323</v>
      </c>
      <c r="O27" s="4" t="s">
        <v>324</v>
      </c>
    </row>
    <row r="28" spans="1:15">
      <c r="A28" s="21">
        <v>24</v>
      </c>
      <c r="B28" s="4" t="s">
        <v>325</v>
      </c>
      <c r="C28" s="4" t="s">
        <v>68</v>
      </c>
      <c r="D28" s="4" t="s">
        <v>110</v>
      </c>
      <c r="E28" s="4" t="s">
        <v>231</v>
      </c>
      <c r="F28" s="4" t="s">
        <v>232</v>
      </c>
      <c r="G28" s="21">
        <v>19125</v>
      </c>
      <c r="H28" s="22">
        <v>4000000</v>
      </c>
      <c r="I28" s="22">
        <v>2505000</v>
      </c>
      <c r="J28" s="22">
        <v>131</v>
      </c>
      <c r="K28" s="23">
        <v>0.0448</v>
      </c>
      <c r="L28" s="22">
        <v>20.2</v>
      </c>
      <c r="M28" s="4" t="s">
        <v>326</v>
      </c>
      <c r="N28" s="4" t="s">
        <v>327</v>
      </c>
      <c r="O28" s="4" t="s">
        <v>328</v>
      </c>
    </row>
    <row r="29" spans="1:15">
      <c r="A29" s="21">
        <v>25</v>
      </c>
      <c r="B29" s="4" t="s">
        <v>329</v>
      </c>
      <c r="C29" s="4" t="s">
        <v>65</v>
      </c>
      <c r="D29" s="4" t="s">
        <v>83</v>
      </c>
      <c r="E29" s="4" t="s">
        <v>231</v>
      </c>
      <c r="F29" s="4" t="s">
        <v>232</v>
      </c>
      <c r="G29" s="21">
        <v>22630</v>
      </c>
      <c r="H29" s="22">
        <v>3995000</v>
      </c>
      <c r="I29" s="22">
        <v>2467000</v>
      </c>
      <c r="J29" s="22">
        <v>109</v>
      </c>
      <c r="K29" s="23">
        <v>0.07679999999999999</v>
      </c>
      <c r="L29" s="22">
        <v>26.5</v>
      </c>
      <c r="M29" s="4" t="s">
        <v>330</v>
      </c>
      <c r="N29" s="4" t="s">
        <v>331</v>
      </c>
      <c r="O29" s="4" t="s">
        <v>332</v>
      </c>
    </row>
    <row r="30" spans="1:15">
      <c r="A30" s="21">
        <v>26</v>
      </c>
      <c r="B30" s="4" t="s">
        <v>333</v>
      </c>
      <c r="C30" s="4" t="s">
        <v>67</v>
      </c>
      <c r="D30" s="4" t="s">
        <v>79</v>
      </c>
      <c r="E30" s="4" t="s">
        <v>231</v>
      </c>
      <c r="F30" s="4" t="s">
        <v>232</v>
      </c>
      <c r="G30" s="21">
        <v>13000</v>
      </c>
      <c r="H30" s="22">
        <v>3900000</v>
      </c>
      <c r="I30" s="22">
        <v>3146000</v>
      </c>
      <c r="J30" s="22">
        <v>242</v>
      </c>
      <c r="K30" s="23">
        <v>0.0323</v>
      </c>
      <c r="L30" s="22">
        <v>19.4</v>
      </c>
      <c r="M30" s="4" t="s">
        <v>334</v>
      </c>
      <c r="N30" s="4" t="s">
        <v>335</v>
      </c>
      <c r="O30" s="4" t="s">
        <v>336</v>
      </c>
    </row>
    <row r="31" spans="1:15">
      <c r="A31" s="21">
        <v>27</v>
      </c>
      <c r="B31" s="4" t="s">
        <v>337</v>
      </c>
      <c r="C31" s="4" t="s">
        <v>70</v>
      </c>
      <c r="D31" s="4" t="s">
        <v>118</v>
      </c>
      <c r="E31" s="4" t="s">
        <v>231</v>
      </c>
      <c r="F31" s="4" t="s">
        <v>232</v>
      </c>
      <c r="G31" s="21">
        <v>26836</v>
      </c>
      <c r="H31" s="22">
        <v>3900000</v>
      </c>
      <c r="I31" s="22">
        <v>2657000</v>
      </c>
      <c r="J31" s="22">
        <v>99</v>
      </c>
      <c r="K31" s="23">
        <v>0.1136</v>
      </c>
      <c r="L31" s="22">
        <v>28</v>
      </c>
      <c r="M31" s="4" t="s">
        <v>338</v>
      </c>
      <c r="N31" s="4" t="s">
        <v>339</v>
      </c>
      <c r="O31" s="4" t="s">
        <v>340</v>
      </c>
    </row>
    <row r="32" spans="1:15">
      <c r="A32" s="21">
        <v>28</v>
      </c>
      <c r="B32" s="4" t="s">
        <v>341</v>
      </c>
      <c r="C32" s="4" t="s">
        <v>65</v>
      </c>
      <c r="D32" s="4" t="s">
        <v>108</v>
      </c>
      <c r="E32" s="4" t="s">
        <v>231</v>
      </c>
      <c r="F32" s="4" t="s">
        <v>232</v>
      </c>
      <c r="G32" s="21">
        <v>15000</v>
      </c>
      <c r="H32" s="22">
        <v>3800000</v>
      </c>
      <c r="I32" s="22">
        <v>3120000</v>
      </c>
      <c r="J32" s="22">
        <v>208</v>
      </c>
      <c r="K32" s="23">
        <v>0.0535</v>
      </c>
      <c r="L32" s="22">
        <v>26.5</v>
      </c>
      <c r="M32" s="4" t="s">
        <v>342</v>
      </c>
      <c r="N32" s="4" t="s">
        <v>343</v>
      </c>
      <c r="O32" s="4" t="s">
        <v>344</v>
      </c>
    </row>
    <row r="33" spans="1:15">
      <c r="A33" s="21">
        <v>29</v>
      </c>
      <c r="B33" s="4" t="s">
        <v>345</v>
      </c>
      <c r="C33" s="4" t="s">
        <v>70</v>
      </c>
      <c r="D33" s="4" t="s">
        <v>79</v>
      </c>
      <c r="E33" s="4" t="s">
        <v>231</v>
      </c>
      <c r="F33" s="4" t="s">
        <v>232</v>
      </c>
      <c r="G33" s="21">
        <v>24725</v>
      </c>
      <c r="H33" s="22">
        <v>3650000</v>
      </c>
      <c r="I33" s="22">
        <v>2472000</v>
      </c>
      <c r="J33" s="22">
        <v>100</v>
      </c>
      <c r="K33" s="23">
        <v>0.1118</v>
      </c>
      <c r="L33" s="22">
        <v>28</v>
      </c>
      <c r="M33" s="4" t="s">
        <v>346</v>
      </c>
      <c r="N33" s="4" t="s">
        <v>347</v>
      </c>
      <c r="O33" s="4" t="s">
        <v>348</v>
      </c>
    </row>
    <row r="34" spans="1:15">
      <c r="A34" s="21">
        <v>30</v>
      </c>
      <c r="B34" s="4" t="s">
        <v>341</v>
      </c>
      <c r="C34" s="4" t="s">
        <v>65</v>
      </c>
      <c r="D34" s="4" t="s">
        <v>108</v>
      </c>
      <c r="E34" s="4" t="s">
        <v>231</v>
      </c>
      <c r="F34" s="4" t="s">
        <v>232</v>
      </c>
      <c r="G34" s="21">
        <v>15000</v>
      </c>
      <c r="H34" s="22">
        <v>3600000</v>
      </c>
      <c r="I34" s="22">
        <v>3120000</v>
      </c>
      <c r="J34" s="22">
        <v>208</v>
      </c>
      <c r="K34" s="23">
        <v>0.0565</v>
      </c>
      <c r="L34" s="22">
        <v>26.5</v>
      </c>
      <c r="M34" s="4" t="s">
        <v>342</v>
      </c>
      <c r="N34" s="4" t="s">
        <v>349</v>
      </c>
      <c r="O34" s="4" t="s">
        <v>350</v>
      </c>
    </row>
    <row r="35" spans="1:15">
      <c r="A35" s="21">
        <v>31</v>
      </c>
      <c r="B35" s="4" t="s">
        <v>351</v>
      </c>
      <c r="C35" s="4" t="s">
        <v>65</v>
      </c>
      <c r="D35" s="4" t="s">
        <v>79</v>
      </c>
      <c r="E35" s="4" t="s">
        <v>231</v>
      </c>
      <c r="F35" s="4" t="s">
        <v>232</v>
      </c>
      <c r="G35" s="21">
        <v>30093</v>
      </c>
      <c r="H35" s="22">
        <v>3600000</v>
      </c>
      <c r="I35" s="22">
        <v>4183000</v>
      </c>
      <c r="J35" s="22">
        <v>139</v>
      </c>
      <c r="K35" s="23">
        <v>0.1133</v>
      </c>
      <c r="L35" s="22">
        <v>26.5</v>
      </c>
      <c r="M35" s="4" t="s">
        <v>352</v>
      </c>
      <c r="N35" s="4" t="s">
        <v>353</v>
      </c>
      <c r="O35" s="4" t="s">
        <v>354</v>
      </c>
    </row>
    <row r="36" spans="1:15">
      <c r="A36" s="21">
        <v>32</v>
      </c>
      <c r="B36" s="4" t="s">
        <v>355</v>
      </c>
      <c r="C36" s="4" t="s">
        <v>70</v>
      </c>
      <c r="D36" s="4" t="s">
        <v>76</v>
      </c>
      <c r="E36" s="4" t="s">
        <v>231</v>
      </c>
      <c r="F36" s="4" t="s">
        <v>232</v>
      </c>
      <c r="G36" s="21">
        <v>12150</v>
      </c>
      <c r="H36" s="22">
        <v>3595000</v>
      </c>
      <c r="I36" s="22">
        <v>2576000</v>
      </c>
      <c r="J36" s="22">
        <v>212</v>
      </c>
      <c r="K36" s="23">
        <v>0.0558</v>
      </c>
      <c r="L36" s="22">
        <v>28</v>
      </c>
      <c r="M36" s="4" t="s">
        <v>356</v>
      </c>
      <c r="N36" s="4" t="s">
        <v>357</v>
      </c>
      <c r="O36" s="4" t="s">
        <v>358</v>
      </c>
    </row>
    <row r="37" spans="1:15">
      <c r="A37" s="21">
        <v>33</v>
      </c>
      <c r="B37" s="4" t="s">
        <v>359</v>
      </c>
      <c r="C37" s="4" t="s">
        <v>65</v>
      </c>
      <c r="D37" s="4" t="s">
        <v>109</v>
      </c>
      <c r="E37" s="4" t="s">
        <v>231</v>
      </c>
      <c r="F37" s="4" t="s">
        <v>232</v>
      </c>
      <c r="G37" s="21">
        <v>12398</v>
      </c>
      <c r="H37" s="22">
        <v>3520180</v>
      </c>
      <c r="I37" s="22">
        <v>2852000</v>
      </c>
      <c r="J37" s="22">
        <v>230</v>
      </c>
      <c r="K37" s="23">
        <v>0.0477</v>
      </c>
      <c r="L37" s="22">
        <v>26.5</v>
      </c>
      <c r="M37" s="4" t="s">
        <v>360</v>
      </c>
      <c r="N37" s="4" t="s">
        <v>361</v>
      </c>
      <c r="O37" s="4" t="s">
        <v>362</v>
      </c>
    </row>
    <row r="38" spans="1:15">
      <c r="A38" s="21">
        <v>34</v>
      </c>
      <c r="B38" s="4" t="s">
        <v>363</v>
      </c>
      <c r="C38" s="4" t="s">
        <v>69</v>
      </c>
      <c r="D38" s="4" t="s">
        <v>364</v>
      </c>
      <c r="E38" s="4" t="s">
        <v>231</v>
      </c>
      <c r="F38" s="4" t="s">
        <v>232</v>
      </c>
      <c r="G38" s="21">
        <v>17740</v>
      </c>
      <c r="H38" s="22">
        <v>3500000</v>
      </c>
      <c r="I38" s="22">
        <v>1561000</v>
      </c>
      <c r="J38" s="22">
        <v>88</v>
      </c>
      <c r="K38" s="23">
        <v>0.0806</v>
      </c>
      <c r="L38" s="22">
        <v>17</v>
      </c>
      <c r="M38" s="4" t="s">
        <v>365</v>
      </c>
      <c r="N38" s="4" t="s">
        <v>366</v>
      </c>
      <c r="O38" s="4" t="s">
        <v>367</v>
      </c>
    </row>
    <row r="39" spans="1:15">
      <c r="A39" s="21">
        <v>35</v>
      </c>
      <c r="B39" s="4" t="s">
        <v>355</v>
      </c>
      <c r="C39" s="4" t="s">
        <v>70</v>
      </c>
      <c r="D39" s="4" t="s">
        <v>76</v>
      </c>
      <c r="E39" s="4" t="s">
        <v>259</v>
      </c>
      <c r="F39" s="4" t="s">
        <v>232</v>
      </c>
      <c r="G39" s="21">
        <v>12150</v>
      </c>
      <c r="H39" s="22">
        <v>3495000</v>
      </c>
      <c r="I39" s="22">
        <v>2576000</v>
      </c>
      <c r="J39" s="22">
        <v>212</v>
      </c>
      <c r="K39" s="23">
        <v>0.0574</v>
      </c>
      <c r="L39" s="22">
        <v>28</v>
      </c>
      <c r="M39" s="4" t="s">
        <v>356</v>
      </c>
      <c r="N39" s="4" t="s">
        <v>368</v>
      </c>
      <c r="O39" s="4" t="s">
        <v>369</v>
      </c>
    </row>
    <row r="40" spans="1:15">
      <c r="A40" s="21">
        <v>36</v>
      </c>
      <c r="B40" s="4" t="s">
        <v>337</v>
      </c>
      <c r="C40" s="4" t="s">
        <v>65</v>
      </c>
      <c r="D40" s="4" t="s">
        <v>83</v>
      </c>
      <c r="E40" s="4" t="s">
        <v>231</v>
      </c>
      <c r="F40" s="4" t="s">
        <v>232</v>
      </c>
      <c r="G40" s="21">
        <v>26836</v>
      </c>
      <c r="H40" s="22">
        <v>3400000</v>
      </c>
      <c r="I40" s="22">
        <v>2684000</v>
      </c>
      <c r="J40" s="22">
        <v>100</v>
      </c>
      <c r="K40" s="23">
        <v>0.107</v>
      </c>
      <c r="L40" s="22">
        <v>26.5</v>
      </c>
      <c r="M40" s="4" t="s">
        <v>370</v>
      </c>
      <c r="N40" s="4" t="s">
        <v>371</v>
      </c>
      <c r="O40" s="4" t="s">
        <v>372</v>
      </c>
    </row>
    <row r="41" spans="1:15">
      <c r="A41" s="21">
        <v>37</v>
      </c>
      <c r="B41" s="4" t="s">
        <v>373</v>
      </c>
      <c r="C41" s="4" t="s">
        <v>65</v>
      </c>
      <c r="D41" s="4" t="s">
        <v>80</v>
      </c>
      <c r="E41" s="4" t="s">
        <v>231</v>
      </c>
      <c r="F41" s="4" t="s">
        <v>232</v>
      </c>
      <c r="G41" s="21">
        <v>12363</v>
      </c>
      <c r="H41" s="22">
        <v>3395000</v>
      </c>
      <c r="I41" s="22">
        <v>2572000</v>
      </c>
      <c r="J41" s="22">
        <v>208</v>
      </c>
      <c r="K41" s="23">
        <v>0.0494</v>
      </c>
      <c r="L41" s="22">
        <v>26.5</v>
      </c>
      <c r="M41" s="4" t="s">
        <v>374</v>
      </c>
      <c r="N41" s="4" t="s">
        <v>375</v>
      </c>
      <c r="O41" s="4" t="s">
        <v>376</v>
      </c>
    </row>
    <row r="42" spans="1:15">
      <c r="A42" s="21">
        <v>38</v>
      </c>
      <c r="B42" s="4" t="s">
        <v>377</v>
      </c>
      <c r="C42" s="4" t="s">
        <v>67</v>
      </c>
      <c r="D42" s="4" t="s">
        <v>80</v>
      </c>
      <c r="E42" s="4" t="s">
        <v>378</v>
      </c>
      <c r="F42" s="4" t="s">
        <v>232</v>
      </c>
      <c r="G42" s="21">
        <v>20827</v>
      </c>
      <c r="H42" s="22">
        <v>3395000</v>
      </c>
      <c r="I42" s="22">
        <v>3645000</v>
      </c>
      <c r="J42" s="22">
        <v>175</v>
      </c>
      <c r="K42" s="23">
        <v>0.0594</v>
      </c>
      <c r="L42" s="22">
        <v>19.4</v>
      </c>
      <c r="M42" s="4" t="s">
        <v>379</v>
      </c>
      <c r="N42" s="4" t="s">
        <v>380</v>
      </c>
      <c r="O42" s="4" t="s">
        <v>381</v>
      </c>
    </row>
    <row r="43" spans="1:15">
      <c r="A43" s="21">
        <v>39</v>
      </c>
      <c r="B43" s="4" t="s">
        <v>382</v>
      </c>
      <c r="C43" s="4" t="s">
        <v>65</v>
      </c>
      <c r="D43" s="4" t="s">
        <v>110</v>
      </c>
      <c r="E43" s="4" t="s">
        <v>231</v>
      </c>
      <c r="F43" s="4" t="s">
        <v>232</v>
      </c>
      <c r="G43" s="21">
        <v>19250</v>
      </c>
      <c r="H43" s="22">
        <v>3368750</v>
      </c>
      <c r="I43" s="22">
        <v>3504000</v>
      </c>
      <c r="J43" s="22">
        <v>182</v>
      </c>
      <c r="K43" s="23">
        <v>0.0774</v>
      </c>
      <c r="L43" s="22">
        <v>26.5</v>
      </c>
      <c r="M43" s="4" t="s">
        <v>383</v>
      </c>
      <c r="N43" s="4" t="s">
        <v>384</v>
      </c>
      <c r="O43" s="4" t="s">
        <v>385</v>
      </c>
    </row>
    <row r="44" spans="1:15">
      <c r="A44" s="21">
        <v>40</v>
      </c>
      <c r="B44" s="4" t="s">
        <v>386</v>
      </c>
      <c r="C44" s="4" t="s">
        <v>66</v>
      </c>
      <c r="D44" s="4" t="s">
        <v>109</v>
      </c>
      <c r="E44" s="4" t="s">
        <v>231</v>
      </c>
      <c r="F44" s="4" t="s">
        <v>232</v>
      </c>
      <c r="G44" s="21">
        <v>13650</v>
      </c>
      <c r="H44" s="22">
        <v>3349000</v>
      </c>
      <c r="I44" s="22">
        <v>2880000</v>
      </c>
      <c r="J44" s="22">
        <v>211</v>
      </c>
      <c r="K44" s="23">
        <v>0.04</v>
      </c>
      <c r="L44" s="22">
        <v>15.4</v>
      </c>
      <c r="M44" s="4" t="s">
        <v>387</v>
      </c>
      <c r="N44" s="4" t="s">
        <v>388</v>
      </c>
      <c r="O44" s="4" t="s">
        <v>389</v>
      </c>
    </row>
    <row r="45" spans="1:15">
      <c r="A45" s="21">
        <v>41</v>
      </c>
      <c r="B45" s="4" t="s">
        <v>390</v>
      </c>
      <c r="C45" s="4" t="s">
        <v>65</v>
      </c>
      <c r="D45" s="4" t="s">
        <v>110</v>
      </c>
      <c r="E45" s="4" t="s">
        <v>259</v>
      </c>
      <c r="F45" s="4" t="s">
        <v>232</v>
      </c>
      <c r="G45" s="21">
        <v>7500</v>
      </c>
      <c r="H45" s="22">
        <v>3250000</v>
      </c>
      <c r="I45" s="22">
        <v>2258000</v>
      </c>
      <c r="J45" s="22">
        <v>301</v>
      </c>
      <c r="K45" s="23">
        <v>0.0313</v>
      </c>
      <c r="L45" s="22">
        <v>26.5</v>
      </c>
      <c r="M45" s="4" t="s">
        <v>391</v>
      </c>
      <c r="N45" s="4" t="s">
        <v>392</v>
      </c>
      <c r="O45" s="4" t="s">
        <v>393</v>
      </c>
    </row>
    <row r="46" spans="1:15">
      <c r="A46" s="21">
        <v>42</v>
      </c>
      <c r="B46" s="4" t="s">
        <v>394</v>
      </c>
      <c r="C46" s="4" t="s">
        <v>70</v>
      </c>
      <c r="D46" s="4" t="s">
        <v>79</v>
      </c>
      <c r="E46" s="4" t="s">
        <v>259</v>
      </c>
      <c r="F46" s="4" t="s">
        <v>232</v>
      </c>
      <c r="G46" s="21">
        <v>32741</v>
      </c>
      <c r="H46" s="22">
        <v>3200000</v>
      </c>
      <c r="I46" s="22">
        <v>2816000</v>
      </c>
      <c r="J46" s="22">
        <v>86</v>
      </c>
      <c r="K46" s="24" t="s">
        <v>237</v>
      </c>
      <c r="L46" s="22">
        <v>28</v>
      </c>
      <c r="M46" s="4" t="s">
        <v>395</v>
      </c>
      <c r="N46" s="4" t="s">
        <v>396</v>
      </c>
      <c r="O46" s="4" t="s">
        <v>397</v>
      </c>
    </row>
    <row r="47" spans="1:15">
      <c r="A47" s="21">
        <v>43</v>
      </c>
      <c r="B47" s="4" t="s">
        <v>398</v>
      </c>
      <c r="C47" s="4" t="s">
        <v>66</v>
      </c>
      <c r="D47" s="4" t="s">
        <v>82</v>
      </c>
      <c r="E47" s="4" t="s">
        <v>231</v>
      </c>
      <c r="F47" s="4" t="s">
        <v>232</v>
      </c>
      <c r="G47" s="21">
        <v>11500</v>
      </c>
      <c r="H47" s="22">
        <v>3000000</v>
      </c>
      <c r="I47" s="22">
        <v>2128000</v>
      </c>
      <c r="J47" s="22">
        <v>185</v>
      </c>
      <c r="K47" s="23">
        <v>0.0376</v>
      </c>
      <c r="L47" s="22">
        <v>15.4</v>
      </c>
      <c r="M47" s="4" t="s">
        <v>399</v>
      </c>
      <c r="N47" s="4" t="s">
        <v>400</v>
      </c>
      <c r="O47" s="4" t="s">
        <v>401</v>
      </c>
    </row>
    <row r="48" spans="1:15">
      <c r="A48" s="21">
        <v>44</v>
      </c>
      <c r="B48" s="4" t="s">
        <v>402</v>
      </c>
      <c r="C48" s="4" t="s">
        <v>66</v>
      </c>
      <c r="D48" s="4" t="s">
        <v>82</v>
      </c>
      <c r="E48" s="4" t="s">
        <v>259</v>
      </c>
      <c r="F48" s="4" t="s">
        <v>232</v>
      </c>
      <c r="G48" s="21">
        <v>17500</v>
      </c>
      <c r="H48" s="22">
        <v>2999990</v>
      </c>
      <c r="I48" s="22">
        <v>2572000</v>
      </c>
      <c r="J48" s="22">
        <v>147</v>
      </c>
      <c r="K48" s="23">
        <v>0.0572</v>
      </c>
      <c r="L48" s="22">
        <v>15.4</v>
      </c>
      <c r="M48" s="4" t="s">
        <v>403</v>
      </c>
      <c r="N48" s="4" t="s">
        <v>404</v>
      </c>
      <c r="O48" s="4" t="s">
        <v>405</v>
      </c>
    </row>
    <row r="49" spans="1:15">
      <c r="A49" s="21">
        <v>45</v>
      </c>
      <c r="B49" s="4" t="s">
        <v>406</v>
      </c>
      <c r="C49" s="4" t="s">
        <v>67</v>
      </c>
      <c r="D49" s="4" t="s">
        <v>82</v>
      </c>
      <c r="E49" s="4" t="s">
        <v>259</v>
      </c>
      <c r="F49" s="4" t="s">
        <v>232</v>
      </c>
      <c r="G49" s="21">
        <v>13951</v>
      </c>
      <c r="H49" s="22">
        <v>2975000</v>
      </c>
      <c r="I49" s="22">
        <v>2679000</v>
      </c>
      <c r="J49" s="22">
        <v>192</v>
      </c>
      <c r="K49" s="23">
        <v>0.0454</v>
      </c>
      <c r="L49" s="22">
        <v>19.4</v>
      </c>
      <c r="M49" s="4" t="s">
        <v>407</v>
      </c>
      <c r="N49" s="4" t="s">
        <v>408</v>
      </c>
      <c r="O49" s="4" t="s">
        <v>409</v>
      </c>
    </row>
    <row r="50" spans="1:15">
      <c r="A50" s="21">
        <v>46</v>
      </c>
      <c r="B50" s="4" t="s">
        <v>410</v>
      </c>
      <c r="C50" s="4" t="s">
        <v>69</v>
      </c>
      <c r="D50" s="4" t="s">
        <v>108</v>
      </c>
      <c r="E50" s="4" t="s">
        <v>231</v>
      </c>
      <c r="F50" s="4" t="s">
        <v>232</v>
      </c>
      <c r="G50" s="21">
        <v>7505</v>
      </c>
      <c r="H50" s="22">
        <v>2850000</v>
      </c>
      <c r="I50" s="22">
        <v>1051000</v>
      </c>
      <c r="J50" s="22">
        <v>140</v>
      </c>
      <c r="K50" s="23">
        <v>0.0419</v>
      </c>
      <c r="L50" s="22">
        <v>17</v>
      </c>
      <c r="M50" s="4" t="s">
        <v>411</v>
      </c>
      <c r="N50" s="4" t="s">
        <v>412</v>
      </c>
      <c r="O50" s="4" t="s">
        <v>413</v>
      </c>
    </row>
    <row r="51" spans="1:15">
      <c r="A51" s="21">
        <v>47</v>
      </c>
      <c r="B51" s="4" t="s">
        <v>386</v>
      </c>
      <c r="C51" s="4" t="s">
        <v>66</v>
      </c>
      <c r="D51" s="4" t="s">
        <v>109</v>
      </c>
      <c r="E51" s="4" t="s">
        <v>231</v>
      </c>
      <c r="F51" s="4" t="s">
        <v>232</v>
      </c>
      <c r="G51" s="21">
        <v>13650</v>
      </c>
      <c r="H51" s="22">
        <v>2850000</v>
      </c>
      <c r="I51" s="22">
        <v>2880000</v>
      </c>
      <c r="J51" s="22">
        <v>211</v>
      </c>
      <c r="K51" s="23">
        <v>0.047</v>
      </c>
      <c r="L51" s="22">
        <v>15.4</v>
      </c>
      <c r="M51" s="4" t="s">
        <v>387</v>
      </c>
      <c r="N51" s="4" t="s">
        <v>414</v>
      </c>
      <c r="O51" s="4" t="s">
        <v>415</v>
      </c>
    </row>
    <row r="52" spans="1:15">
      <c r="A52" s="21">
        <v>48</v>
      </c>
      <c r="B52" s="4" t="s">
        <v>416</v>
      </c>
      <c r="C52" s="4" t="s">
        <v>65</v>
      </c>
      <c r="D52" s="4" t="s">
        <v>78</v>
      </c>
      <c r="E52" s="4" t="s">
        <v>231</v>
      </c>
      <c r="F52" s="4" t="s">
        <v>232</v>
      </c>
      <c r="G52" s="21">
        <v>14491</v>
      </c>
      <c r="H52" s="22">
        <v>2850000</v>
      </c>
      <c r="I52" s="22">
        <v>3855000</v>
      </c>
      <c r="J52" s="22">
        <v>266</v>
      </c>
      <c r="K52" s="23">
        <v>0.0689</v>
      </c>
      <c r="L52" s="22">
        <v>26.5</v>
      </c>
      <c r="M52" s="4" t="s">
        <v>417</v>
      </c>
      <c r="N52" s="4" t="s">
        <v>418</v>
      </c>
      <c r="O52" s="4" t="s">
        <v>419</v>
      </c>
    </row>
    <row r="53" spans="1:15">
      <c r="A53" s="21">
        <v>49</v>
      </c>
      <c r="B53" s="4" t="s">
        <v>410</v>
      </c>
      <c r="C53" s="4" t="s">
        <v>69</v>
      </c>
      <c r="D53" s="4" t="s">
        <v>420</v>
      </c>
      <c r="E53" s="4" t="s">
        <v>378</v>
      </c>
      <c r="F53" s="4" t="s">
        <v>232</v>
      </c>
      <c r="G53" s="21">
        <v>7505</v>
      </c>
      <c r="H53" s="22">
        <v>2800000</v>
      </c>
      <c r="I53" s="22">
        <v>1043000</v>
      </c>
      <c r="J53" s="22">
        <v>139</v>
      </c>
      <c r="K53" s="23">
        <v>0.0426</v>
      </c>
      <c r="L53" s="22">
        <v>17</v>
      </c>
      <c r="M53" s="4" t="s">
        <v>421</v>
      </c>
      <c r="N53" s="4" t="s">
        <v>422</v>
      </c>
      <c r="O53" s="4" t="s">
        <v>423</v>
      </c>
    </row>
    <row r="54" spans="1:15">
      <c r="A54" s="21">
        <v>50</v>
      </c>
      <c r="B54" s="4" t="s">
        <v>424</v>
      </c>
      <c r="C54" s="4" t="s">
        <v>66</v>
      </c>
      <c r="D54" s="4" t="s">
        <v>111</v>
      </c>
      <c r="E54" s="4" t="s">
        <v>259</v>
      </c>
      <c r="F54" s="4" t="s">
        <v>232</v>
      </c>
      <c r="G54" s="21">
        <v>6250</v>
      </c>
      <c r="H54" s="22">
        <v>2750000</v>
      </c>
      <c r="I54" s="22">
        <v>2000000</v>
      </c>
      <c r="J54" s="22">
        <v>320</v>
      </c>
      <c r="K54" s="24" t="s">
        <v>237</v>
      </c>
      <c r="L54" s="22">
        <v>15.4</v>
      </c>
      <c r="M54" s="4" t="s">
        <v>425</v>
      </c>
      <c r="N54" s="4" t="s">
        <v>426</v>
      </c>
      <c r="O54" s="4" t="s">
        <v>427</v>
      </c>
    </row>
    <row r="55" spans="1:15">
      <c r="A55" s="21">
        <v>51</v>
      </c>
      <c r="B55" s="4" t="s">
        <v>428</v>
      </c>
      <c r="C55" s="4" t="s">
        <v>72</v>
      </c>
      <c r="D55" s="4" t="s">
        <v>78</v>
      </c>
      <c r="E55" s="4" t="s">
        <v>231</v>
      </c>
      <c r="F55" s="4" t="s">
        <v>232</v>
      </c>
      <c r="G55" s="21">
        <v>7960</v>
      </c>
      <c r="H55" s="22">
        <v>2750000</v>
      </c>
      <c r="I55" s="22">
        <v>2165000</v>
      </c>
      <c r="J55" s="22">
        <v>272</v>
      </c>
      <c r="K55" s="23">
        <v>0.0688</v>
      </c>
      <c r="L55" s="22">
        <v>22.6</v>
      </c>
      <c r="M55" s="4" t="s">
        <v>429</v>
      </c>
      <c r="N55" s="4" t="s">
        <v>430</v>
      </c>
      <c r="O55" s="4" t="s">
        <v>431</v>
      </c>
    </row>
    <row r="56" spans="1:15">
      <c r="A56" s="21">
        <v>52</v>
      </c>
      <c r="B56" s="4" t="s">
        <v>432</v>
      </c>
      <c r="C56" s="4" t="s">
        <v>66</v>
      </c>
      <c r="D56" s="4" t="s">
        <v>113</v>
      </c>
      <c r="E56" s="4" t="s">
        <v>231</v>
      </c>
      <c r="F56" s="4" t="s">
        <v>232</v>
      </c>
      <c r="G56" s="21">
        <v>40196</v>
      </c>
      <c r="H56" s="22">
        <v>2750000</v>
      </c>
      <c r="I56" s="22">
        <v>4783000</v>
      </c>
      <c r="J56" s="22">
        <v>119</v>
      </c>
      <c r="K56" s="23">
        <v>0.1434</v>
      </c>
      <c r="L56" s="22">
        <v>15.4</v>
      </c>
      <c r="M56" s="4" t="s">
        <v>433</v>
      </c>
      <c r="N56" s="4" t="s">
        <v>434</v>
      </c>
      <c r="O56" s="4" t="s">
        <v>435</v>
      </c>
    </row>
    <row r="57" spans="1:15">
      <c r="A57" s="21">
        <v>53</v>
      </c>
      <c r="B57" s="4" t="s">
        <v>436</v>
      </c>
      <c r="C57" s="4" t="s">
        <v>67</v>
      </c>
      <c r="D57" s="4" t="s">
        <v>82</v>
      </c>
      <c r="E57" s="4" t="s">
        <v>231</v>
      </c>
      <c r="F57" s="4" t="s">
        <v>232</v>
      </c>
      <c r="G57" s="21">
        <v>7000</v>
      </c>
      <c r="H57" s="22">
        <v>2750000</v>
      </c>
      <c r="I57" s="22">
        <v>1939000</v>
      </c>
      <c r="J57" s="22">
        <v>277</v>
      </c>
      <c r="K57" s="24" t="s">
        <v>237</v>
      </c>
      <c r="L57" s="22">
        <v>19.4</v>
      </c>
      <c r="M57" s="4" t="s">
        <v>437</v>
      </c>
      <c r="N57" s="4" t="s">
        <v>438</v>
      </c>
      <c r="O57" s="4" t="s">
        <v>439</v>
      </c>
    </row>
    <row r="58" spans="1:15">
      <c r="A58" s="21">
        <v>54</v>
      </c>
      <c r="B58" s="4" t="s">
        <v>440</v>
      </c>
      <c r="C58" s="4" t="s">
        <v>66</v>
      </c>
      <c r="D58" s="4" t="s">
        <v>110</v>
      </c>
      <c r="E58" s="4" t="s">
        <v>231</v>
      </c>
      <c r="F58" s="4" t="s">
        <v>232</v>
      </c>
      <c r="G58" s="21">
        <v>15625</v>
      </c>
      <c r="H58" s="22">
        <v>2734375</v>
      </c>
      <c r="I58" s="22">
        <v>3078000</v>
      </c>
      <c r="J58" s="22">
        <v>197</v>
      </c>
      <c r="K58" s="23">
        <v>0.0561</v>
      </c>
      <c r="L58" s="22">
        <v>15.4</v>
      </c>
      <c r="M58" s="4" t="s">
        <v>441</v>
      </c>
      <c r="N58" s="4" t="s">
        <v>442</v>
      </c>
      <c r="O58" s="4" t="s">
        <v>443</v>
      </c>
    </row>
    <row r="59" spans="1:15">
      <c r="A59" s="21">
        <v>55</v>
      </c>
      <c r="B59" s="4" t="s">
        <v>444</v>
      </c>
      <c r="C59" s="4" t="s">
        <v>70</v>
      </c>
      <c r="D59" s="4" t="s">
        <v>82</v>
      </c>
      <c r="E59" s="4" t="s">
        <v>231</v>
      </c>
      <c r="F59" s="4" t="s">
        <v>232</v>
      </c>
      <c r="G59" s="21">
        <v>7875</v>
      </c>
      <c r="H59" s="22">
        <v>2650000</v>
      </c>
      <c r="I59" s="22">
        <v>1197000</v>
      </c>
      <c r="J59" s="22">
        <v>152</v>
      </c>
      <c r="K59" s="23">
        <v>0.049</v>
      </c>
      <c r="L59" s="22">
        <v>28</v>
      </c>
      <c r="M59" s="4" t="s">
        <v>445</v>
      </c>
      <c r="N59" s="4" t="s">
        <v>446</v>
      </c>
      <c r="O59" s="4" t="s">
        <v>447</v>
      </c>
    </row>
    <row r="60" spans="1:15">
      <c r="A60" s="21">
        <v>56</v>
      </c>
      <c r="B60" s="4" t="s">
        <v>448</v>
      </c>
      <c r="C60" s="4" t="s">
        <v>65</v>
      </c>
      <c r="D60" s="4" t="s">
        <v>79</v>
      </c>
      <c r="E60" s="4" t="s">
        <v>231</v>
      </c>
      <c r="F60" s="4" t="s">
        <v>232</v>
      </c>
      <c r="G60" s="21">
        <v>6256</v>
      </c>
      <c r="H60" s="22">
        <v>2649000</v>
      </c>
      <c r="I60" s="22">
        <v>2014000</v>
      </c>
      <c r="J60" s="22">
        <v>322</v>
      </c>
      <c r="K60" s="23">
        <v>0.032</v>
      </c>
      <c r="L60" s="22">
        <v>26.5</v>
      </c>
      <c r="M60" s="4" t="s">
        <v>449</v>
      </c>
      <c r="N60" s="4" t="s">
        <v>450</v>
      </c>
      <c r="O60" s="4" t="s">
        <v>451</v>
      </c>
    </row>
    <row r="61" spans="1:15">
      <c r="A61" s="21">
        <v>57</v>
      </c>
      <c r="B61" s="4" t="s">
        <v>452</v>
      </c>
      <c r="C61" s="4" t="s">
        <v>65</v>
      </c>
      <c r="D61" s="4" t="s">
        <v>78</v>
      </c>
      <c r="E61" s="4" t="s">
        <v>259</v>
      </c>
      <c r="F61" s="4" t="s">
        <v>232</v>
      </c>
      <c r="G61" s="21">
        <v>3130</v>
      </c>
      <c r="H61" s="22">
        <v>2500000</v>
      </c>
      <c r="I61" s="22">
        <v>1881000</v>
      </c>
      <c r="J61" s="22">
        <v>601</v>
      </c>
      <c r="K61" s="24" t="s">
        <v>237</v>
      </c>
      <c r="L61" s="22">
        <v>26.5</v>
      </c>
      <c r="M61" s="4" t="s">
        <v>453</v>
      </c>
      <c r="N61" s="4" t="s">
        <v>454</v>
      </c>
      <c r="O61" s="4" t="s">
        <v>455</v>
      </c>
    </row>
    <row r="62" spans="1:15">
      <c r="A62" s="21">
        <v>58</v>
      </c>
      <c r="B62" s="4" t="s">
        <v>456</v>
      </c>
      <c r="C62" s="4" t="s">
        <v>65</v>
      </c>
      <c r="D62" s="4" t="s">
        <v>111</v>
      </c>
      <c r="E62" s="4" t="s">
        <v>231</v>
      </c>
      <c r="F62" s="4" t="s">
        <v>232</v>
      </c>
      <c r="G62" s="21">
        <v>15003</v>
      </c>
      <c r="H62" s="22">
        <v>2500000</v>
      </c>
      <c r="I62" s="22">
        <v>3121000</v>
      </c>
      <c r="J62" s="22">
        <v>208</v>
      </c>
      <c r="K62" s="23">
        <v>0.0813</v>
      </c>
      <c r="L62" s="22">
        <v>26.5</v>
      </c>
      <c r="M62" s="4" t="s">
        <v>457</v>
      </c>
      <c r="N62" s="4" t="s">
        <v>458</v>
      </c>
      <c r="O62" s="4" t="s">
        <v>459</v>
      </c>
    </row>
    <row r="63" spans="1:15">
      <c r="A63" s="21">
        <v>59</v>
      </c>
      <c r="B63" s="4" t="s">
        <v>460</v>
      </c>
      <c r="C63" s="4" t="s">
        <v>74</v>
      </c>
      <c r="D63" s="4" t="s">
        <v>79</v>
      </c>
      <c r="E63" s="4" t="s">
        <v>231</v>
      </c>
      <c r="F63" s="4" t="s">
        <v>232</v>
      </c>
      <c r="G63" s="21">
        <v>5664</v>
      </c>
      <c r="H63" s="22">
        <v>2500000</v>
      </c>
      <c r="I63" s="22">
        <v>1926000</v>
      </c>
      <c r="J63" s="22">
        <v>340</v>
      </c>
      <c r="K63" s="24" t="s">
        <v>237</v>
      </c>
      <c r="L63" s="22">
        <v>7.3</v>
      </c>
      <c r="M63" s="4" t="s">
        <v>461</v>
      </c>
      <c r="N63" s="4" t="s">
        <v>462</v>
      </c>
      <c r="O63" s="4" t="s">
        <v>463</v>
      </c>
    </row>
    <row r="64" spans="1:15">
      <c r="A64" s="21">
        <v>60</v>
      </c>
      <c r="B64" s="4" t="s">
        <v>464</v>
      </c>
      <c r="C64" s="4" t="s">
        <v>72</v>
      </c>
      <c r="D64" s="4" t="s">
        <v>120</v>
      </c>
      <c r="E64" s="4" t="s">
        <v>259</v>
      </c>
      <c r="F64" s="4" t="s">
        <v>232</v>
      </c>
      <c r="G64" s="21">
        <v>6375</v>
      </c>
      <c r="H64" s="22">
        <v>2499999</v>
      </c>
      <c r="I64" s="22">
        <v>1549000</v>
      </c>
      <c r="J64" s="22">
        <v>243</v>
      </c>
      <c r="K64" s="23">
        <v>0.0606</v>
      </c>
      <c r="L64" s="22">
        <v>22.6</v>
      </c>
      <c r="M64" s="4" t="s">
        <v>465</v>
      </c>
      <c r="N64" s="4" t="s">
        <v>466</v>
      </c>
      <c r="O64" s="4" t="s">
        <v>467</v>
      </c>
    </row>
    <row r="65" spans="1:15">
      <c r="A65" s="21">
        <v>61</v>
      </c>
      <c r="B65" s="4" t="s">
        <v>468</v>
      </c>
      <c r="C65" s="4" t="s">
        <v>65</v>
      </c>
      <c r="D65" s="4" t="s">
        <v>469</v>
      </c>
      <c r="E65" s="4" t="s">
        <v>259</v>
      </c>
      <c r="F65" s="4" t="s">
        <v>232</v>
      </c>
      <c r="G65" s="21">
        <v>11950</v>
      </c>
      <c r="H65" s="22">
        <v>2499000</v>
      </c>
      <c r="I65" s="22">
        <v>2808000</v>
      </c>
      <c r="J65" s="22">
        <v>235</v>
      </c>
      <c r="K65" s="23">
        <v>0.0648</v>
      </c>
      <c r="L65" s="22">
        <v>26.5</v>
      </c>
      <c r="M65" s="4" t="s">
        <v>470</v>
      </c>
      <c r="N65" s="4" t="s">
        <v>471</v>
      </c>
      <c r="O65" s="4" t="s">
        <v>472</v>
      </c>
    </row>
    <row r="66" spans="1:15">
      <c r="A66" s="21">
        <v>62</v>
      </c>
      <c r="B66" s="4" t="s">
        <v>473</v>
      </c>
      <c r="C66" s="4" t="s">
        <v>65</v>
      </c>
      <c r="D66" s="4" t="s">
        <v>109</v>
      </c>
      <c r="E66" s="4" t="s">
        <v>231</v>
      </c>
      <c r="F66" s="4" t="s">
        <v>232</v>
      </c>
      <c r="G66" s="21">
        <v>10400</v>
      </c>
      <c r="H66" s="22">
        <v>2475000</v>
      </c>
      <c r="I66" s="22">
        <v>2621000</v>
      </c>
      <c r="J66" s="22">
        <v>252</v>
      </c>
      <c r="K66" s="23">
        <v>0.0569</v>
      </c>
      <c r="L66" s="22">
        <v>26.5</v>
      </c>
      <c r="M66" s="4" t="s">
        <v>474</v>
      </c>
      <c r="N66" s="4" t="s">
        <v>475</v>
      </c>
      <c r="O66" s="4" t="s">
        <v>476</v>
      </c>
    </row>
    <row r="67" spans="1:15">
      <c r="A67" s="21">
        <v>63</v>
      </c>
      <c r="B67" s="4" t="s">
        <v>477</v>
      </c>
      <c r="C67" s="4" t="s">
        <v>67</v>
      </c>
      <c r="D67" s="4" t="s">
        <v>83</v>
      </c>
      <c r="E67" s="4" t="s">
        <v>231</v>
      </c>
      <c r="F67" s="4" t="s">
        <v>232</v>
      </c>
      <c r="G67" s="21">
        <v>10125</v>
      </c>
      <c r="H67" s="22">
        <v>2400000</v>
      </c>
      <c r="I67" s="22">
        <v>1883000</v>
      </c>
      <c r="J67" s="22">
        <v>186</v>
      </c>
      <c r="K67" s="23">
        <v>0.0409</v>
      </c>
      <c r="L67" s="22">
        <v>19.4</v>
      </c>
      <c r="M67" s="4" t="s">
        <v>478</v>
      </c>
      <c r="N67" s="4" t="s">
        <v>479</v>
      </c>
      <c r="O67" s="4" t="s">
        <v>480</v>
      </c>
    </row>
    <row r="68" spans="1:15">
      <c r="A68" s="21">
        <v>64</v>
      </c>
      <c r="B68" s="4" t="s">
        <v>481</v>
      </c>
      <c r="C68" s="4" t="s">
        <v>65</v>
      </c>
      <c r="D68" s="4" t="s">
        <v>110</v>
      </c>
      <c r="E68" s="4" t="s">
        <v>231</v>
      </c>
      <c r="F68" s="4" t="s">
        <v>232</v>
      </c>
      <c r="G68" s="21">
        <v>13107</v>
      </c>
      <c r="H68" s="22">
        <v>2295000</v>
      </c>
      <c r="I68" s="22">
        <v>2923000</v>
      </c>
      <c r="J68" s="22">
        <v>223</v>
      </c>
      <c r="K68" s="23">
        <v>0.0774</v>
      </c>
      <c r="L68" s="22">
        <v>26.5</v>
      </c>
      <c r="M68" s="4" t="s">
        <v>482</v>
      </c>
      <c r="N68" s="4" t="s">
        <v>483</v>
      </c>
      <c r="O68" s="4" t="s">
        <v>484</v>
      </c>
    </row>
    <row r="69" spans="1:15">
      <c r="A69" s="21">
        <v>65</v>
      </c>
      <c r="B69" s="4" t="s">
        <v>485</v>
      </c>
      <c r="C69" s="4" t="s">
        <v>68</v>
      </c>
      <c r="D69" s="4" t="s">
        <v>83</v>
      </c>
      <c r="E69" s="4" t="s">
        <v>231</v>
      </c>
      <c r="F69" s="4" t="s">
        <v>232</v>
      </c>
      <c r="G69" s="21">
        <v>16875</v>
      </c>
      <c r="H69" s="22">
        <v>2225000</v>
      </c>
      <c r="I69" s="22">
        <v>1536000</v>
      </c>
      <c r="J69" s="22">
        <v>91</v>
      </c>
      <c r="K69" s="23">
        <v>0.07099999999999999</v>
      </c>
      <c r="L69" s="22">
        <v>20.2</v>
      </c>
      <c r="M69" s="4" t="s">
        <v>486</v>
      </c>
      <c r="N69" s="4" t="s">
        <v>487</v>
      </c>
      <c r="O69" s="4" t="s">
        <v>488</v>
      </c>
    </row>
    <row r="70" spans="1:15">
      <c r="A70" s="21">
        <v>66</v>
      </c>
      <c r="B70" s="4" t="s">
        <v>485</v>
      </c>
      <c r="C70" s="4" t="s">
        <v>68</v>
      </c>
      <c r="D70" s="4" t="s">
        <v>83</v>
      </c>
      <c r="E70" s="4" t="s">
        <v>231</v>
      </c>
      <c r="F70" s="4" t="s">
        <v>232</v>
      </c>
      <c r="G70" s="21">
        <v>16875</v>
      </c>
      <c r="H70" s="22">
        <v>2200000</v>
      </c>
      <c r="I70" s="22">
        <v>1536000</v>
      </c>
      <c r="J70" s="22">
        <v>91</v>
      </c>
      <c r="K70" s="23">
        <v>0.0718</v>
      </c>
      <c r="L70" s="22">
        <v>20.2</v>
      </c>
      <c r="M70" s="4" t="s">
        <v>486</v>
      </c>
      <c r="N70" s="4" t="s">
        <v>489</v>
      </c>
      <c r="O70" s="4" t="s">
        <v>490</v>
      </c>
    </row>
    <row r="71" spans="1:15">
      <c r="A71" s="21">
        <v>67</v>
      </c>
      <c r="B71" s="4" t="s">
        <v>491</v>
      </c>
      <c r="C71" s="4" t="s">
        <v>68</v>
      </c>
      <c r="D71" s="4" t="s">
        <v>118</v>
      </c>
      <c r="E71" s="4" t="s">
        <v>378</v>
      </c>
      <c r="F71" s="4" t="s">
        <v>232</v>
      </c>
      <c r="G71" s="21">
        <v>6378</v>
      </c>
      <c r="H71" s="22">
        <v>2198672</v>
      </c>
      <c r="I71" s="22">
        <v>1499000</v>
      </c>
      <c r="J71" s="22">
        <v>235</v>
      </c>
      <c r="K71" s="24" t="s">
        <v>237</v>
      </c>
      <c r="L71" s="22">
        <v>20.2</v>
      </c>
      <c r="M71" s="4" t="s">
        <v>492</v>
      </c>
      <c r="N71" s="4" t="s">
        <v>493</v>
      </c>
      <c r="O71" s="4" t="s">
        <v>494</v>
      </c>
    </row>
    <row r="72" spans="1:15">
      <c r="A72" s="21">
        <v>68</v>
      </c>
      <c r="B72" s="4" t="s">
        <v>495</v>
      </c>
      <c r="C72" s="4" t="s">
        <v>73</v>
      </c>
      <c r="D72" s="4" t="s">
        <v>118</v>
      </c>
      <c r="E72" s="4" t="s">
        <v>378</v>
      </c>
      <c r="F72" s="4" t="s">
        <v>232</v>
      </c>
      <c r="G72" s="21">
        <v>6378</v>
      </c>
      <c r="H72" s="22">
        <v>2198672</v>
      </c>
      <c r="I72" s="22">
        <v>2092000</v>
      </c>
      <c r="J72" s="22">
        <v>328</v>
      </c>
      <c r="K72" s="23">
        <v>0.0427</v>
      </c>
      <c r="L72" s="24" t="s">
        <v>237</v>
      </c>
      <c r="M72" s="4" t="s">
        <v>496</v>
      </c>
      <c r="N72" s="4" t="s">
        <v>497</v>
      </c>
      <c r="O72" s="4" t="s">
        <v>498</v>
      </c>
    </row>
    <row r="73" spans="1:15">
      <c r="A73" s="21">
        <v>69</v>
      </c>
      <c r="B73" s="4" t="s">
        <v>499</v>
      </c>
      <c r="C73" s="4" t="s">
        <v>66</v>
      </c>
      <c r="D73" s="4" t="s">
        <v>113</v>
      </c>
      <c r="E73" s="4" t="s">
        <v>231</v>
      </c>
      <c r="F73" s="4" t="s">
        <v>232</v>
      </c>
      <c r="G73" s="21">
        <v>13220</v>
      </c>
      <c r="H73" s="22">
        <v>2179449</v>
      </c>
      <c r="I73" s="22">
        <v>2842000</v>
      </c>
      <c r="J73" s="22">
        <v>215</v>
      </c>
      <c r="K73" s="23">
        <v>0.0595</v>
      </c>
      <c r="L73" s="22">
        <v>15.4</v>
      </c>
      <c r="M73" s="4" t="s">
        <v>500</v>
      </c>
      <c r="N73" s="4" t="s">
        <v>501</v>
      </c>
      <c r="O73" s="4" t="s">
        <v>502</v>
      </c>
    </row>
    <row r="74" spans="1:15">
      <c r="A74" s="21">
        <v>70</v>
      </c>
      <c r="B74" s="4" t="s">
        <v>503</v>
      </c>
      <c r="C74" s="4" t="s">
        <v>66</v>
      </c>
      <c r="D74" s="4" t="s">
        <v>82</v>
      </c>
      <c r="E74" s="4" t="s">
        <v>231</v>
      </c>
      <c r="F74" s="4" t="s">
        <v>232</v>
      </c>
      <c r="G74" s="21">
        <v>14000</v>
      </c>
      <c r="H74" s="22">
        <v>2100000</v>
      </c>
      <c r="I74" s="22">
        <v>2324000</v>
      </c>
      <c r="J74" s="22">
        <v>166</v>
      </c>
      <c r="K74" s="23">
        <v>0.0654</v>
      </c>
      <c r="L74" s="22">
        <v>15.4</v>
      </c>
      <c r="M74" s="4" t="s">
        <v>504</v>
      </c>
      <c r="N74" s="4" t="s">
        <v>505</v>
      </c>
      <c r="O74" s="4" t="s">
        <v>506</v>
      </c>
    </row>
    <row r="75" spans="1:15">
      <c r="A75" s="21">
        <v>71</v>
      </c>
      <c r="B75" s="4" t="s">
        <v>507</v>
      </c>
      <c r="C75" s="4" t="s">
        <v>66</v>
      </c>
      <c r="D75" s="4" t="s">
        <v>77</v>
      </c>
      <c r="E75" s="4" t="s">
        <v>231</v>
      </c>
      <c r="F75" s="4" t="s">
        <v>232</v>
      </c>
      <c r="G75" s="21">
        <v>10126</v>
      </c>
      <c r="H75" s="22">
        <v>2079000</v>
      </c>
      <c r="I75" s="22">
        <v>3311000</v>
      </c>
      <c r="J75" s="22">
        <v>327</v>
      </c>
      <c r="K75" s="23">
        <v>0.0478</v>
      </c>
      <c r="L75" s="22">
        <v>15.4</v>
      </c>
      <c r="M75" s="4" t="s">
        <v>508</v>
      </c>
      <c r="N75" s="4" t="s">
        <v>509</v>
      </c>
      <c r="O75" s="4" t="s">
        <v>510</v>
      </c>
    </row>
    <row r="76" spans="1:15">
      <c r="A76" s="21">
        <v>72</v>
      </c>
      <c r="B76" s="4" t="s">
        <v>511</v>
      </c>
      <c r="C76" s="4" t="s">
        <v>70</v>
      </c>
      <c r="D76" s="4" t="s">
        <v>79</v>
      </c>
      <c r="E76" s="4" t="s">
        <v>231</v>
      </c>
      <c r="F76" s="4" t="s">
        <v>232</v>
      </c>
      <c r="G76" s="21">
        <v>16728</v>
      </c>
      <c r="H76" s="22">
        <v>2050000</v>
      </c>
      <c r="I76" s="22">
        <v>2058000</v>
      </c>
      <c r="J76" s="22">
        <v>123</v>
      </c>
      <c r="K76" s="23">
        <v>0.1347</v>
      </c>
      <c r="L76" s="22">
        <v>28</v>
      </c>
      <c r="M76" s="4" t="s">
        <v>512</v>
      </c>
      <c r="N76" s="4" t="s">
        <v>513</v>
      </c>
      <c r="O76" s="4" t="s">
        <v>514</v>
      </c>
    </row>
    <row r="77" spans="1:15">
      <c r="A77" s="21">
        <v>73</v>
      </c>
      <c r="B77" s="4" t="s">
        <v>515</v>
      </c>
      <c r="C77" s="4" t="s">
        <v>66</v>
      </c>
      <c r="D77" s="4" t="s">
        <v>77</v>
      </c>
      <c r="E77" s="4" t="s">
        <v>231</v>
      </c>
      <c r="F77" s="4" t="s">
        <v>232</v>
      </c>
      <c r="G77" s="21">
        <v>10126</v>
      </c>
      <c r="H77" s="22">
        <v>2049000</v>
      </c>
      <c r="I77" s="22">
        <v>3311000</v>
      </c>
      <c r="J77" s="22">
        <v>327</v>
      </c>
      <c r="K77" s="23">
        <v>0.0485</v>
      </c>
      <c r="L77" s="22">
        <v>15.4</v>
      </c>
      <c r="M77" s="4" t="s">
        <v>516</v>
      </c>
      <c r="N77" s="4" t="s">
        <v>517</v>
      </c>
      <c r="O77" s="4" t="s">
        <v>518</v>
      </c>
    </row>
    <row r="78" spans="1:15">
      <c r="A78" s="21">
        <v>74</v>
      </c>
      <c r="B78" s="4" t="s">
        <v>519</v>
      </c>
      <c r="C78" s="4" t="s">
        <v>69</v>
      </c>
      <c r="D78" s="4" t="s">
        <v>81</v>
      </c>
      <c r="E78" s="4" t="s">
        <v>231</v>
      </c>
      <c r="F78" s="4" t="s">
        <v>232</v>
      </c>
      <c r="G78" s="21">
        <v>4540</v>
      </c>
      <c r="H78" s="22">
        <v>2043000</v>
      </c>
      <c r="I78" s="22">
        <v>735000</v>
      </c>
      <c r="J78" s="22">
        <v>162</v>
      </c>
      <c r="K78" s="23">
        <v>0.0353</v>
      </c>
      <c r="L78" s="22">
        <v>17</v>
      </c>
      <c r="M78" s="4" t="s">
        <v>520</v>
      </c>
      <c r="N78" s="4" t="s">
        <v>521</v>
      </c>
      <c r="O78" s="4" t="s">
        <v>522</v>
      </c>
    </row>
    <row r="79" spans="1:15">
      <c r="A79" s="21">
        <v>75</v>
      </c>
      <c r="B79" s="4" t="s">
        <v>523</v>
      </c>
      <c r="C79" s="4" t="s">
        <v>66</v>
      </c>
      <c r="D79" s="4" t="s">
        <v>79</v>
      </c>
      <c r="E79" s="4" t="s">
        <v>231</v>
      </c>
      <c r="F79" s="4" t="s">
        <v>232</v>
      </c>
      <c r="G79" s="21">
        <v>8540</v>
      </c>
      <c r="H79" s="22">
        <v>2000000</v>
      </c>
      <c r="I79" s="22">
        <v>2246000</v>
      </c>
      <c r="J79" s="22">
        <v>263</v>
      </c>
      <c r="K79" s="23">
        <v>0.0419</v>
      </c>
      <c r="L79" s="22">
        <v>15.4</v>
      </c>
      <c r="M79" s="4" t="s">
        <v>524</v>
      </c>
      <c r="N79" s="4" t="s">
        <v>525</v>
      </c>
      <c r="O79" s="4" t="s">
        <v>526</v>
      </c>
    </row>
    <row r="80" spans="1:15">
      <c r="A80" s="21">
        <v>76</v>
      </c>
      <c r="B80" s="4" t="s">
        <v>527</v>
      </c>
      <c r="C80" s="4" t="s">
        <v>72</v>
      </c>
      <c r="D80" s="4" t="s">
        <v>528</v>
      </c>
      <c r="E80" s="4" t="s">
        <v>231</v>
      </c>
      <c r="F80" s="4" t="s">
        <v>232</v>
      </c>
      <c r="G80" s="21">
        <v>5200</v>
      </c>
      <c r="H80" s="22">
        <v>1998500</v>
      </c>
      <c r="I80" s="22">
        <v>1404000</v>
      </c>
      <c r="J80" s="22">
        <v>270</v>
      </c>
      <c r="K80" s="23">
        <v>0.0618</v>
      </c>
      <c r="L80" s="22">
        <v>22.6</v>
      </c>
      <c r="M80" s="4" t="s">
        <v>529</v>
      </c>
      <c r="N80" s="4" t="s">
        <v>530</v>
      </c>
      <c r="O80" s="4" t="s">
        <v>531</v>
      </c>
    </row>
    <row r="81" spans="1:15">
      <c r="A81" s="21">
        <v>77</v>
      </c>
      <c r="B81" s="4" t="s">
        <v>532</v>
      </c>
      <c r="C81" s="4" t="s">
        <v>70</v>
      </c>
      <c r="D81" s="4" t="s">
        <v>109</v>
      </c>
      <c r="E81" s="4" t="s">
        <v>231</v>
      </c>
      <c r="F81" s="4" t="s">
        <v>232</v>
      </c>
      <c r="G81" s="21">
        <v>15000</v>
      </c>
      <c r="H81" s="22">
        <v>1990000</v>
      </c>
      <c r="I81" s="22">
        <v>2025000</v>
      </c>
      <c r="J81" s="22">
        <v>135</v>
      </c>
      <c r="K81" s="23">
        <v>0.1244</v>
      </c>
      <c r="L81" s="22">
        <v>28</v>
      </c>
      <c r="M81" s="4" t="s">
        <v>533</v>
      </c>
      <c r="N81" s="4" t="s">
        <v>534</v>
      </c>
      <c r="O81" s="4" t="s">
        <v>535</v>
      </c>
    </row>
    <row r="82" spans="1:15">
      <c r="A82" s="21">
        <v>78</v>
      </c>
      <c r="B82" s="4" t="s">
        <v>536</v>
      </c>
      <c r="C82" s="4" t="s">
        <v>65</v>
      </c>
      <c r="D82" s="4" t="s">
        <v>113</v>
      </c>
      <c r="E82" s="4" t="s">
        <v>231</v>
      </c>
      <c r="F82" s="4" t="s">
        <v>232</v>
      </c>
      <c r="G82" s="21">
        <v>18100</v>
      </c>
      <c r="H82" s="22">
        <v>1990000</v>
      </c>
      <c r="I82" s="22">
        <v>3403000</v>
      </c>
      <c r="J82" s="22">
        <v>188</v>
      </c>
      <c r="K82" s="23">
        <v>0.1233</v>
      </c>
      <c r="L82" s="22">
        <v>26.5</v>
      </c>
      <c r="M82" s="4" t="s">
        <v>537</v>
      </c>
      <c r="N82" s="4" t="s">
        <v>538</v>
      </c>
      <c r="O82" s="4" t="s">
        <v>539</v>
      </c>
    </row>
    <row r="83" spans="1:15">
      <c r="A83" s="21">
        <v>79</v>
      </c>
      <c r="B83" s="4" t="s">
        <v>540</v>
      </c>
      <c r="C83" s="4" t="s">
        <v>66</v>
      </c>
      <c r="D83" s="4" t="s">
        <v>113</v>
      </c>
      <c r="E83" s="4" t="s">
        <v>259</v>
      </c>
      <c r="F83" s="4" t="s">
        <v>232</v>
      </c>
      <c r="G83" s="21">
        <v>8518</v>
      </c>
      <c r="H83" s="22">
        <v>1950000</v>
      </c>
      <c r="I83" s="22">
        <v>2317000</v>
      </c>
      <c r="J83" s="22">
        <v>272</v>
      </c>
      <c r="K83" s="23">
        <v>0.0429</v>
      </c>
      <c r="L83" s="22">
        <v>15.4</v>
      </c>
      <c r="M83" s="4" t="s">
        <v>541</v>
      </c>
      <c r="N83" s="4" t="s">
        <v>542</v>
      </c>
      <c r="O83" s="4" t="s">
        <v>543</v>
      </c>
    </row>
    <row r="84" spans="1:15">
      <c r="A84" s="21">
        <v>80</v>
      </c>
      <c r="B84" s="4" t="s">
        <v>544</v>
      </c>
      <c r="C84" s="4" t="s">
        <v>67</v>
      </c>
      <c r="D84" s="4" t="s">
        <v>114</v>
      </c>
      <c r="E84" s="4" t="s">
        <v>259</v>
      </c>
      <c r="F84" s="4" t="s">
        <v>232</v>
      </c>
      <c r="G84" s="21">
        <v>16875</v>
      </c>
      <c r="H84" s="22">
        <v>1950000</v>
      </c>
      <c r="I84" s="22">
        <v>3662000</v>
      </c>
      <c r="J84" s="22">
        <v>217</v>
      </c>
      <c r="K84" s="23">
        <v>0.0839</v>
      </c>
      <c r="L84" s="22">
        <v>19.4</v>
      </c>
      <c r="M84" s="4" t="s">
        <v>545</v>
      </c>
      <c r="N84" s="4" t="s">
        <v>546</v>
      </c>
      <c r="O84" s="4" t="s">
        <v>547</v>
      </c>
    </row>
    <row r="85" spans="1:15">
      <c r="A85" s="21">
        <v>81</v>
      </c>
      <c r="B85" s="4" t="s">
        <v>548</v>
      </c>
      <c r="C85" s="4" t="s">
        <v>69</v>
      </c>
      <c r="D85" s="4" t="s">
        <v>78</v>
      </c>
      <c r="E85" s="4" t="s">
        <v>231</v>
      </c>
      <c r="F85" s="4" t="s">
        <v>232</v>
      </c>
      <c r="G85" s="21">
        <v>9652</v>
      </c>
      <c r="H85" s="22">
        <v>1950000</v>
      </c>
      <c r="I85" s="22">
        <v>1486000</v>
      </c>
      <c r="J85" s="22">
        <v>154</v>
      </c>
      <c r="K85" s="23">
        <v>0.07870000000000001</v>
      </c>
      <c r="L85" s="22">
        <v>17</v>
      </c>
      <c r="M85" s="4" t="s">
        <v>549</v>
      </c>
      <c r="N85" s="4" t="s">
        <v>550</v>
      </c>
      <c r="O85" s="4" t="s">
        <v>551</v>
      </c>
    </row>
    <row r="86" spans="1:15">
      <c r="A86" s="21">
        <v>82</v>
      </c>
      <c r="B86" s="4" t="s">
        <v>552</v>
      </c>
      <c r="C86" s="4" t="s">
        <v>67</v>
      </c>
      <c r="D86" s="4" t="s">
        <v>553</v>
      </c>
      <c r="E86" s="4" t="s">
        <v>231</v>
      </c>
      <c r="F86" s="4" t="s">
        <v>232</v>
      </c>
      <c r="G86" s="21">
        <v>16500</v>
      </c>
      <c r="H86" s="22">
        <v>1900000</v>
      </c>
      <c r="I86" s="22">
        <v>3630000</v>
      </c>
      <c r="J86" s="22">
        <v>220</v>
      </c>
      <c r="K86" s="23">
        <v>0.0842</v>
      </c>
      <c r="L86" s="22">
        <v>19.4</v>
      </c>
      <c r="M86" s="4" t="s">
        <v>554</v>
      </c>
      <c r="N86" s="4" t="s">
        <v>555</v>
      </c>
      <c r="O86" s="4" t="s">
        <v>556</v>
      </c>
    </row>
    <row r="87" spans="1:15">
      <c r="A87" s="21">
        <v>83</v>
      </c>
      <c r="B87" s="4" t="s">
        <v>452</v>
      </c>
      <c r="C87" s="4" t="s">
        <v>65</v>
      </c>
      <c r="D87" s="4" t="s">
        <v>78</v>
      </c>
      <c r="E87" s="4" t="s">
        <v>231</v>
      </c>
      <c r="F87" s="4" t="s">
        <v>232</v>
      </c>
      <c r="G87" s="21">
        <v>3130</v>
      </c>
      <c r="H87" s="22">
        <v>1900000</v>
      </c>
      <c r="I87" s="22">
        <v>1881000</v>
      </c>
      <c r="J87" s="22">
        <v>601</v>
      </c>
      <c r="K87" s="24" t="s">
        <v>237</v>
      </c>
      <c r="L87" s="22">
        <v>26.5</v>
      </c>
      <c r="M87" s="4" t="s">
        <v>453</v>
      </c>
      <c r="N87" s="4" t="s">
        <v>454</v>
      </c>
      <c r="O87" s="4" t="s">
        <v>557</v>
      </c>
    </row>
    <row r="88" spans="1:15">
      <c r="A88" s="21">
        <v>84</v>
      </c>
      <c r="B88" s="4" t="s">
        <v>558</v>
      </c>
      <c r="C88" s="4" t="s">
        <v>66</v>
      </c>
      <c r="D88" s="4" t="s">
        <v>82</v>
      </c>
      <c r="E88" s="4" t="s">
        <v>231</v>
      </c>
      <c r="F88" s="4" t="s">
        <v>232</v>
      </c>
      <c r="G88" s="21">
        <v>13802</v>
      </c>
      <c r="H88" s="22">
        <v>1895000</v>
      </c>
      <c r="I88" s="22">
        <v>2319000</v>
      </c>
      <c r="J88" s="22">
        <v>168</v>
      </c>
      <c r="K88" s="23">
        <v>0.07149999999999999</v>
      </c>
      <c r="L88" s="22">
        <v>15.4</v>
      </c>
      <c r="M88" s="4" t="s">
        <v>559</v>
      </c>
      <c r="N88" s="4" t="s">
        <v>560</v>
      </c>
      <c r="O88" s="4" t="s">
        <v>561</v>
      </c>
    </row>
    <row r="89" spans="1:15">
      <c r="A89" s="21">
        <v>85</v>
      </c>
      <c r="B89" s="4" t="s">
        <v>562</v>
      </c>
      <c r="C89" s="4" t="s">
        <v>65</v>
      </c>
      <c r="D89" s="4" t="s">
        <v>79</v>
      </c>
      <c r="E89" s="4" t="s">
        <v>259</v>
      </c>
      <c r="F89" s="4" t="s">
        <v>232</v>
      </c>
      <c r="G89" s="21">
        <v>5664</v>
      </c>
      <c r="H89" s="22">
        <v>1890000</v>
      </c>
      <c r="I89" s="22">
        <v>1926000</v>
      </c>
      <c r="J89" s="22">
        <v>340</v>
      </c>
      <c r="K89" s="23">
        <v>0.0406</v>
      </c>
      <c r="L89" s="22">
        <v>26.5</v>
      </c>
      <c r="M89" s="4" t="s">
        <v>563</v>
      </c>
      <c r="N89" s="4" t="s">
        <v>564</v>
      </c>
      <c r="O89" s="4" t="s">
        <v>565</v>
      </c>
    </row>
    <row r="90" spans="1:15">
      <c r="A90" s="21">
        <v>86</v>
      </c>
      <c r="B90" s="4" t="s">
        <v>566</v>
      </c>
      <c r="C90" s="4" t="s">
        <v>65</v>
      </c>
      <c r="D90" s="4" t="s">
        <v>115</v>
      </c>
      <c r="E90" s="4" t="s">
        <v>231</v>
      </c>
      <c r="F90" s="4" t="s">
        <v>232</v>
      </c>
      <c r="G90" s="21">
        <v>17111</v>
      </c>
      <c r="H90" s="22">
        <v>1890000</v>
      </c>
      <c r="I90" s="22">
        <v>3320000</v>
      </c>
      <c r="J90" s="22">
        <v>194</v>
      </c>
      <c r="K90" s="23">
        <v>0.1227</v>
      </c>
      <c r="L90" s="22">
        <v>26.5</v>
      </c>
      <c r="M90" s="4" t="s">
        <v>567</v>
      </c>
      <c r="N90" s="4" t="s">
        <v>568</v>
      </c>
      <c r="O90" s="4" t="s">
        <v>569</v>
      </c>
    </row>
    <row r="91" spans="1:15">
      <c r="A91" s="21">
        <v>87</v>
      </c>
      <c r="B91" s="4" t="s">
        <v>570</v>
      </c>
      <c r="C91" s="4" t="s">
        <v>65</v>
      </c>
      <c r="D91" s="4" t="s">
        <v>81</v>
      </c>
      <c r="E91" s="4" t="s">
        <v>231</v>
      </c>
      <c r="F91" s="4" t="s">
        <v>232</v>
      </c>
      <c r="G91" s="21">
        <v>14299</v>
      </c>
      <c r="H91" s="22">
        <v>1850000</v>
      </c>
      <c r="I91" s="22">
        <v>2703000</v>
      </c>
      <c r="J91" s="22">
        <v>189</v>
      </c>
      <c r="K91" s="23">
        <v>0.1047</v>
      </c>
      <c r="L91" s="22">
        <v>26.5</v>
      </c>
      <c r="M91" s="4" t="s">
        <v>571</v>
      </c>
      <c r="N91" s="4" t="s">
        <v>572</v>
      </c>
      <c r="O91" s="4" t="s">
        <v>573</v>
      </c>
    </row>
    <row r="92" spans="1:15">
      <c r="A92" s="21">
        <v>88</v>
      </c>
      <c r="B92" s="4" t="s">
        <v>574</v>
      </c>
      <c r="C92" s="4" t="s">
        <v>66</v>
      </c>
      <c r="D92" s="4" t="s">
        <v>575</v>
      </c>
      <c r="E92" s="4" t="s">
        <v>259</v>
      </c>
      <c r="F92" s="4" t="s">
        <v>232</v>
      </c>
      <c r="G92" s="21">
        <v>13402</v>
      </c>
      <c r="H92" s="22">
        <v>1800000</v>
      </c>
      <c r="I92" s="22">
        <v>2855000</v>
      </c>
      <c r="J92" s="22">
        <v>213</v>
      </c>
      <c r="K92" s="23">
        <v>0.0731</v>
      </c>
      <c r="L92" s="22">
        <v>15.4</v>
      </c>
      <c r="M92" s="4" t="s">
        <v>576</v>
      </c>
      <c r="N92" s="4" t="s">
        <v>577</v>
      </c>
      <c r="O92" s="4" t="s">
        <v>578</v>
      </c>
    </row>
    <row r="93" spans="1:15">
      <c r="A93" s="21">
        <v>89</v>
      </c>
      <c r="B93" s="4" t="s">
        <v>579</v>
      </c>
      <c r="C93" s="4" t="s">
        <v>67</v>
      </c>
      <c r="D93" s="4" t="s">
        <v>112</v>
      </c>
      <c r="E93" s="4" t="s">
        <v>231</v>
      </c>
      <c r="F93" s="4" t="s">
        <v>232</v>
      </c>
      <c r="G93" s="21">
        <v>11736</v>
      </c>
      <c r="H93" s="22">
        <v>1800000</v>
      </c>
      <c r="I93" s="22">
        <v>3087000</v>
      </c>
      <c r="J93" s="22">
        <v>263</v>
      </c>
      <c r="K93" s="23">
        <v>0.06320000000000001</v>
      </c>
      <c r="L93" s="22">
        <v>19.4</v>
      </c>
      <c r="M93" s="4" t="s">
        <v>580</v>
      </c>
      <c r="N93" s="4" t="s">
        <v>581</v>
      </c>
      <c r="O93" s="4" t="s">
        <v>582</v>
      </c>
    </row>
    <row r="94" spans="1:15">
      <c r="A94" s="21">
        <v>90</v>
      </c>
      <c r="B94" s="4" t="s">
        <v>583</v>
      </c>
      <c r="C94" s="4" t="s">
        <v>66</v>
      </c>
      <c r="D94" s="4" t="s">
        <v>79</v>
      </c>
      <c r="E94" s="4" t="s">
        <v>231</v>
      </c>
      <c r="F94" s="4" t="s">
        <v>232</v>
      </c>
      <c r="G94" s="21">
        <v>9167</v>
      </c>
      <c r="H94" s="22">
        <v>1800000</v>
      </c>
      <c r="I94" s="22">
        <v>2319000</v>
      </c>
      <c r="J94" s="22">
        <v>253</v>
      </c>
      <c r="K94" s="23">
        <v>0.05</v>
      </c>
      <c r="L94" s="22">
        <v>15.4</v>
      </c>
      <c r="M94" s="4" t="s">
        <v>584</v>
      </c>
      <c r="N94" s="4" t="s">
        <v>585</v>
      </c>
      <c r="O94" s="4" t="s">
        <v>586</v>
      </c>
    </row>
    <row r="95" spans="1:15">
      <c r="A95" s="21">
        <v>91</v>
      </c>
      <c r="B95" s="4" t="s">
        <v>587</v>
      </c>
      <c r="C95" s="4" t="s">
        <v>66</v>
      </c>
      <c r="D95" s="4" t="s">
        <v>76</v>
      </c>
      <c r="E95" s="4" t="s">
        <v>231</v>
      </c>
      <c r="F95" s="4" t="s">
        <v>232</v>
      </c>
      <c r="G95" s="21">
        <v>6977</v>
      </c>
      <c r="H95" s="22">
        <v>1799000</v>
      </c>
      <c r="I95" s="22">
        <v>2937000</v>
      </c>
      <c r="J95" s="22">
        <v>421</v>
      </c>
      <c r="K95" s="23">
        <v>0.0381</v>
      </c>
      <c r="L95" s="22">
        <v>15.4</v>
      </c>
      <c r="M95" s="4" t="s">
        <v>588</v>
      </c>
      <c r="N95" s="4" t="s">
        <v>589</v>
      </c>
      <c r="O95" s="4" t="s">
        <v>590</v>
      </c>
    </row>
    <row r="96" spans="1:15">
      <c r="A96" s="21">
        <v>92</v>
      </c>
      <c r="B96" s="4" t="s">
        <v>591</v>
      </c>
      <c r="C96" s="4" t="s">
        <v>66</v>
      </c>
      <c r="D96" s="4" t="s">
        <v>79</v>
      </c>
      <c r="E96" s="4" t="s">
        <v>231</v>
      </c>
      <c r="F96" s="4" t="s">
        <v>232</v>
      </c>
      <c r="G96" s="21">
        <v>20256</v>
      </c>
      <c r="H96" s="22">
        <v>1750000</v>
      </c>
      <c r="I96" s="22">
        <v>3362000</v>
      </c>
      <c r="J96" s="22">
        <v>166</v>
      </c>
      <c r="K96" s="23">
        <v>0.1136</v>
      </c>
      <c r="L96" s="22">
        <v>15.4</v>
      </c>
      <c r="M96" s="4" t="s">
        <v>592</v>
      </c>
      <c r="N96" s="4" t="s">
        <v>593</v>
      </c>
      <c r="O96" s="4" t="s">
        <v>594</v>
      </c>
    </row>
    <row r="97" spans="1:15">
      <c r="A97" s="21">
        <v>93</v>
      </c>
      <c r="B97" s="4" t="s">
        <v>519</v>
      </c>
      <c r="C97" s="4" t="s">
        <v>69</v>
      </c>
      <c r="D97" s="4" t="s">
        <v>81</v>
      </c>
      <c r="E97" s="4" t="s">
        <v>259</v>
      </c>
      <c r="F97" s="4" t="s">
        <v>232</v>
      </c>
      <c r="G97" s="21">
        <v>4540</v>
      </c>
      <c r="H97" s="22">
        <v>1740000</v>
      </c>
      <c r="I97" s="22">
        <v>735000</v>
      </c>
      <c r="J97" s="22">
        <v>162</v>
      </c>
      <c r="K97" s="23">
        <v>0.0415</v>
      </c>
      <c r="L97" s="22">
        <v>17</v>
      </c>
      <c r="M97" s="4" t="s">
        <v>520</v>
      </c>
      <c r="N97" s="4" t="s">
        <v>595</v>
      </c>
      <c r="O97" s="4" t="s">
        <v>596</v>
      </c>
    </row>
    <row r="98" spans="1:15">
      <c r="A98" s="21">
        <v>94</v>
      </c>
      <c r="B98" s="4" t="s">
        <v>597</v>
      </c>
      <c r="C98" s="4" t="s">
        <v>65</v>
      </c>
      <c r="D98" s="4" t="s">
        <v>79</v>
      </c>
      <c r="E98" s="4" t="s">
        <v>231</v>
      </c>
      <c r="F98" s="4" t="s">
        <v>232</v>
      </c>
      <c r="G98" s="21">
        <v>7497</v>
      </c>
      <c r="H98" s="22">
        <v>1700000</v>
      </c>
      <c r="I98" s="22">
        <v>2182000</v>
      </c>
      <c r="J98" s="22">
        <v>291</v>
      </c>
      <c r="K98" s="23">
        <v>0.0598</v>
      </c>
      <c r="L98" s="22">
        <v>26.5</v>
      </c>
      <c r="M98" s="4" t="s">
        <v>598</v>
      </c>
      <c r="N98" s="4" t="s">
        <v>599</v>
      </c>
      <c r="O98" s="4" t="s">
        <v>600</v>
      </c>
    </row>
    <row r="99" spans="1:15">
      <c r="A99" s="21">
        <v>95</v>
      </c>
      <c r="B99" s="4" t="s">
        <v>601</v>
      </c>
      <c r="C99" s="4" t="s">
        <v>65</v>
      </c>
      <c r="D99" s="4" t="s">
        <v>79</v>
      </c>
      <c r="E99" s="4" t="s">
        <v>231</v>
      </c>
      <c r="F99" s="4" t="s">
        <v>232</v>
      </c>
      <c r="G99" s="21">
        <v>12769</v>
      </c>
      <c r="H99" s="22">
        <v>1700000</v>
      </c>
      <c r="I99" s="22">
        <v>2809000</v>
      </c>
      <c r="J99" s="22">
        <v>220</v>
      </c>
      <c r="K99" s="23">
        <v>0.1018</v>
      </c>
      <c r="L99" s="22">
        <v>26.5</v>
      </c>
      <c r="M99" s="4" t="s">
        <v>602</v>
      </c>
      <c r="N99" s="4" t="s">
        <v>603</v>
      </c>
      <c r="O99" s="4" t="s">
        <v>604</v>
      </c>
    </row>
    <row r="100" spans="1:15">
      <c r="A100" s="21">
        <v>96</v>
      </c>
      <c r="B100" s="4" t="s">
        <v>519</v>
      </c>
      <c r="C100" s="4" t="s">
        <v>69</v>
      </c>
      <c r="D100" s="4" t="s">
        <v>81</v>
      </c>
      <c r="E100" s="4" t="s">
        <v>231</v>
      </c>
      <c r="F100" s="4" t="s">
        <v>232</v>
      </c>
      <c r="G100" s="21">
        <v>4340</v>
      </c>
      <c r="H100" s="22">
        <v>1700000</v>
      </c>
      <c r="I100" s="22">
        <v>720000</v>
      </c>
      <c r="J100" s="22">
        <v>166</v>
      </c>
      <c r="K100" s="23">
        <v>0.0406</v>
      </c>
      <c r="L100" s="22">
        <v>17</v>
      </c>
      <c r="M100" s="4" t="s">
        <v>605</v>
      </c>
      <c r="N100" s="4" t="s">
        <v>606</v>
      </c>
      <c r="O100" s="4" t="s">
        <v>607</v>
      </c>
    </row>
    <row r="101" spans="1:15">
      <c r="A101" s="21">
        <v>97</v>
      </c>
      <c r="B101" s="4" t="s">
        <v>608</v>
      </c>
      <c r="C101" s="4" t="s">
        <v>66</v>
      </c>
      <c r="D101" s="4" t="s">
        <v>82</v>
      </c>
      <c r="E101" s="4" t="s">
        <v>231</v>
      </c>
      <c r="F101" s="4" t="s">
        <v>232</v>
      </c>
      <c r="G101" s="21">
        <v>13802</v>
      </c>
      <c r="H101" s="22">
        <v>1699000</v>
      </c>
      <c r="I101" s="22">
        <v>2319000</v>
      </c>
      <c r="J101" s="22">
        <v>168</v>
      </c>
      <c r="K101" s="23">
        <v>0.07969999999999999</v>
      </c>
      <c r="L101" s="22">
        <v>15.4</v>
      </c>
      <c r="M101" s="4" t="s">
        <v>609</v>
      </c>
      <c r="N101" s="4" t="s">
        <v>610</v>
      </c>
      <c r="O101" s="4" t="s">
        <v>611</v>
      </c>
    </row>
    <row r="102" spans="1:15">
      <c r="A102" s="21">
        <v>98</v>
      </c>
      <c r="B102" s="4" t="s">
        <v>612</v>
      </c>
      <c r="C102" s="4" t="s">
        <v>65</v>
      </c>
      <c r="D102" s="4" t="s">
        <v>109</v>
      </c>
      <c r="E102" s="4" t="s">
        <v>231</v>
      </c>
      <c r="F102" s="4" t="s">
        <v>232</v>
      </c>
      <c r="G102" s="21">
        <v>12398</v>
      </c>
      <c r="H102" s="22">
        <v>1600000</v>
      </c>
      <c r="I102" s="22">
        <v>2852000</v>
      </c>
      <c r="J102" s="22">
        <v>230</v>
      </c>
      <c r="K102" s="23">
        <v>0.105</v>
      </c>
      <c r="L102" s="22">
        <v>26.5</v>
      </c>
      <c r="M102" s="4" t="s">
        <v>613</v>
      </c>
      <c r="N102" s="4" t="s">
        <v>614</v>
      </c>
      <c r="O102" s="4" t="s">
        <v>615</v>
      </c>
    </row>
    <row r="103" spans="1:15">
      <c r="A103" s="21">
        <v>99</v>
      </c>
      <c r="B103" s="4" t="s">
        <v>616</v>
      </c>
      <c r="C103" s="4" t="s">
        <v>67</v>
      </c>
      <c r="D103" s="4" t="s">
        <v>83</v>
      </c>
      <c r="E103" s="4" t="s">
        <v>231</v>
      </c>
      <c r="F103" s="4" t="s">
        <v>232</v>
      </c>
      <c r="G103" s="21">
        <v>16875</v>
      </c>
      <c r="H103" s="22">
        <v>1600000</v>
      </c>
      <c r="I103" s="22">
        <v>2396000</v>
      </c>
      <c r="J103" s="22">
        <v>142</v>
      </c>
      <c r="K103" s="23">
        <v>0.1022</v>
      </c>
      <c r="L103" s="22">
        <v>19.4</v>
      </c>
      <c r="M103" s="4" t="s">
        <v>617</v>
      </c>
      <c r="N103" s="4" t="s">
        <v>618</v>
      </c>
      <c r="O103" s="4" t="s">
        <v>619</v>
      </c>
    </row>
    <row r="104" spans="1:15">
      <c r="A104" s="21">
        <v>100</v>
      </c>
      <c r="B104" s="4" t="s">
        <v>503</v>
      </c>
      <c r="C104" s="4" t="s">
        <v>66</v>
      </c>
      <c r="D104" s="4" t="s">
        <v>82</v>
      </c>
      <c r="E104" s="4" t="s">
        <v>259</v>
      </c>
      <c r="F104" s="4" t="s">
        <v>232</v>
      </c>
      <c r="G104" s="21">
        <v>14000</v>
      </c>
      <c r="H104" s="22">
        <v>1599900</v>
      </c>
      <c r="I104" s="22">
        <v>2324000</v>
      </c>
      <c r="J104" s="22">
        <v>166</v>
      </c>
      <c r="K104" s="23">
        <v>0.0859</v>
      </c>
      <c r="L104" s="22">
        <v>15.4</v>
      </c>
      <c r="M104" s="4" t="s">
        <v>504</v>
      </c>
      <c r="N104" s="4" t="s">
        <v>620</v>
      </c>
      <c r="O104" s="4" t="s">
        <v>621</v>
      </c>
    </row>
    <row r="105" spans="1:15">
      <c r="A105" s="21">
        <v>101</v>
      </c>
      <c r="B105" s="4" t="s">
        <v>622</v>
      </c>
      <c r="C105" s="4" t="s">
        <v>66</v>
      </c>
      <c r="D105" s="4" t="s">
        <v>110</v>
      </c>
      <c r="E105" s="4" t="s">
        <v>231</v>
      </c>
      <c r="F105" s="4" t="s">
        <v>232</v>
      </c>
      <c r="G105" s="21">
        <v>9563</v>
      </c>
      <c r="H105" s="22">
        <v>1500000</v>
      </c>
      <c r="I105" s="22">
        <v>2439000</v>
      </c>
      <c r="J105" s="22">
        <v>255</v>
      </c>
      <c r="K105" s="23">
        <v>0.0626</v>
      </c>
      <c r="L105" s="22">
        <v>15.4</v>
      </c>
      <c r="M105" s="4" t="s">
        <v>623</v>
      </c>
      <c r="N105" s="4" t="s">
        <v>624</v>
      </c>
      <c r="O105" s="4" t="s">
        <v>625</v>
      </c>
    </row>
    <row r="106" spans="1:15">
      <c r="A106" s="21">
        <v>102</v>
      </c>
      <c r="B106" s="4" t="s">
        <v>622</v>
      </c>
      <c r="C106" s="4" t="s">
        <v>66</v>
      </c>
      <c r="D106" s="4" t="s">
        <v>110</v>
      </c>
      <c r="E106" s="4" t="s">
        <v>231</v>
      </c>
      <c r="F106" s="4" t="s">
        <v>232</v>
      </c>
      <c r="G106" s="21">
        <v>9563</v>
      </c>
      <c r="H106" s="22">
        <v>1500000</v>
      </c>
      <c r="I106" s="22">
        <v>2439000</v>
      </c>
      <c r="J106" s="22">
        <v>255</v>
      </c>
      <c r="K106" s="23">
        <v>0.0626</v>
      </c>
      <c r="L106" s="22">
        <v>15.4</v>
      </c>
      <c r="M106" s="4" t="s">
        <v>623</v>
      </c>
      <c r="N106" s="4" t="s">
        <v>624</v>
      </c>
      <c r="O106" s="4" t="s">
        <v>625</v>
      </c>
    </row>
    <row r="107" spans="1:15">
      <c r="A107" s="21">
        <v>103</v>
      </c>
      <c r="B107" s="4" t="s">
        <v>626</v>
      </c>
      <c r="C107" s="4" t="s">
        <v>66</v>
      </c>
      <c r="D107" s="4" t="s">
        <v>79</v>
      </c>
      <c r="E107" s="4" t="s">
        <v>231</v>
      </c>
      <c r="F107" s="4" t="s">
        <v>232</v>
      </c>
      <c r="G107" s="21">
        <v>9167</v>
      </c>
      <c r="H107" s="22">
        <v>1500000</v>
      </c>
      <c r="I107" s="22">
        <v>2319000</v>
      </c>
      <c r="J107" s="22">
        <v>253</v>
      </c>
      <c r="K107" s="23">
        <v>0.06</v>
      </c>
      <c r="L107" s="22">
        <v>15.4</v>
      </c>
      <c r="M107" s="4" t="s">
        <v>627</v>
      </c>
      <c r="N107" s="4" t="s">
        <v>628</v>
      </c>
      <c r="O107" s="4" t="s">
        <v>629</v>
      </c>
    </row>
    <row r="108" spans="1:15">
      <c r="A108" s="21">
        <v>104</v>
      </c>
      <c r="B108" s="4" t="s">
        <v>630</v>
      </c>
      <c r="C108" s="4" t="s">
        <v>66</v>
      </c>
      <c r="D108" s="4" t="s">
        <v>120</v>
      </c>
      <c r="E108" s="4" t="s">
        <v>231</v>
      </c>
      <c r="F108" s="4" t="s">
        <v>232</v>
      </c>
      <c r="G108" s="21">
        <v>6440</v>
      </c>
      <c r="H108" s="22">
        <v>1500000</v>
      </c>
      <c r="I108" s="22">
        <v>2029000</v>
      </c>
      <c r="J108" s="22">
        <v>315</v>
      </c>
      <c r="K108" s="23">
        <v>0.0421</v>
      </c>
      <c r="L108" s="22">
        <v>15.4</v>
      </c>
      <c r="M108" s="4" t="s">
        <v>631</v>
      </c>
      <c r="N108" s="4" t="s">
        <v>632</v>
      </c>
      <c r="O108" s="4" t="s">
        <v>633</v>
      </c>
    </row>
    <row r="109" spans="1:15">
      <c r="A109" s="21">
        <v>105</v>
      </c>
      <c r="B109" s="4" t="s">
        <v>634</v>
      </c>
      <c r="C109" s="4" t="s">
        <v>66</v>
      </c>
      <c r="D109" s="4" t="s">
        <v>76</v>
      </c>
      <c r="E109" s="4" t="s">
        <v>259</v>
      </c>
      <c r="F109" s="4" t="s">
        <v>232</v>
      </c>
      <c r="G109" s="21">
        <v>6977</v>
      </c>
      <c r="H109" s="22">
        <v>1490000</v>
      </c>
      <c r="I109" s="22">
        <v>2937000</v>
      </c>
      <c r="J109" s="22">
        <v>421</v>
      </c>
      <c r="K109" s="23">
        <v>0.046</v>
      </c>
      <c r="L109" s="22">
        <v>15.4</v>
      </c>
      <c r="M109" s="4" t="s">
        <v>635</v>
      </c>
      <c r="N109" s="4" t="s">
        <v>636</v>
      </c>
      <c r="O109" s="4" t="s">
        <v>637</v>
      </c>
    </row>
    <row r="110" spans="1:15">
      <c r="A110" s="21">
        <v>106</v>
      </c>
      <c r="B110" s="4" t="s">
        <v>638</v>
      </c>
      <c r="C110" s="4" t="s">
        <v>66</v>
      </c>
      <c r="D110" s="4" t="s">
        <v>83</v>
      </c>
      <c r="E110" s="4" t="s">
        <v>231</v>
      </c>
      <c r="F110" s="4" t="s">
        <v>232</v>
      </c>
      <c r="G110" s="21">
        <v>11865</v>
      </c>
      <c r="H110" s="22">
        <v>1425000</v>
      </c>
      <c r="I110" s="22">
        <v>1768000</v>
      </c>
      <c r="J110" s="22">
        <v>149</v>
      </c>
      <c r="K110" s="23">
        <v>0.08169999999999999</v>
      </c>
      <c r="L110" s="22">
        <v>15.4</v>
      </c>
      <c r="M110" s="4" t="s">
        <v>639</v>
      </c>
      <c r="N110" s="4" t="s">
        <v>640</v>
      </c>
      <c r="O110" s="4" t="s">
        <v>641</v>
      </c>
    </row>
    <row r="111" spans="1:15">
      <c r="A111" s="21">
        <v>107</v>
      </c>
      <c r="B111" s="4" t="s">
        <v>642</v>
      </c>
      <c r="C111" s="4" t="s">
        <v>66</v>
      </c>
      <c r="D111" s="4" t="s">
        <v>643</v>
      </c>
      <c r="E111" s="4" t="s">
        <v>259</v>
      </c>
      <c r="F111" s="4" t="s">
        <v>232</v>
      </c>
      <c r="G111" s="21">
        <v>9167</v>
      </c>
      <c r="H111" s="22">
        <v>1400000</v>
      </c>
      <c r="I111" s="22">
        <v>2402000</v>
      </c>
      <c r="J111" s="22">
        <v>262</v>
      </c>
      <c r="K111" s="23">
        <v>0.0643</v>
      </c>
      <c r="L111" s="22">
        <v>15.4</v>
      </c>
      <c r="M111" s="4" t="s">
        <v>644</v>
      </c>
      <c r="N111" s="4" t="s">
        <v>645</v>
      </c>
      <c r="O111" s="4" t="s">
        <v>646</v>
      </c>
    </row>
    <row r="112" spans="1:15">
      <c r="A112" s="21">
        <v>108</v>
      </c>
      <c r="B112" s="4" t="s">
        <v>616</v>
      </c>
      <c r="C112" s="4" t="s">
        <v>67</v>
      </c>
      <c r="D112" s="4" t="s">
        <v>83</v>
      </c>
      <c r="E112" s="4" t="s">
        <v>259</v>
      </c>
      <c r="F112" s="4" t="s">
        <v>232</v>
      </c>
      <c r="G112" s="21">
        <v>16875</v>
      </c>
      <c r="H112" s="22">
        <v>1400000</v>
      </c>
      <c r="I112" s="22">
        <v>2396000</v>
      </c>
      <c r="J112" s="22">
        <v>142</v>
      </c>
      <c r="K112" s="23">
        <v>0.1168</v>
      </c>
      <c r="L112" s="22">
        <v>19.4</v>
      </c>
      <c r="M112" s="4" t="s">
        <v>617</v>
      </c>
      <c r="N112" s="4" t="s">
        <v>647</v>
      </c>
      <c r="O112" s="4" t="s">
        <v>648</v>
      </c>
    </row>
    <row r="113" spans="1:15">
      <c r="A113" s="21">
        <v>109</v>
      </c>
      <c r="B113" s="4" t="s">
        <v>649</v>
      </c>
      <c r="C113" s="4" t="s">
        <v>68</v>
      </c>
      <c r="D113" s="4" t="s">
        <v>120</v>
      </c>
      <c r="E113" s="4" t="s">
        <v>231</v>
      </c>
      <c r="F113" s="4" t="s">
        <v>232</v>
      </c>
      <c r="G113" s="21">
        <v>3375</v>
      </c>
      <c r="H113" s="22">
        <v>1400000</v>
      </c>
      <c r="I113" s="22">
        <v>1114000</v>
      </c>
      <c r="J113" s="22">
        <v>330</v>
      </c>
      <c r="K113" s="24" t="s">
        <v>237</v>
      </c>
      <c r="L113" s="22">
        <v>20.2</v>
      </c>
      <c r="M113" s="4" t="s">
        <v>650</v>
      </c>
      <c r="N113" s="4" t="s">
        <v>651</v>
      </c>
      <c r="O113" s="4" t="s">
        <v>652</v>
      </c>
    </row>
    <row r="114" spans="1:15">
      <c r="A114" s="21">
        <v>110</v>
      </c>
      <c r="B114" s="4" t="s">
        <v>653</v>
      </c>
      <c r="C114" s="4" t="s">
        <v>65</v>
      </c>
      <c r="D114" s="4" t="s">
        <v>83</v>
      </c>
      <c r="E114" s="4" t="s">
        <v>231</v>
      </c>
      <c r="F114" s="4" t="s">
        <v>232</v>
      </c>
      <c r="G114" s="21">
        <v>6225</v>
      </c>
      <c r="H114" s="22">
        <v>1399000</v>
      </c>
      <c r="I114" s="22">
        <v>1351000</v>
      </c>
      <c r="J114" s="22">
        <v>217</v>
      </c>
      <c r="K114" s="23">
        <v>0.0603</v>
      </c>
      <c r="L114" s="22">
        <v>26.5</v>
      </c>
      <c r="M114" s="4" t="s">
        <v>654</v>
      </c>
      <c r="N114" s="4" t="s">
        <v>655</v>
      </c>
      <c r="O114" s="4" t="s">
        <v>656</v>
      </c>
    </row>
    <row r="115" spans="1:15">
      <c r="A115" s="21">
        <v>111</v>
      </c>
      <c r="B115" s="4" t="s">
        <v>657</v>
      </c>
      <c r="C115" s="4" t="s">
        <v>65</v>
      </c>
      <c r="D115" s="4" t="s">
        <v>80</v>
      </c>
      <c r="E115" s="4" t="s">
        <v>231</v>
      </c>
      <c r="F115" s="4" t="s">
        <v>232</v>
      </c>
      <c r="G115" s="21">
        <v>7250</v>
      </c>
      <c r="H115" s="22">
        <v>1395000</v>
      </c>
      <c r="I115" s="22">
        <v>2001000</v>
      </c>
      <c r="J115" s="22">
        <v>276</v>
      </c>
      <c r="K115" s="23">
        <v>0.0704</v>
      </c>
      <c r="L115" s="22">
        <v>26.5</v>
      </c>
      <c r="M115" s="4" t="s">
        <v>658</v>
      </c>
      <c r="N115" s="4" t="s">
        <v>659</v>
      </c>
      <c r="O115" s="4" t="s">
        <v>660</v>
      </c>
    </row>
    <row r="116" spans="1:15">
      <c r="A116" s="21">
        <v>112</v>
      </c>
      <c r="B116" s="4" t="s">
        <v>661</v>
      </c>
      <c r="C116" s="4" t="s">
        <v>66</v>
      </c>
      <c r="D116" s="4" t="s">
        <v>79</v>
      </c>
      <c r="E116" s="4" t="s">
        <v>231</v>
      </c>
      <c r="F116" s="4" t="s">
        <v>232</v>
      </c>
      <c r="G116" s="21">
        <v>13504</v>
      </c>
      <c r="H116" s="22">
        <v>1350000</v>
      </c>
      <c r="I116" s="22">
        <v>2782000</v>
      </c>
      <c r="J116" s="22">
        <v>206</v>
      </c>
      <c r="K116" s="23">
        <v>0.0982</v>
      </c>
      <c r="L116" s="22">
        <v>15.4</v>
      </c>
      <c r="M116" s="4" t="s">
        <v>662</v>
      </c>
      <c r="N116" s="4" t="s">
        <v>663</v>
      </c>
      <c r="O116" s="4" t="s">
        <v>664</v>
      </c>
    </row>
    <row r="117" spans="1:15">
      <c r="A117" s="21">
        <v>113</v>
      </c>
      <c r="B117" s="4" t="s">
        <v>665</v>
      </c>
      <c r="C117" s="4" t="s">
        <v>69</v>
      </c>
      <c r="D117" s="4" t="s">
        <v>81</v>
      </c>
      <c r="E117" s="4" t="s">
        <v>231</v>
      </c>
      <c r="F117" s="4" t="s">
        <v>232</v>
      </c>
      <c r="G117" s="21">
        <v>10500</v>
      </c>
      <c r="H117" s="22">
        <v>1350000</v>
      </c>
      <c r="I117" s="22">
        <v>1082000</v>
      </c>
      <c r="J117" s="22">
        <v>103</v>
      </c>
      <c r="K117" s="23">
        <v>0.1236</v>
      </c>
      <c r="L117" s="22">
        <v>17</v>
      </c>
      <c r="M117" s="4" t="s">
        <v>666</v>
      </c>
      <c r="N117" s="4" t="s">
        <v>667</v>
      </c>
      <c r="O117" s="4" t="s">
        <v>668</v>
      </c>
    </row>
    <row r="118" spans="1:15">
      <c r="A118" s="21">
        <v>114</v>
      </c>
      <c r="B118" s="4" t="s">
        <v>669</v>
      </c>
      <c r="C118" s="4" t="s">
        <v>66</v>
      </c>
      <c r="D118" s="4" t="s">
        <v>79</v>
      </c>
      <c r="E118" s="4" t="s">
        <v>231</v>
      </c>
      <c r="F118" s="4" t="s">
        <v>232</v>
      </c>
      <c r="G118" s="21">
        <v>10127</v>
      </c>
      <c r="H118" s="22">
        <v>1349999</v>
      </c>
      <c r="I118" s="22">
        <v>2430000</v>
      </c>
      <c r="J118" s="22">
        <v>240</v>
      </c>
      <c r="K118" s="23">
        <v>0.0736</v>
      </c>
      <c r="L118" s="22">
        <v>15.4</v>
      </c>
      <c r="M118" s="4" t="s">
        <v>670</v>
      </c>
      <c r="N118" s="4" t="s">
        <v>671</v>
      </c>
      <c r="O118" s="4" t="s">
        <v>672</v>
      </c>
    </row>
    <row r="119" spans="1:15">
      <c r="A119" s="21">
        <v>115</v>
      </c>
      <c r="B119" s="4" t="s">
        <v>673</v>
      </c>
      <c r="C119" s="4" t="s">
        <v>66</v>
      </c>
      <c r="D119" s="4" t="s">
        <v>83</v>
      </c>
      <c r="E119" s="4" t="s">
        <v>231</v>
      </c>
      <c r="F119" s="4" t="s">
        <v>232</v>
      </c>
      <c r="G119" s="21">
        <v>11300</v>
      </c>
      <c r="H119" s="22">
        <v>1300000</v>
      </c>
      <c r="I119" s="22">
        <v>1729000</v>
      </c>
      <c r="J119" s="22">
        <v>153</v>
      </c>
      <c r="K119" s="23">
        <v>0.0853</v>
      </c>
      <c r="L119" s="22">
        <v>15.4</v>
      </c>
      <c r="M119" s="4" t="s">
        <v>674</v>
      </c>
      <c r="N119" s="4" t="s">
        <v>675</v>
      </c>
      <c r="O119" s="4" t="s">
        <v>676</v>
      </c>
    </row>
    <row r="120" spans="1:15">
      <c r="A120" s="21">
        <v>116</v>
      </c>
      <c r="B120" s="4" t="s">
        <v>677</v>
      </c>
      <c r="C120" s="4" t="s">
        <v>67</v>
      </c>
      <c r="D120" s="4" t="s">
        <v>119</v>
      </c>
      <c r="E120" s="4" t="s">
        <v>231</v>
      </c>
      <c r="F120" s="4" t="s">
        <v>232</v>
      </c>
      <c r="G120" s="21">
        <v>11800</v>
      </c>
      <c r="H120" s="22">
        <v>1300000</v>
      </c>
      <c r="I120" s="22">
        <v>3127000</v>
      </c>
      <c r="J120" s="22">
        <v>265</v>
      </c>
      <c r="K120" s="23">
        <v>0.08799999999999999</v>
      </c>
      <c r="L120" s="22">
        <v>19.4</v>
      </c>
      <c r="M120" s="4" t="s">
        <v>678</v>
      </c>
      <c r="N120" s="4" t="s">
        <v>679</v>
      </c>
      <c r="O120" s="4" t="s">
        <v>680</v>
      </c>
    </row>
    <row r="121" spans="1:15">
      <c r="A121" s="21">
        <v>117</v>
      </c>
      <c r="B121" s="4" t="s">
        <v>681</v>
      </c>
      <c r="C121" s="4" t="s">
        <v>66</v>
      </c>
      <c r="D121" s="4" t="s">
        <v>79</v>
      </c>
      <c r="E121" s="4" t="s">
        <v>231</v>
      </c>
      <c r="F121" s="4" t="s">
        <v>232</v>
      </c>
      <c r="G121" s="21">
        <v>9466</v>
      </c>
      <c r="H121" s="22">
        <v>1299000</v>
      </c>
      <c r="I121" s="22">
        <v>2357000</v>
      </c>
      <c r="J121" s="22">
        <v>249</v>
      </c>
      <c r="K121" s="23">
        <v>0.07149999999999999</v>
      </c>
      <c r="L121" s="22">
        <v>15.4</v>
      </c>
      <c r="M121" s="4" t="s">
        <v>682</v>
      </c>
      <c r="N121" s="4" t="s">
        <v>683</v>
      </c>
      <c r="O121" s="4" t="s">
        <v>684</v>
      </c>
    </row>
    <row r="122" spans="1:15">
      <c r="A122" s="21">
        <v>118</v>
      </c>
      <c r="B122" s="4" t="s">
        <v>685</v>
      </c>
      <c r="C122" s="4" t="s">
        <v>66</v>
      </c>
      <c r="D122" s="4" t="s">
        <v>82</v>
      </c>
      <c r="E122" s="4" t="s">
        <v>378</v>
      </c>
      <c r="F122" s="4" t="s">
        <v>232</v>
      </c>
      <c r="G122" s="21">
        <v>8652</v>
      </c>
      <c r="H122" s="22">
        <v>1280000</v>
      </c>
      <c r="I122" s="22">
        <v>1860000</v>
      </c>
      <c r="J122" s="22">
        <v>215</v>
      </c>
      <c r="K122" s="23">
        <v>0.0663</v>
      </c>
      <c r="L122" s="22">
        <v>15.4</v>
      </c>
      <c r="M122" s="4" t="s">
        <v>686</v>
      </c>
      <c r="N122" s="4" t="s">
        <v>687</v>
      </c>
      <c r="O122" s="4" t="s">
        <v>688</v>
      </c>
    </row>
    <row r="123" spans="1:15">
      <c r="A123" s="21">
        <v>119</v>
      </c>
      <c r="B123" s="4" t="s">
        <v>689</v>
      </c>
      <c r="C123" s="4" t="s">
        <v>69</v>
      </c>
      <c r="D123" s="4" t="s">
        <v>81</v>
      </c>
      <c r="E123" s="4" t="s">
        <v>259</v>
      </c>
      <c r="F123" s="4" t="s">
        <v>232</v>
      </c>
      <c r="G123" s="21">
        <v>3300</v>
      </c>
      <c r="H123" s="22">
        <v>1250000</v>
      </c>
      <c r="I123" s="22">
        <v>634000</v>
      </c>
      <c r="J123" s="22">
        <v>192</v>
      </c>
      <c r="K123" s="23">
        <v>0.042</v>
      </c>
      <c r="L123" s="22">
        <v>17</v>
      </c>
      <c r="M123" s="4" t="s">
        <v>690</v>
      </c>
      <c r="N123" s="4" t="s">
        <v>691</v>
      </c>
      <c r="O123" s="4" t="s">
        <v>692</v>
      </c>
    </row>
    <row r="124" spans="1:15">
      <c r="A124" s="21">
        <v>120</v>
      </c>
      <c r="B124" s="4" t="s">
        <v>693</v>
      </c>
      <c r="C124" s="4" t="s">
        <v>68</v>
      </c>
      <c r="D124" s="4" t="s">
        <v>81</v>
      </c>
      <c r="E124" s="4" t="s">
        <v>231</v>
      </c>
      <c r="F124" s="4" t="s">
        <v>232</v>
      </c>
      <c r="G124" s="21">
        <v>7393</v>
      </c>
      <c r="H124" s="22">
        <v>1250000</v>
      </c>
      <c r="I124" s="22">
        <v>1419000</v>
      </c>
      <c r="J124" s="22">
        <v>192</v>
      </c>
      <c r="K124" s="23">
        <v>0.0554</v>
      </c>
      <c r="L124" s="22">
        <v>20.2</v>
      </c>
      <c r="M124" s="4" t="s">
        <v>694</v>
      </c>
      <c r="N124" s="4" t="s">
        <v>695</v>
      </c>
      <c r="O124" s="4" t="s">
        <v>696</v>
      </c>
    </row>
    <row r="125" spans="1:15">
      <c r="A125" s="21">
        <v>121</v>
      </c>
      <c r="B125" s="4" t="s">
        <v>697</v>
      </c>
      <c r="C125" s="4" t="s">
        <v>69</v>
      </c>
      <c r="D125" s="4" t="s">
        <v>79</v>
      </c>
      <c r="E125" s="4" t="s">
        <v>259</v>
      </c>
      <c r="F125" s="4" t="s">
        <v>232</v>
      </c>
      <c r="G125" s="21">
        <v>8798</v>
      </c>
      <c r="H125" s="22">
        <v>1200000</v>
      </c>
      <c r="I125" s="22">
        <v>1091000</v>
      </c>
      <c r="J125" s="22">
        <v>124</v>
      </c>
      <c r="K125" s="23">
        <v>0.1165</v>
      </c>
      <c r="L125" s="22">
        <v>17</v>
      </c>
      <c r="M125" s="4" t="s">
        <v>698</v>
      </c>
      <c r="N125" s="4" t="s">
        <v>699</v>
      </c>
      <c r="O125" s="4" t="s">
        <v>700</v>
      </c>
    </row>
    <row r="126" spans="1:15">
      <c r="A126" s="21">
        <v>122</v>
      </c>
      <c r="B126" s="4" t="s">
        <v>697</v>
      </c>
      <c r="C126" s="4" t="s">
        <v>68</v>
      </c>
      <c r="D126" s="4" t="s">
        <v>79</v>
      </c>
      <c r="E126" s="4" t="s">
        <v>231</v>
      </c>
      <c r="F126" s="4" t="s">
        <v>232</v>
      </c>
      <c r="G126" s="21">
        <v>8798</v>
      </c>
      <c r="H126" s="22">
        <v>1200000</v>
      </c>
      <c r="I126" s="22">
        <v>1689000</v>
      </c>
      <c r="J126" s="22">
        <v>192</v>
      </c>
      <c r="K126" s="23">
        <v>0.06859999999999999</v>
      </c>
      <c r="L126" s="22">
        <v>20.2</v>
      </c>
      <c r="M126" s="4" t="s">
        <v>701</v>
      </c>
      <c r="N126" s="4" t="s">
        <v>702</v>
      </c>
      <c r="O126" s="4" t="s">
        <v>703</v>
      </c>
    </row>
    <row r="127" spans="1:15">
      <c r="A127" s="21">
        <v>123</v>
      </c>
      <c r="B127" s="4" t="s">
        <v>697</v>
      </c>
      <c r="C127" s="4" t="s">
        <v>68</v>
      </c>
      <c r="D127" s="4" t="s">
        <v>79</v>
      </c>
      <c r="E127" s="4" t="s">
        <v>231</v>
      </c>
      <c r="F127" s="4" t="s">
        <v>232</v>
      </c>
      <c r="G127" s="21">
        <v>8798</v>
      </c>
      <c r="H127" s="22">
        <v>1200000</v>
      </c>
      <c r="I127" s="22">
        <v>1689000</v>
      </c>
      <c r="J127" s="22">
        <v>192</v>
      </c>
      <c r="K127" s="23">
        <v>0.06859999999999999</v>
      </c>
      <c r="L127" s="22">
        <v>20.2</v>
      </c>
      <c r="M127" s="4" t="s">
        <v>701</v>
      </c>
      <c r="N127" s="4" t="s">
        <v>702</v>
      </c>
      <c r="O127" s="4" t="s">
        <v>703</v>
      </c>
    </row>
    <row r="128" spans="1:15">
      <c r="A128" s="21">
        <v>124</v>
      </c>
      <c r="B128" s="4" t="s">
        <v>704</v>
      </c>
      <c r="C128" s="4" t="s">
        <v>70</v>
      </c>
      <c r="D128" s="4" t="s">
        <v>113</v>
      </c>
      <c r="E128" s="4" t="s">
        <v>231</v>
      </c>
      <c r="F128" s="4" t="s">
        <v>232</v>
      </c>
      <c r="G128" s="21">
        <v>10213</v>
      </c>
      <c r="H128" s="22">
        <v>1200000</v>
      </c>
      <c r="I128" s="22">
        <v>1695000</v>
      </c>
      <c r="J128" s="22">
        <v>166</v>
      </c>
      <c r="K128" s="23">
        <v>0.1405</v>
      </c>
      <c r="L128" s="22">
        <v>28</v>
      </c>
      <c r="M128" s="4" t="s">
        <v>705</v>
      </c>
      <c r="N128" s="4" t="s">
        <v>706</v>
      </c>
      <c r="O128" s="4" t="s">
        <v>707</v>
      </c>
    </row>
    <row r="129" spans="1:15">
      <c r="A129" s="21">
        <v>125</v>
      </c>
      <c r="B129" s="4" t="s">
        <v>708</v>
      </c>
      <c r="C129" s="4" t="s">
        <v>65</v>
      </c>
      <c r="D129" s="4" t="s">
        <v>118</v>
      </c>
      <c r="E129" s="4" t="s">
        <v>231</v>
      </c>
      <c r="F129" s="4" t="s">
        <v>232</v>
      </c>
      <c r="G129" s="21">
        <v>8333</v>
      </c>
      <c r="H129" s="22">
        <v>1200000</v>
      </c>
      <c r="I129" s="22">
        <v>2375000</v>
      </c>
      <c r="J129" s="22">
        <v>285</v>
      </c>
      <c r="K129" s="23">
        <v>0.0941</v>
      </c>
      <c r="L129" s="22">
        <v>26.5</v>
      </c>
      <c r="M129" s="4" t="s">
        <v>709</v>
      </c>
      <c r="N129" s="4" t="s">
        <v>710</v>
      </c>
      <c r="O129" s="4" t="s">
        <v>711</v>
      </c>
    </row>
    <row r="130" spans="1:15">
      <c r="A130" s="21">
        <v>126</v>
      </c>
      <c r="B130" s="4" t="s">
        <v>712</v>
      </c>
      <c r="C130" s="4" t="s">
        <v>67</v>
      </c>
      <c r="D130" s="4" t="s">
        <v>119</v>
      </c>
      <c r="E130" s="4" t="s">
        <v>231</v>
      </c>
      <c r="F130" s="4" t="s">
        <v>232</v>
      </c>
      <c r="G130" s="21">
        <v>11800</v>
      </c>
      <c r="H130" s="22">
        <v>1200000</v>
      </c>
      <c r="I130" s="22">
        <v>3127000</v>
      </c>
      <c r="J130" s="22">
        <v>265</v>
      </c>
      <c r="K130" s="23">
        <v>0.0953</v>
      </c>
      <c r="L130" s="22">
        <v>19.4</v>
      </c>
      <c r="M130" s="4" t="s">
        <v>713</v>
      </c>
      <c r="N130" s="4" t="s">
        <v>714</v>
      </c>
      <c r="O130" s="4" t="s">
        <v>715</v>
      </c>
    </row>
    <row r="131" spans="1:15">
      <c r="A131" s="21">
        <v>127</v>
      </c>
      <c r="B131" s="4" t="s">
        <v>716</v>
      </c>
      <c r="C131" s="4" t="s">
        <v>69</v>
      </c>
      <c r="D131" s="4" t="s">
        <v>76</v>
      </c>
      <c r="E131" s="4" t="s">
        <v>231</v>
      </c>
      <c r="F131" s="4" t="s">
        <v>232</v>
      </c>
      <c r="G131" s="21">
        <v>6749</v>
      </c>
      <c r="H131" s="22">
        <v>1195000</v>
      </c>
      <c r="I131" s="22">
        <v>1390000</v>
      </c>
      <c r="J131" s="22">
        <v>206</v>
      </c>
      <c r="K131" s="23">
        <v>0.0898</v>
      </c>
      <c r="L131" s="22">
        <v>17</v>
      </c>
      <c r="M131" s="4" t="s">
        <v>717</v>
      </c>
      <c r="N131" s="4" t="s">
        <v>718</v>
      </c>
      <c r="O131" s="4" t="s">
        <v>719</v>
      </c>
    </row>
    <row r="132" spans="1:15">
      <c r="A132" s="21">
        <v>128</v>
      </c>
      <c r="B132" s="4" t="s">
        <v>720</v>
      </c>
      <c r="C132" s="4" t="s">
        <v>65</v>
      </c>
      <c r="D132" s="4" t="s">
        <v>117</v>
      </c>
      <c r="E132" s="4" t="s">
        <v>231</v>
      </c>
      <c r="F132" s="4" t="s">
        <v>232</v>
      </c>
      <c r="G132" s="21">
        <v>2268</v>
      </c>
      <c r="H132" s="22">
        <v>1180000</v>
      </c>
      <c r="I132" s="22">
        <v>1293000</v>
      </c>
      <c r="J132" s="22">
        <v>570</v>
      </c>
      <c r="K132" s="24" t="s">
        <v>237</v>
      </c>
      <c r="L132" s="22">
        <v>26.5</v>
      </c>
      <c r="M132" s="4" t="s">
        <v>721</v>
      </c>
      <c r="N132" s="4" t="s">
        <v>722</v>
      </c>
      <c r="O132" s="4" t="s">
        <v>723</v>
      </c>
    </row>
    <row r="133" spans="1:15">
      <c r="A133" s="21">
        <v>129</v>
      </c>
      <c r="B133" s="4" t="s">
        <v>724</v>
      </c>
      <c r="C133" s="4" t="s">
        <v>66</v>
      </c>
      <c r="D133" s="4" t="s">
        <v>83</v>
      </c>
      <c r="E133" s="4" t="s">
        <v>231</v>
      </c>
      <c r="F133" s="4" t="s">
        <v>232</v>
      </c>
      <c r="G133" s="21">
        <v>6750</v>
      </c>
      <c r="H133" s="22">
        <v>1175000</v>
      </c>
      <c r="I133" s="22">
        <v>1357000</v>
      </c>
      <c r="J133" s="22">
        <v>201</v>
      </c>
      <c r="K133" s="23">
        <v>0.0564</v>
      </c>
      <c r="L133" s="22">
        <v>15.4</v>
      </c>
      <c r="M133" s="4" t="s">
        <v>725</v>
      </c>
      <c r="N133" s="4" t="s">
        <v>726</v>
      </c>
      <c r="O133" s="4" t="s">
        <v>727</v>
      </c>
    </row>
    <row r="134" spans="1:15">
      <c r="A134" s="21">
        <v>130</v>
      </c>
      <c r="B134" s="4" t="s">
        <v>728</v>
      </c>
      <c r="C134" s="4" t="s">
        <v>65</v>
      </c>
      <c r="D134" s="4" t="s">
        <v>109</v>
      </c>
      <c r="E134" s="4" t="s">
        <v>231</v>
      </c>
      <c r="F134" s="4" t="s">
        <v>232</v>
      </c>
      <c r="G134" s="21">
        <v>8381</v>
      </c>
      <c r="H134" s="22">
        <v>1098960</v>
      </c>
      <c r="I134" s="22">
        <v>2372000</v>
      </c>
      <c r="J134" s="22">
        <v>283</v>
      </c>
      <c r="K134" s="23">
        <v>0.1034</v>
      </c>
      <c r="L134" s="22">
        <v>26.5</v>
      </c>
      <c r="M134" s="4" t="s">
        <v>729</v>
      </c>
      <c r="N134" s="4" t="s">
        <v>730</v>
      </c>
      <c r="O134" s="4" t="s">
        <v>731</v>
      </c>
    </row>
    <row r="135" spans="1:15">
      <c r="A135" s="21">
        <v>131</v>
      </c>
      <c r="B135" s="4" t="s">
        <v>724</v>
      </c>
      <c r="C135" s="4" t="s">
        <v>66</v>
      </c>
      <c r="D135" s="4" t="s">
        <v>83</v>
      </c>
      <c r="E135" s="4" t="s">
        <v>231</v>
      </c>
      <c r="F135" s="4" t="s">
        <v>232</v>
      </c>
      <c r="G135" s="21">
        <v>6750</v>
      </c>
      <c r="H135" s="22">
        <v>1095000</v>
      </c>
      <c r="I135" s="22">
        <v>1357000</v>
      </c>
      <c r="J135" s="22">
        <v>201</v>
      </c>
      <c r="K135" s="23">
        <v>0.0605</v>
      </c>
      <c r="L135" s="22">
        <v>15.4</v>
      </c>
      <c r="M135" s="4" t="s">
        <v>725</v>
      </c>
      <c r="N135" s="4" t="s">
        <v>732</v>
      </c>
      <c r="O135" s="4" t="s">
        <v>733</v>
      </c>
    </row>
    <row r="136" spans="1:15">
      <c r="A136" s="21">
        <v>132</v>
      </c>
      <c r="B136" s="4" t="s">
        <v>734</v>
      </c>
      <c r="C136" s="4" t="s">
        <v>68</v>
      </c>
      <c r="D136" s="4" t="s">
        <v>80</v>
      </c>
      <c r="E136" s="4" t="s">
        <v>231</v>
      </c>
      <c r="F136" s="4" t="s">
        <v>232</v>
      </c>
      <c r="G136" s="21">
        <v>6250</v>
      </c>
      <c r="H136" s="22">
        <v>1090000</v>
      </c>
      <c r="I136" s="22">
        <v>1338000</v>
      </c>
      <c r="J136" s="22">
        <v>214</v>
      </c>
      <c r="K136" s="23">
        <v>0.0537</v>
      </c>
      <c r="L136" s="22">
        <v>20.2</v>
      </c>
      <c r="M136" s="4" t="s">
        <v>735</v>
      </c>
      <c r="N136" s="4" t="s">
        <v>736</v>
      </c>
      <c r="O136" s="4" t="s">
        <v>737</v>
      </c>
    </row>
    <row r="137" spans="1:15">
      <c r="A137" s="21">
        <v>133</v>
      </c>
      <c r="B137" s="4" t="s">
        <v>738</v>
      </c>
      <c r="C137" s="4" t="s">
        <v>65</v>
      </c>
      <c r="D137" s="4" t="s">
        <v>109</v>
      </c>
      <c r="E137" s="4" t="s">
        <v>231</v>
      </c>
      <c r="F137" s="4" t="s">
        <v>232</v>
      </c>
      <c r="G137" s="21">
        <v>3321</v>
      </c>
      <c r="H137" s="22">
        <v>1079325</v>
      </c>
      <c r="I137" s="22">
        <v>1541000</v>
      </c>
      <c r="J137" s="22">
        <v>464</v>
      </c>
      <c r="K137" s="23">
        <v>0.0417</v>
      </c>
      <c r="L137" s="22">
        <v>26.5</v>
      </c>
      <c r="M137" s="4" t="s">
        <v>739</v>
      </c>
      <c r="N137" s="4" t="s">
        <v>740</v>
      </c>
      <c r="O137" s="4" t="s">
        <v>741</v>
      </c>
    </row>
    <row r="138" spans="1:15">
      <c r="A138" s="21">
        <v>134</v>
      </c>
      <c r="B138" s="4" t="s">
        <v>742</v>
      </c>
      <c r="C138" s="4" t="s">
        <v>70</v>
      </c>
      <c r="D138" s="4" t="s">
        <v>743</v>
      </c>
      <c r="E138" s="4" t="s">
        <v>231</v>
      </c>
      <c r="F138" s="4" t="s">
        <v>232</v>
      </c>
      <c r="G138" s="21">
        <v>6751</v>
      </c>
      <c r="H138" s="22">
        <v>1050000</v>
      </c>
      <c r="I138" s="22">
        <v>1391000</v>
      </c>
      <c r="J138" s="22">
        <v>206</v>
      </c>
      <c r="K138" s="23">
        <v>0.1061</v>
      </c>
      <c r="L138" s="22">
        <v>28</v>
      </c>
      <c r="M138" s="4" t="s">
        <v>744</v>
      </c>
      <c r="N138" s="4" t="s">
        <v>745</v>
      </c>
      <c r="O138" s="4" t="s">
        <v>746</v>
      </c>
    </row>
    <row r="139" spans="1:15">
      <c r="A139" s="21">
        <v>135</v>
      </c>
      <c r="B139" s="4" t="s">
        <v>747</v>
      </c>
      <c r="C139" s="4" t="s">
        <v>65</v>
      </c>
      <c r="D139" s="4" t="s">
        <v>81</v>
      </c>
      <c r="E139" s="4" t="s">
        <v>231</v>
      </c>
      <c r="F139" s="4" t="s">
        <v>232</v>
      </c>
      <c r="G139" s="21">
        <v>1412</v>
      </c>
      <c r="H139" s="22">
        <v>1049000</v>
      </c>
      <c r="I139" s="22">
        <v>912000</v>
      </c>
      <c r="J139" s="22">
        <v>646</v>
      </c>
      <c r="K139" s="24" t="s">
        <v>237</v>
      </c>
      <c r="L139" s="22">
        <v>26.5</v>
      </c>
      <c r="M139" s="4" t="s">
        <v>748</v>
      </c>
      <c r="N139" s="4" t="s">
        <v>749</v>
      </c>
      <c r="O139" s="4" t="s">
        <v>750</v>
      </c>
    </row>
    <row r="140" spans="1:15">
      <c r="A140" s="21">
        <v>136</v>
      </c>
      <c r="B140" s="4" t="s">
        <v>724</v>
      </c>
      <c r="C140" s="4" t="s">
        <v>66</v>
      </c>
      <c r="D140" s="4" t="s">
        <v>83</v>
      </c>
      <c r="E140" s="4" t="s">
        <v>231</v>
      </c>
      <c r="F140" s="4" t="s">
        <v>232</v>
      </c>
      <c r="G140" s="21">
        <v>6750</v>
      </c>
      <c r="H140" s="22">
        <v>1039000</v>
      </c>
      <c r="I140" s="22">
        <v>1357000</v>
      </c>
      <c r="J140" s="22">
        <v>201</v>
      </c>
      <c r="K140" s="23">
        <v>0.0638</v>
      </c>
      <c r="L140" s="22">
        <v>15.4</v>
      </c>
      <c r="M140" s="4" t="s">
        <v>725</v>
      </c>
      <c r="N140" s="4" t="s">
        <v>751</v>
      </c>
      <c r="O140" s="4" t="s">
        <v>752</v>
      </c>
    </row>
    <row r="141" spans="1:15">
      <c r="A141" s="21">
        <v>137</v>
      </c>
      <c r="B141" s="4" t="s">
        <v>753</v>
      </c>
      <c r="C141" s="4" t="s">
        <v>69</v>
      </c>
      <c r="D141" s="4" t="s">
        <v>81</v>
      </c>
      <c r="E141" s="4" t="s">
        <v>259</v>
      </c>
      <c r="F141" s="4" t="s">
        <v>232</v>
      </c>
      <c r="G141" s="21">
        <v>2400</v>
      </c>
      <c r="H141" s="22">
        <v>1020000</v>
      </c>
      <c r="I141" s="22">
        <v>545000</v>
      </c>
      <c r="J141" s="22">
        <v>227</v>
      </c>
      <c r="K141" s="23">
        <v>0.0374</v>
      </c>
      <c r="L141" s="22">
        <v>17</v>
      </c>
      <c r="M141" s="4" t="s">
        <v>754</v>
      </c>
      <c r="N141" s="4" t="s">
        <v>755</v>
      </c>
      <c r="O141" s="4" t="s">
        <v>756</v>
      </c>
    </row>
    <row r="142" spans="1:15">
      <c r="A142" s="21">
        <v>138</v>
      </c>
      <c r="B142" s="4" t="s">
        <v>753</v>
      </c>
      <c r="C142" s="4" t="s">
        <v>69</v>
      </c>
      <c r="D142" s="4" t="s">
        <v>81</v>
      </c>
      <c r="E142" s="4" t="s">
        <v>259</v>
      </c>
      <c r="F142" s="4" t="s">
        <v>232</v>
      </c>
      <c r="G142" s="21">
        <v>2400</v>
      </c>
      <c r="H142" s="22">
        <v>1000000</v>
      </c>
      <c r="I142" s="22">
        <v>545000</v>
      </c>
      <c r="J142" s="22">
        <v>227</v>
      </c>
      <c r="K142" s="23">
        <v>0.0381</v>
      </c>
      <c r="L142" s="22">
        <v>17</v>
      </c>
      <c r="M142" s="4" t="s">
        <v>754</v>
      </c>
      <c r="N142" s="4" t="s">
        <v>757</v>
      </c>
      <c r="O142" s="4" t="s">
        <v>758</v>
      </c>
    </row>
    <row r="143" spans="1:15">
      <c r="A143" s="21">
        <v>139</v>
      </c>
      <c r="B143" s="4" t="s">
        <v>759</v>
      </c>
      <c r="C143" s="4" t="s">
        <v>65</v>
      </c>
      <c r="D143" s="4" t="s">
        <v>116</v>
      </c>
      <c r="E143" s="4" t="s">
        <v>231</v>
      </c>
      <c r="F143" s="4" t="s">
        <v>232</v>
      </c>
      <c r="G143" s="21">
        <v>6325</v>
      </c>
      <c r="H143" s="22">
        <v>990000</v>
      </c>
      <c r="I143" s="22">
        <v>2081000</v>
      </c>
      <c r="J143" s="22">
        <v>329</v>
      </c>
      <c r="K143" s="23">
        <v>0.0866</v>
      </c>
      <c r="L143" s="22">
        <v>26.5</v>
      </c>
      <c r="M143" s="4" t="s">
        <v>760</v>
      </c>
      <c r="N143" s="4" t="s">
        <v>761</v>
      </c>
      <c r="O143" s="4" t="s">
        <v>762</v>
      </c>
    </row>
    <row r="144" spans="1:15">
      <c r="A144" s="21">
        <v>140</v>
      </c>
      <c r="B144" s="4" t="s">
        <v>763</v>
      </c>
      <c r="C144" s="4" t="s">
        <v>67</v>
      </c>
      <c r="D144" s="4" t="s">
        <v>764</v>
      </c>
      <c r="E144" s="4" t="s">
        <v>259</v>
      </c>
      <c r="F144" s="4" t="s">
        <v>232</v>
      </c>
      <c r="G144" s="21">
        <v>6750</v>
      </c>
      <c r="H144" s="22">
        <v>985000</v>
      </c>
      <c r="I144" s="22">
        <v>2390000</v>
      </c>
      <c r="J144" s="22">
        <v>354</v>
      </c>
      <c r="K144" s="23">
        <v>0.0664</v>
      </c>
      <c r="L144" s="22">
        <v>19.4</v>
      </c>
      <c r="M144" s="4" t="s">
        <v>765</v>
      </c>
      <c r="N144" s="4" t="s">
        <v>766</v>
      </c>
      <c r="O144" s="4" t="s">
        <v>767</v>
      </c>
    </row>
    <row r="145" spans="1:15">
      <c r="A145" s="21">
        <v>141</v>
      </c>
      <c r="B145" s="4" t="s">
        <v>768</v>
      </c>
      <c r="C145" s="4" t="s">
        <v>66</v>
      </c>
      <c r="D145" s="4" t="s">
        <v>80</v>
      </c>
      <c r="E145" s="4" t="s">
        <v>259</v>
      </c>
      <c r="F145" s="4" t="s">
        <v>232</v>
      </c>
      <c r="G145" s="21">
        <v>6375</v>
      </c>
      <c r="H145" s="22">
        <v>954000</v>
      </c>
      <c r="I145" s="22">
        <v>1817000</v>
      </c>
      <c r="J145" s="22">
        <v>285</v>
      </c>
      <c r="K145" s="23">
        <v>0.06560000000000001</v>
      </c>
      <c r="L145" s="22">
        <v>15.4</v>
      </c>
      <c r="M145" s="4" t="s">
        <v>769</v>
      </c>
      <c r="N145" s="4" t="s">
        <v>770</v>
      </c>
      <c r="O145" s="4" t="s">
        <v>771</v>
      </c>
    </row>
    <row r="146" spans="1:15">
      <c r="A146" s="21">
        <v>142</v>
      </c>
      <c r="B146" s="4" t="s">
        <v>772</v>
      </c>
      <c r="C146" s="4" t="s">
        <v>66</v>
      </c>
      <c r="D146" s="4" t="s">
        <v>82</v>
      </c>
      <c r="E146" s="4" t="s">
        <v>378</v>
      </c>
      <c r="F146" s="4" t="s">
        <v>232</v>
      </c>
      <c r="G146" s="21">
        <v>7070</v>
      </c>
      <c r="H146" s="22">
        <v>950000</v>
      </c>
      <c r="I146" s="22">
        <v>1697000</v>
      </c>
      <c r="J146" s="22">
        <v>240</v>
      </c>
      <c r="K146" s="23">
        <v>0.073</v>
      </c>
      <c r="L146" s="22">
        <v>15.4</v>
      </c>
      <c r="M146" s="4" t="s">
        <v>773</v>
      </c>
      <c r="N146" s="4" t="s">
        <v>774</v>
      </c>
      <c r="O146" s="4" t="s">
        <v>775</v>
      </c>
    </row>
    <row r="147" spans="1:15">
      <c r="A147" s="21">
        <v>143</v>
      </c>
      <c r="B147" s="4" t="s">
        <v>776</v>
      </c>
      <c r="C147" s="4" t="s">
        <v>68</v>
      </c>
      <c r="D147" s="4" t="s">
        <v>118</v>
      </c>
      <c r="E147" s="4" t="s">
        <v>231</v>
      </c>
      <c r="F147" s="4" t="s">
        <v>232</v>
      </c>
      <c r="G147" s="21">
        <v>11136</v>
      </c>
      <c r="H147" s="22">
        <v>949900</v>
      </c>
      <c r="I147" s="22">
        <v>1949000</v>
      </c>
      <c r="J147" s="22">
        <v>175</v>
      </c>
      <c r="K147" s="23">
        <v>0.1097</v>
      </c>
      <c r="L147" s="22">
        <v>20.2</v>
      </c>
      <c r="M147" s="4" t="s">
        <v>777</v>
      </c>
      <c r="N147" s="4" t="s">
        <v>778</v>
      </c>
      <c r="O147" s="4" t="s">
        <v>779</v>
      </c>
    </row>
    <row r="148" spans="1:15">
      <c r="A148" s="21">
        <v>144</v>
      </c>
      <c r="B148" s="4" t="s">
        <v>780</v>
      </c>
      <c r="C148" s="4" t="s">
        <v>66</v>
      </c>
      <c r="D148" s="4" t="s">
        <v>79</v>
      </c>
      <c r="E148" s="4" t="s">
        <v>231</v>
      </c>
      <c r="F148" s="4" t="s">
        <v>232</v>
      </c>
      <c r="G148" s="21">
        <v>9759</v>
      </c>
      <c r="H148" s="22">
        <v>930000</v>
      </c>
      <c r="I148" s="22">
        <v>2391000</v>
      </c>
      <c r="J148" s="22">
        <v>245</v>
      </c>
      <c r="K148" s="23">
        <v>0.103</v>
      </c>
      <c r="L148" s="22">
        <v>15.4</v>
      </c>
      <c r="M148" s="4" t="s">
        <v>781</v>
      </c>
      <c r="N148" s="4" t="s">
        <v>782</v>
      </c>
      <c r="O148" s="4" t="s">
        <v>783</v>
      </c>
    </row>
    <row r="149" spans="1:15">
      <c r="A149" s="21">
        <v>145</v>
      </c>
      <c r="B149" s="4" t="s">
        <v>784</v>
      </c>
      <c r="C149" s="4" t="s">
        <v>65</v>
      </c>
      <c r="D149" s="4" t="s">
        <v>81</v>
      </c>
      <c r="E149" s="4" t="s">
        <v>259</v>
      </c>
      <c r="F149" s="4" t="s">
        <v>232</v>
      </c>
      <c r="G149" s="21">
        <v>7000</v>
      </c>
      <c r="H149" s="22">
        <v>929000</v>
      </c>
      <c r="I149" s="22">
        <v>1932000</v>
      </c>
      <c r="J149" s="22">
        <v>276</v>
      </c>
      <c r="K149" s="23">
        <v>0.1021</v>
      </c>
      <c r="L149" s="22">
        <v>26.5</v>
      </c>
      <c r="M149" s="4" t="s">
        <v>785</v>
      </c>
      <c r="N149" s="4" t="s">
        <v>786</v>
      </c>
      <c r="O149" s="4" t="s">
        <v>787</v>
      </c>
    </row>
    <row r="150" spans="1:15">
      <c r="A150" s="21">
        <v>146</v>
      </c>
      <c r="B150" s="4" t="s">
        <v>788</v>
      </c>
      <c r="C150" s="4" t="s">
        <v>69</v>
      </c>
      <c r="D150" s="4" t="s">
        <v>81</v>
      </c>
      <c r="E150" s="4" t="s">
        <v>231</v>
      </c>
      <c r="F150" s="4" t="s">
        <v>232</v>
      </c>
      <c r="G150" s="21">
        <v>6840</v>
      </c>
      <c r="H150" s="22">
        <v>899999</v>
      </c>
      <c r="I150" s="22">
        <v>889000</v>
      </c>
      <c r="J150" s="22">
        <v>130</v>
      </c>
      <c r="K150" s="23">
        <v>0.1208</v>
      </c>
      <c r="L150" s="22">
        <v>17</v>
      </c>
      <c r="M150" s="4" t="s">
        <v>789</v>
      </c>
      <c r="N150" s="4" t="s">
        <v>790</v>
      </c>
      <c r="O150" s="4" t="s">
        <v>791</v>
      </c>
    </row>
    <row r="151" spans="1:15">
      <c r="A151" s="21">
        <v>147</v>
      </c>
      <c r="B151" s="4" t="s">
        <v>792</v>
      </c>
      <c r="C151" s="4" t="s">
        <v>66</v>
      </c>
      <c r="D151" s="4" t="s">
        <v>79</v>
      </c>
      <c r="E151" s="4" t="s">
        <v>259</v>
      </c>
      <c r="F151" s="4" t="s">
        <v>232</v>
      </c>
      <c r="G151" s="21">
        <v>6751</v>
      </c>
      <c r="H151" s="22">
        <v>890000</v>
      </c>
      <c r="I151" s="22">
        <v>2012000</v>
      </c>
      <c r="J151" s="22">
        <v>298</v>
      </c>
      <c r="K151" s="23">
        <v>0.07439999999999999</v>
      </c>
      <c r="L151" s="22">
        <v>15.4</v>
      </c>
      <c r="M151" s="4" t="s">
        <v>793</v>
      </c>
      <c r="N151" s="4" t="s">
        <v>794</v>
      </c>
      <c r="O151" s="4" t="s">
        <v>795</v>
      </c>
    </row>
    <row r="152" spans="1:15">
      <c r="A152" s="21">
        <v>148</v>
      </c>
      <c r="B152" s="4" t="s">
        <v>796</v>
      </c>
      <c r="C152" s="4" t="s">
        <v>67</v>
      </c>
      <c r="D152" s="4" t="s">
        <v>797</v>
      </c>
      <c r="E152" s="4" t="s">
        <v>231</v>
      </c>
      <c r="F152" s="4" t="s">
        <v>232</v>
      </c>
      <c r="G152" s="21">
        <v>6750</v>
      </c>
      <c r="H152" s="22">
        <v>875000</v>
      </c>
      <c r="I152" s="22">
        <v>2390000</v>
      </c>
      <c r="J152" s="22">
        <v>354</v>
      </c>
      <c r="K152" s="23">
        <v>0.07480000000000001</v>
      </c>
      <c r="L152" s="22">
        <v>19.4</v>
      </c>
      <c r="M152" s="4" t="s">
        <v>798</v>
      </c>
      <c r="N152" s="4" t="s">
        <v>799</v>
      </c>
      <c r="O152" s="4" t="s">
        <v>800</v>
      </c>
    </row>
    <row r="153" spans="1:15">
      <c r="A153" s="21">
        <v>149</v>
      </c>
      <c r="B153" s="4" t="s">
        <v>801</v>
      </c>
      <c r="C153" s="4" t="s">
        <v>67</v>
      </c>
      <c r="D153" s="4" t="s">
        <v>83</v>
      </c>
      <c r="E153" s="4" t="s">
        <v>231</v>
      </c>
      <c r="F153" s="4" t="s">
        <v>232</v>
      </c>
      <c r="G153" s="21">
        <v>6750</v>
      </c>
      <c r="H153" s="22">
        <v>850000</v>
      </c>
      <c r="I153" s="22">
        <v>1559000</v>
      </c>
      <c r="J153" s="22">
        <v>231</v>
      </c>
      <c r="K153" s="23">
        <v>0.077</v>
      </c>
      <c r="L153" s="22">
        <v>19.4</v>
      </c>
      <c r="M153" s="4" t="s">
        <v>802</v>
      </c>
      <c r="N153" s="4" t="s">
        <v>803</v>
      </c>
      <c r="O153" s="4" t="s">
        <v>804</v>
      </c>
    </row>
    <row r="154" spans="1:15">
      <c r="A154" s="21">
        <v>150</v>
      </c>
      <c r="B154" s="4" t="s">
        <v>805</v>
      </c>
      <c r="C154" s="4" t="s">
        <v>67</v>
      </c>
      <c r="D154" s="4" t="s">
        <v>116</v>
      </c>
      <c r="E154" s="4" t="s">
        <v>231</v>
      </c>
      <c r="F154" s="4" t="s">
        <v>232</v>
      </c>
      <c r="G154" s="21">
        <v>2000</v>
      </c>
      <c r="H154" s="22">
        <v>850000</v>
      </c>
      <c r="I154" s="22">
        <v>1360000</v>
      </c>
      <c r="J154" s="22">
        <v>680</v>
      </c>
      <c r="K154" s="24" t="s">
        <v>237</v>
      </c>
      <c r="L154" s="22">
        <v>19.4</v>
      </c>
      <c r="M154" s="4" t="s">
        <v>806</v>
      </c>
      <c r="N154" s="4" t="s">
        <v>807</v>
      </c>
      <c r="O154" s="4" t="s">
        <v>808</v>
      </c>
    </row>
    <row r="155" spans="1:15">
      <c r="A155" s="21">
        <v>151</v>
      </c>
      <c r="B155" s="4" t="s">
        <v>809</v>
      </c>
      <c r="C155" s="4" t="s">
        <v>68</v>
      </c>
      <c r="D155" s="4" t="s">
        <v>81</v>
      </c>
      <c r="E155" s="4" t="s">
        <v>810</v>
      </c>
      <c r="F155" s="4" t="s">
        <v>232</v>
      </c>
      <c r="G155" s="21">
        <v>6250</v>
      </c>
      <c r="H155" s="22">
        <v>850000</v>
      </c>
      <c r="I155" s="22">
        <v>1312000</v>
      </c>
      <c r="J155" s="22">
        <v>210</v>
      </c>
      <c r="K155" s="23">
        <v>0.0688</v>
      </c>
      <c r="L155" s="22">
        <v>20.2</v>
      </c>
      <c r="M155" s="4" t="s">
        <v>811</v>
      </c>
      <c r="N155" s="4" t="s">
        <v>812</v>
      </c>
      <c r="O155" s="4" t="s">
        <v>813</v>
      </c>
    </row>
    <row r="156" spans="1:15">
      <c r="A156" s="21">
        <v>152</v>
      </c>
      <c r="B156" s="4" t="s">
        <v>814</v>
      </c>
      <c r="C156" s="4" t="s">
        <v>68</v>
      </c>
      <c r="D156" s="4" t="s">
        <v>116</v>
      </c>
      <c r="E156" s="4" t="s">
        <v>231</v>
      </c>
      <c r="F156" s="4" t="s">
        <v>232</v>
      </c>
      <c r="G156" s="21">
        <v>7380</v>
      </c>
      <c r="H156" s="22">
        <v>849000</v>
      </c>
      <c r="I156" s="22">
        <v>1601000</v>
      </c>
      <c r="J156" s="22">
        <v>217</v>
      </c>
      <c r="K156" s="23">
        <v>0.0814</v>
      </c>
      <c r="L156" s="22">
        <v>20.2</v>
      </c>
      <c r="M156" s="4" t="s">
        <v>815</v>
      </c>
      <c r="N156" s="4" t="s">
        <v>816</v>
      </c>
      <c r="O156" s="4" t="s">
        <v>817</v>
      </c>
    </row>
    <row r="157" spans="1:15">
      <c r="A157" s="21">
        <v>153</v>
      </c>
      <c r="B157" s="4" t="s">
        <v>818</v>
      </c>
      <c r="C157" s="4" t="s">
        <v>65</v>
      </c>
      <c r="D157" s="4" t="s">
        <v>109</v>
      </c>
      <c r="E157" s="4" t="s">
        <v>231</v>
      </c>
      <c r="F157" s="4" t="s">
        <v>232</v>
      </c>
      <c r="G157" s="21">
        <v>8381</v>
      </c>
      <c r="H157" s="22">
        <v>830625</v>
      </c>
      <c r="I157" s="22">
        <v>2372000</v>
      </c>
      <c r="J157" s="22">
        <v>283</v>
      </c>
      <c r="K157" s="23">
        <v>0.1367</v>
      </c>
      <c r="L157" s="22">
        <v>26.5</v>
      </c>
      <c r="M157" s="4" t="s">
        <v>819</v>
      </c>
      <c r="N157" s="4" t="s">
        <v>820</v>
      </c>
      <c r="O157" s="4" t="s">
        <v>821</v>
      </c>
    </row>
    <row r="158" spans="1:15">
      <c r="A158" s="21">
        <v>154</v>
      </c>
      <c r="B158" s="4" t="s">
        <v>822</v>
      </c>
      <c r="C158" s="4" t="s">
        <v>65</v>
      </c>
      <c r="D158" s="4" t="s">
        <v>110</v>
      </c>
      <c r="E158" s="4" t="s">
        <v>231</v>
      </c>
      <c r="F158" s="4" t="s">
        <v>232</v>
      </c>
      <c r="G158" s="21">
        <v>1568</v>
      </c>
      <c r="H158" s="22">
        <v>824250</v>
      </c>
      <c r="I158" s="22">
        <v>1090000</v>
      </c>
      <c r="J158" s="22">
        <v>695</v>
      </c>
      <c r="K158" s="24" t="s">
        <v>237</v>
      </c>
      <c r="L158" s="22">
        <v>26.5</v>
      </c>
      <c r="M158" s="4" t="s">
        <v>823</v>
      </c>
      <c r="N158" s="4" t="s">
        <v>824</v>
      </c>
      <c r="O158" s="4" t="s">
        <v>825</v>
      </c>
    </row>
    <row r="159" spans="1:15">
      <c r="A159" s="21">
        <v>155</v>
      </c>
      <c r="B159" s="4" t="s">
        <v>826</v>
      </c>
      <c r="C159" s="4" t="s">
        <v>68</v>
      </c>
      <c r="D159" s="4" t="s">
        <v>83</v>
      </c>
      <c r="E159" s="4" t="s">
        <v>259</v>
      </c>
      <c r="F159" s="4" t="s">
        <v>232</v>
      </c>
      <c r="G159" s="21">
        <v>4463</v>
      </c>
      <c r="H159" s="22">
        <v>775000</v>
      </c>
      <c r="I159" s="22">
        <v>830000</v>
      </c>
      <c r="J159" s="22">
        <v>186</v>
      </c>
      <c r="K159" s="23">
        <v>0.0539</v>
      </c>
      <c r="L159" s="22">
        <v>20.2</v>
      </c>
      <c r="M159" s="4" t="s">
        <v>827</v>
      </c>
      <c r="N159" s="4" t="s">
        <v>828</v>
      </c>
      <c r="O159" s="4" t="s">
        <v>829</v>
      </c>
    </row>
    <row r="160" spans="1:15">
      <c r="A160" s="21">
        <v>156</v>
      </c>
      <c r="B160" s="4" t="s">
        <v>830</v>
      </c>
      <c r="C160" s="4" t="s">
        <v>69</v>
      </c>
      <c r="D160" s="4" t="s">
        <v>831</v>
      </c>
      <c r="E160" s="4" t="s">
        <v>231</v>
      </c>
      <c r="F160" s="4" t="s">
        <v>232</v>
      </c>
      <c r="G160" s="21">
        <v>6624</v>
      </c>
      <c r="H160" s="22">
        <v>750000</v>
      </c>
      <c r="I160" s="22">
        <v>987000</v>
      </c>
      <c r="J160" s="22">
        <v>149</v>
      </c>
      <c r="K160" s="23">
        <v>0.1404</v>
      </c>
      <c r="L160" s="22">
        <v>17</v>
      </c>
      <c r="M160" s="4" t="s">
        <v>832</v>
      </c>
      <c r="N160" s="4" t="s">
        <v>833</v>
      </c>
      <c r="O160" s="4" t="s">
        <v>834</v>
      </c>
    </row>
    <row r="161" spans="1:15">
      <c r="A161" s="21">
        <v>157</v>
      </c>
      <c r="B161" s="4" t="s">
        <v>830</v>
      </c>
      <c r="C161" s="4" t="s">
        <v>69</v>
      </c>
      <c r="D161" s="4" t="s">
        <v>835</v>
      </c>
      <c r="E161" s="4" t="s">
        <v>231</v>
      </c>
      <c r="F161" s="4" t="s">
        <v>232</v>
      </c>
      <c r="G161" s="21">
        <v>6624</v>
      </c>
      <c r="H161" s="22">
        <v>750000</v>
      </c>
      <c r="I161" s="22">
        <v>987000</v>
      </c>
      <c r="J161" s="22">
        <v>149</v>
      </c>
      <c r="K161" s="23">
        <v>0.1404</v>
      </c>
      <c r="L161" s="22">
        <v>17</v>
      </c>
      <c r="M161" s="4" t="s">
        <v>832</v>
      </c>
      <c r="N161" s="4" t="s">
        <v>833</v>
      </c>
      <c r="O161" s="4" t="s">
        <v>834</v>
      </c>
    </row>
    <row r="162" spans="1:15">
      <c r="A162" s="21">
        <v>158</v>
      </c>
      <c r="B162" s="4" t="s">
        <v>836</v>
      </c>
      <c r="C162" s="4" t="s">
        <v>68</v>
      </c>
      <c r="D162" s="4" t="s">
        <v>113</v>
      </c>
      <c r="E162" s="4" t="s">
        <v>231</v>
      </c>
      <c r="F162" s="4" t="s">
        <v>232</v>
      </c>
      <c r="G162" s="21">
        <v>9351</v>
      </c>
      <c r="H162" s="22">
        <v>750000</v>
      </c>
      <c r="I162" s="22">
        <v>1795000</v>
      </c>
      <c r="J162" s="22">
        <v>192</v>
      </c>
      <c r="K162" s="23">
        <v>0.1167</v>
      </c>
      <c r="L162" s="22">
        <v>20.2</v>
      </c>
      <c r="M162" s="4" t="s">
        <v>837</v>
      </c>
      <c r="N162" s="4" t="s">
        <v>838</v>
      </c>
      <c r="O162" s="4" t="s">
        <v>839</v>
      </c>
    </row>
    <row r="163" spans="1:15">
      <c r="A163" s="21">
        <v>159</v>
      </c>
      <c r="B163" s="4" t="s">
        <v>840</v>
      </c>
      <c r="C163" s="4" t="s">
        <v>68</v>
      </c>
      <c r="D163" s="4" t="s">
        <v>81</v>
      </c>
      <c r="E163" s="4" t="s">
        <v>259</v>
      </c>
      <c r="F163" s="4" t="s">
        <v>232</v>
      </c>
      <c r="G163" s="21">
        <v>6950</v>
      </c>
      <c r="H163" s="22">
        <v>699000</v>
      </c>
      <c r="I163" s="22">
        <v>1383000</v>
      </c>
      <c r="J163" s="22">
        <v>199</v>
      </c>
      <c r="K163" s="23">
        <v>0.0931</v>
      </c>
      <c r="L163" s="22">
        <v>20.2</v>
      </c>
      <c r="M163" s="4" t="s">
        <v>841</v>
      </c>
      <c r="N163" s="4" t="s">
        <v>842</v>
      </c>
      <c r="O163" s="4" t="s">
        <v>843</v>
      </c>
    </row>
    <row r="164" spans="1:15">
      <c r="A164" s="21">
        <v>160</v>
      </c>
      <c r="B164" s="4" t="s">
        <v>844</v>
      </c>
      <c r="C164" s="4" t="s">
        <v>65</v>
      </c>
      <c r="D164" s="4" t="s">
        <v>81</v>
      </c>
      <c r="E164" s="4" t="s">
        <v>259</v>
      </c>
      <c r="F164" s="4" t="s">
        <v>232</v>
      </c>
      <c r="G164" s="21">
        <v>6000</v>
      </c>
      <c r="H164" s="22">
        <v>665000</v>
      </c>
      <c r="I164" s="22">
        <v>1800000</v>
      </c>
      <c r="J164" s="22">
        <v>300</v>
      </c>
      <c r="K164" s="23">
        <v>0.1223</v>
      </c>
      <c r="L164" s="22">
        <v>26.5</v>
      </c>
      <c r="M164" s="4" t="s">
        <v>845</v>
      </c>
      <c r="N164" s="4" t="s">
        <v>846</v>
      </c>
      <c r="O164" s="4" t="s">
        <v>847</v>
      </c>
    </row>
    <row r="165" spans="1:15">
      <c r="A165" s="21">
        <v>161</v>
      </c>
      <c r="B165" s="4" t="s">
        <v>848</v>
      </c>
      <c r="C165" s="4" t="s">
        <v>66</v>
      </c>
      <c r="D165" s="4" t="s">
        <v>115</v>
      </c>
      <c r="E165" s="4" t="s">
        <v>259</v>
      </c>
      <c r="F165" s="4" t="s">
        <v>232</v>
      </c>
      <c r="G165" s="21">
        <v>4335</v>
      </c>
      <c r="H165" s="22">
        <v>600000</v>
      </c>
      <c r="I165" s="22">
        <v>1691000</v>
      </c>
      <c r="J165" s="22">
        <v>390</v>
      </c>
      <c r="K165" s="23">
        <v>0.0709</v>
      </c>
      <c r="L165" s="22">
        <v>15.4</v>
      </c>
      <c r="M165" s="4" t="s">
        <v>849</v>
      </c>
      <c r="N165" s="4" t="s">
        <v>850</v>
      </c>
      <c r="O165" s="4" t="s">
        <v>851</v>
      </c>
    </row>
    <row r="166" spans="1:15">
      <c r="A166" s="21">
        <v>162</v>
      </c>
      <c r="B166" s="4" t="s">
        <v>852</v>
      </c>
      <c r="C166" s="4" t="s">
        <v>66</v>
      </c>
      <c r="D166" s="4" t="s">
        <v>113</v>
      </c>
      <c r="E166" s="4" t="s">
        <v>231</v>
      </c>
      <c r="F166" s="4" t="s">
        <v>232</v>
      </c>
      <c r="G166" s="21">
        <v>6749</v>
      </c>
      <c r="H166" s="22">
        <v>575000</v>
      </c>
      <c r="I166" s="22">
        <v>2079000</v>
      </c>
      <c r="J166" s="22">
        <v>308</v>
      </c>
      <c r="K166" s="23">
        <v>0.1152</v>
      </c>
      <c r="L166" s="22">
        <v>15.4</v>
      </c>
      <c r="M166" s="4" t="s">
        <v>853</v>
      </c>
      <c r="N166" s="4" t="s">
        <v>854</v>
      </c>
      <c r="O166" s="4" t="s">
        <v>855</v>
      </c>
    </row>
    <row r="167" spans="1:15">
      <c r="A167" s="21">
        <v>163</v>
      </c>
      <c r="B167" s="4" t="s">
        <v>856</v>
      </c>
      <c r="C167" s="4" t="s">
        <v>68</v>
      </c>
      <c r="D167" s="4" t="s">
        <v>115</v>
      </c>
      <c r="E167" s="4" t="s">
        <v>231</v>
      </c>
      <c r="F167" s="4" t="s">
        <v>232</v>
      </c>
      <c r="G167" s="21">
        <v>5268</v>
      </c>
      <c r="H167" s="22">
        <v>540000</v>
      </c>
      <c r="I167" s="22">
        <v>1370000</v>
      </c>
      <c r="J167" s="22">
        <v>260</v>
      </c>
      <c r="K167" s="23">
        <v>0.09130000000000001</v>
      </c>
      <c r="L167" s="22">
        <v>20.2</v>
      </c>
      <c r="M167" s="4" t="s">
        <v>857</v>
      </c>
      <c r="N167" s="4" t="s">
        <v>858</v>
      </c>
      <c r="O167" s="4" t="s">
        <v>859</v>
      </c>
    </row>
    <row r="168" spans="1:15">
      <c r="A168" s="21">
        <v>164</v>
      </c>
      <c r="B168" s="4" t="s">
        <v>860</v>
      </c>
      <c r="C168" s="4" t="s">
        <v>65</v>
      </c>
      <c r="D168" s="4" t="s">
        <v>59</v>
      </c>
      <c r="E168" s="4" t="s">
        <v>231</v>
      </c>
      <c r="F168" s="4" t="s">
        <v>232</v>
      </c>
      <c r="G168" s="21">
        <v>1938</v>
      </c>
      <c r="H168" s="22">
        <v>425000</v>
      </c>
      <c r="I168" s="22">
        <v>618000</v>
      </c>
      <c r="J168" s="22">
        <v>319</v>
      </c>
      <c r="K168" s="23">
        <v>0.0618</v>
      </c>
      <c r="L168" s="22">
        <v>26.5</v>
      </c>
      <c r="M168" s="4" t="s">
        <v>861</v>
      </c>
      <c r="N168" s="4" t="s">
        <v>862</v>
      </c>
      <c r="O168" s="4" t="s">
        <v>863</v>
      </c>
    </row>
    <row r="169" spans="1:15">
      <c r="A169" s="21">
        <v>165</v>
      </c>
      <c r="B169" s="4" t="s">
        <v>864</v>
      </c>
      <c r="C169" s="4" t="s">
        <v>65</v>
      </c>
      <c r="D169" s="4" t="s">
        <v>109</v>
      </c>
      <c r="E169" s="4" t="s">
        <v>231</v>
      </c>
      <c r="F169" s="4" t="s">
        <v>232</v>
      </c>
      <c r="G169" s="21">
        <v>1322</v>
      </c>
      <c r="H169" s="22">
        <v>423040</v>
      </c>
      <c r="I169" s="22">
        <v>1001000</v>
      </c>
      <c r="J169" s="22">
        <v>757</v>
      </c>
      <c r="K169" s="23">
        <v>0.0424</v>
      </c>
      <c r="L169" s="22">
        <v>26.5</v>
      </c>
      <c r="M169" s="4" t="s">
        <v>865</v>
      </c>
      <c r="N169" s="4" t="s">
        <v>866</v>
      </c>
      <c r="O169" s="4" t="s">
        <v>867</v>
      </c>
    </row>
    <row r="170" spans="1:15">
      <c r="A170" s="21">
        <v>166</v>
      </c>
      <c r="B170" s="4" t="s">
        <v>868</v>
      </c>
      <c r="C170" s="4" t="s">
        <v>65</v>
      </c>
      <c r="D170" s="4" t="s">
        <v>109</v>
      </c>
      <c r="E170" s="4" t="s">
        <v>231</v>
      </c>
      <c r="F170" s="4" t="s">
        <v>232</v>
      </c>
      <c r="G170" s="21">
        <v>1283</v>
      </c>
      <c r="H170" s="22">
        <v>416975</v>
      </c>
      <c r="I170" s="22">
        <v>987000</v>
      </c>
      <c r="J170" s="22">
        <v>769</v>
      </c>
      <c r="K170" s="23">
        <v>0.0417</v>
      </c>
      <c r="L170" s="22">
        <v>26.5</v>
      </c>
      <c r="M170" s="4" t="s">
        <v>869</v>
      </c>
      <c r="N170" s="4" t="s">
        <v>870</v>
      </c>
      <c r="O170" s="4" t="s">
        <v>871</v>
      </c>
    </row>
    <row r="171" spans="1:15">
      <c r="A171" s="21">
        <v>167</v>
      </c>
      <c r="B171" s="4" t="s">
        <v>872</v>
      </c>
      <c r="C171" s="4" t="s">
        <v>65</v>
      </c>
      <c r="D171" s="4" t="s">
        <v>109</v>
      </c>
      <c r="E171" s="4" t="s">
        <v>231</v>
      </c>
      <c r="F171" s="4" t="s">
        <v>232</v>
      </c>
      <c r="G171" s="21">
        <v>1071</v>
      </c>
      <c r="H171" s="22">
        <v>369495</v>
      </c>
      <c r="I171" s="22">
        <v>907000</v>
      </c>
      <c r="J171" s="22">
        <v>847</v>
      </c>
      <c r="K171" s="23">
        <v>0.0393</v>
      </c>
      <c r="L171" s="22">
        <v>26.5</v>
      </c>
      <c r="M171" s="4" t="s">
        <v>873</v>
      </c>
      <c r="N171" s="4" t="s">
        <v>874</v>
      </c>
      <c r="O171" s="4" t="s">
        <v>875</v>
      </c>
    </row>
    <row r="172" spans="1:15">
      <c r="A172" s="21">
        <v>168</v>
      </c>
      <c r="B172" s="4" t="s">
        <v>876</v>
      </c>
      <c r="C172" s="4" t="s">
        <v>65</v>
      </c>
      <c r="D172" s="4" t="s">
        <v>109</v>
      </c>
      <c r="E172" s="4" t="s">
        <v>231</v>
      </c>
      <c r="F172" s="4" t="s">
        <v>232</v>
      </c>
      <c r="G172" s="21">
        <v>1107</v>
      </c>
      <c r="H172" s="22">
        <v>359775</v>
      </c>
      <c r="I172" s="22">
        <v>921000</v>
      </c>
      <c r="J172" s="22">
        <v>832</v>
      </c>
      <c r="K172" s="23">
        <v>0.0417</v>
      </c>
      <c r="L172" s="22">
        <v>26.5</v>
      </c>
      <c r="M172" s="4" t="s">
        <v>877</v>
      </c>
      <c r="N172" s="4" t="s">
        <v>878</v>
      </c>
      <c r="O172" s="4" t="s">
        <v>879</v>
      </c>
    </row>
    <row r="173" spans="1:15">
      <c r="A173" s="21">
        <v>169</v>
      </c>
      <c r="B173" s="4" t="s">
        <v>860</v>
      </c>
      <c r="C173" s="4" t="s">
        <v>65</v>
      </c>
      <c r="D173" s="4" t="s">
        <v>59</v>
      </c>
      <c r="E173" s="4" t="s">
        <v>231</v>
      </c>
      <c r="F173" s="4" t="s">
        <v>232</v>
      </c>
      <c r="G173" s="21">
        <v>1938</v>
      </c>
      <c r="H173" s="22">
        <v>350000</v>
      </c>
      <c r="I173" s="22">
        <v>618000</v>
      </c>
      <c r="J173" s="22">
        <v>319</v>
      </c>
      <c r="K173" s="23">
        <v>0.075</v>
      </c>
      <c r="L173" s="22">
        <v>26.5</v>
      </c>
      <c r="M173" s="4" t="s">
        <v>861</v>
      </c>
      <c r="N173" s="4" t="s">
        <v>880</v>
      </c>
      <c r="O173" s="4" t="s">
        <v>881</v>
      </c>
    </row>
    <row r="174" spans="1:15">
      <c r="A174" s="21">
        <v>170</v>
      </c>
      <c r="B174" s="4" t="s">
        <v>882</v>
      </c>
      <c r="C174" s="4" t="s">
        <v>65</v>
      </c>
      <c r="D174" s="4" t="s">
        <v>59</v>
      </c>
      <c r="E174" s="4" t="s">
        <v>231</v>
      </c>
      <c r="F174" s="4" t="s">
        <v>232</v>
      </c>
      <c r="G174" s="21">
        <v>1938</v>
      </c>
      <c r="H174" s="22">
        <v>315000</v>
      </c>
      <c r="I174" s="22">
        <v>618000</v>
      </c>
      <c r="J174" s="22">
        <v>319</v>
      </c>
      <c r="K174" s="23">
        <v>0.0834</v>
      </c>
      <c r="L174" s="22">
        <v>26.5</v>
      </c>
      <c r="M174" s="4" t="s">
        <v>883</v>
      </c>
      <c r="N174" s="4" t="s">
        <v>884</v>
      </c>
      <c r="O174" s="4" t="s">
        <v>885</v>
      </c>
    </row>
    <row r="175" spans="1:15">
      <c r="A175" s="21">
        <v>171</v>
      </c>
      <c r="B175" s="4" t="s">
        <v>886</v>
      </c>
      <c r="C175" s="4" t="s">
        <v>65</v>
      </c>
      <c r="D175" s="4" t="s">
        <v>118</v>
      </c>
      <c r="E175" s="4" t="s">
        <v>259</v>
      </c>
      <c r="F175" s="4" t="s">
        <v>232</v>
      </c>
      <c r="G175" s="21">
        <v>1837</v>
      </c>
      <c r="H175" s="22">
        <v>192000</v>
      </c>
      <c r="I175" s="22">
        <v>1166000</v>
      </c>
      <c r="J175" s="22">
        <v>635</v>
      </c>
      <c r="K175" s="23">
        <v>0.1297</v>
      </c>
      <c r="L175" s="22">
        <v>26.5</v>
      </c>
      <c r="M175" s="4" t="s">
        <v>887</v>
      </c>
      <c r="N175" s="4" t="s">
        <v>888</v>
      </c>
      <c r="O175" s="4" t="s">
        <v>889</v>
      </c>
    </row>
    <row r="176" spans="1:15">
      <c r="A176" s="21">
        <v>172</v>
      </c>
      <c r="B176" s="4" t="s">
        <v>890</v>
      </c>
      <c r="C176" s="4" t="s">
        <v>69</v>
      </c>
      <c r="D176" s="4" t="s">
        <v>891</v>
      </c>
      <c r="E176" s="4" t="s">
        <v>231</v>
      </c>
      <c r="F176" s="4" t="s">
        <v>232</v>
      </c>
      <c r="G176" s="21">
        <v>401</v>
      </c>
      <c r="H176" s="22">
        <v>170000</v>
      </c>
      <c r="I176" s="22">
        <v>265000</v>
      </c>
      <c r="J176" s="22">
        <v>662</v>
      </c>
      <c r="K176" s="23">
        <v>0.0375</v>
      </c>
      <c r="L176" s="22">
        <v>17</v>
      </c>
      <c r="M176" s="4" t="s">
        <v>892</v>
      </c>
      <c r="N176" s="4" t="s">
        <v>893</v>
      </c>
      <c r="O176" s="4" t="s">
        <v>894</v>
      </c>
    </row>
    <row r="177" spans="1:15">
      <c r="A177" s="21">
        <v>173</v>
      </c>
      <c r="B177" s="4" t="s">
        <v>895</v>
      </c>
      <c r="C177" s="4" t="s">
        <v>65</v>
      </c>
      <c r="D177" s="4" t="s">
        <v>76</v>
      </c>
      <c r="E177" s="4" t="s">
        <v>896</v>
      </c>
      <c r="F177" s="4"/>
      <c r="G177" s="21">
        <v>47950</v>
      </c>
      <c r="H177" s="22">
        <v>10500000</v>
      </c>
      <c r="I177" s="22">
        <v>7528000</v>
      </c>
      <c r="J177" s="22">
        <v>157</v>
      </c>
      <c r="K177" s="23">
        <v>0.0619</v>
      </c>
      <c r="L177" s="22">
        <v>26.5</v>
      </c>
      <c r="M177" s="4" t="s">
        <v>897</v>
      </c>
      <c r="N177" s="4" t="s">
        <v>898</v>
      </c>
      <c r="O177" s="4" t="s">
        <v>899</v>
      </c>
    </row>
    <row r="178" spans="1:15">
      <c r="A178" s="21">
        <v>174</v>
      </c>
      <c r="B178" s="4" t="s">
        <v>900</v>
      </c>
      <c r="C178" s="4" t="s">
        <v>65</v>
      </c>
      <c r="D178" s="4" t="s">
        <v>78</v>
      </c>
      <c r="E178" s="4" t="s">
        <v>901</v>
      </c>
      <c r="F178" s="4"/>
      <c r="G178" s="21">
        <v>13525</v>
      </c>
      <c r="H178" s="22">
        <v>4900000</v>
      </c>
      <c r="I178" s="22">
        <v>3733000</v>
      </c>
      <c r="J178" s="22">
        <v>276</v>
      </c>
      <c r="K178" s="23">
        <v>0.0374</v>
      </c>
      <c r="L178" s="22">
        <v>26.5</v>
      </c>
      <c r="M178" s="4" t="s">
        <v>902</v>
      </c>
      <c r="N178" s="4" t="s">
        <v>903</v>
      </c>
      <c r="O178" s="4" t="s">
        <v>904</v>
      </c>
    </row>
    <row r="179" spans="1:15">
      <c r="A179" s="21">
        <v>175</v>
      </c>
      <c r="B179" s="4" t="s">
        <v>905</v>
      </c>
      <c r="C179" s="4" t="s">
        <v>65</v>
      </c>
      <c r="D179" s="4" t="s">
        <v>78</v>
      </c>
      <c r="E179" s="4" t="s">
        <v>901</v>
      </c>
      <c r="F179" s="4"/>
      <c r="G179" s="21">
        <v>16250</v>
      </c>
      <c r="H179" s="22">
        <v>4900000</v>
      </c>
      <c r="I179" s="22">
        <v>4062000</v>
      </c>
      <c r="J179" s="22">
        <v>250</v>
      </c>
      <c r="K179" s="23">
        <v>0.0449</v>
      </c>
      <c r="L179" s="22">
        <v>26.5</v>
      </c>
      <c r="M179" s="4" t="s">
        <v>906</v>
      </c>
      <c r="N179" s="4" t="s">
        <v>907</v>
      </c>
      <c r="O179" s="4" t="s">
        <v>908</v>
      </c>
    </row>
    <row r="180" spans="1:15">
      <c r="A180" s="21">
        <v>176</v>
      </c>
      <c r="B180" s="4" t="s">
        <v>909</v>
      </c>
      <c r="C180" s="4" t="s">
        <v>66</v>
      </c>
      <c r="D180" s="4" t="s">
        <v>910</v>
      </c>
      <c r="E180" s="4" t="s">
        <v>901</v>
      </c>
      <c r="F180" s="4"/>
      <c r="G180" s="21">
        <v>18898</v>
      </c>
      <c r="H180" s="22">
        <v>4000000</v>
      </c>
      <c r="I180" s="22">
        <v>3364000</v>
      </c>
      <c r="J180" s="22">
        <v>178</v>
      </c>
      <c r="K180" s="23">
        <v>0.0464</v>
      </c>
      <c r="L180" s="22">
        <v>15.4</v>
      </c>
      <c r="M180" s="4" t="s">
        <v>911</v>
      </c>
      <c r="N180" s="4" t="s">
        <v>912</v>
      </c>
      <c r="O180" s="4" t="s">
        <v>913</v>
      </c>
    </row>
    <row r="181" spans="1:15">
      <c r="A181" s="21">
        <v>177</v>
      </c>
      <c r="B181" s="4" t="s">
        <v>914</v>
      </c>
      <c r="C181" s="4" t="s">
        <v>66</v>
      </c>
      <c r="D181" s="4" t="s">
        <v>910</v>
      </c>
      <c r="E181" s="4" t="s">
        <v>901</v>
      </c>
      <c r="F181" s="4"/>
      <c r="G181" s="21">
        <v>18898</v>
      </c>
      <c r="H181" s="22">
        <v>4000000</v>
      </c>
      <c r="I181" s="22">
        <v>3364000</v>
      </c>
      <c r="J181" s="22">
        <v>178</v>
      </c>
      <c r="K181" s="23">
        <v>0.0464</v>
      </c>
      <c r="L181" s="22">
        <v>15.4</v>
      </c>
      <c r="M181" s="4" t="s">
        <v>915</v>
      </c>
      <c r="N181" s="4" t="s">
        <v>912</v>
      </c>
      <c r="O181" s="4" t="s">
        <v>913</v>
      </c>
    </row>
    <row r="182" spans="1:15">
      <c r="A182" s="21">
        <v>178</v>
      </c>
      <c r="B182" s="4" t="s">
        <v>916</v>
      </c>
      <c r="C182" s="4" t="s">
        <v>74</v>
      </c>
      <c r="D182" s="4" t="s">
        <v>79</v>
      </c>
      <c r="E182" s="4" t="s">
        <v>901</v>
      </c>
      <c r="F182" s="4"/>
      <c r="G182" s="21">
        <v>20250</v>
      </c>
      <c r="H182" s="22">
        <v>3995000</v>
      </c>
      <c r="I182" s="22">
        <v>3483000</v>
      </c>
      <c r="J182" s="22">
        <v>172</v>
      </c>
      <c r="K182" s="23">
        <v>0.0664</v>
      </c>
      <c r="L182" s="22">
        <v>7.3</v>
      </c>
      <c r="M182" s="4" t="s">
        <v>917</v>
      </c>
      <c r="N182" s="4" t="s">
        <v>918</v>
      </c>
      <c r="O182" s="4" t="s">
        <v>919</v>
      </c>
    </row>
    <row r="183" spans="1:15">
      <c r="A183" s="21">
        <v>179</v>
      </c>
      <c r="B183" s="4" t="s">
        <v>920</v>
      </c>
      <c r="C183" s="4" t="s">
        <v>66</v>
      </c>
      <c r="D183" s="4" t="s">
        <v>77</v>
      </c>
      <c r="E183" s="4" t="s">
        <v>901</v>
      </c>
      <c r="F183" s="4"/>
      <c r="G183" s="21">
        <v>6750</v>
      </c>
      <c r="H183" s="22">
        <v>3749000</v>
      </c>
      <c r="I183" s="22">
        <v>2754000</v>
      </c>
      <c r="J183" s="22">
        <v>408</v>
      </c>
      <c r="K183" s="24" t="s">
        <v>237</v>
      </c>
      <c r="L183" s="22">
        <v>15.4</v>
      </c>
      <c r="M183" s="4" t="s">
        <v>921</v>
      </c>
      <c r="N183" s="4" t="s">
        <v>922</v>
      </c>
      <c r="O183" s="4" t="s">
        <v>923</v>
      </c>
    </row>
    <row r="184" spans="1:15">
      <c r="A184" s="21">
        <v>180</v>
      </c>
      <c r="B184" s="4" t="s">
        <v>924</v>
      </c>
      <c r="C184" s="4" t="s">
        <v>68</v>
      </c>
      <c r="D184" s="4" t="s">
        <v>79</v>
      </c>
      <c r="E184" s="4" t="s">
        <v>901</v>
      </c>
      <c r="F184" s="4"/>
      <c r="G184" s="21">
        <v>11761</v>
      </c>
      <c r="H184" s="22">
        <v>2800000</v>
      </c>
      <c r="I184" s="22">
        <v>1929000</v>
      </c>
      <c r="J184" s="22">
        <v>164</v>
      </c>
      <c r="K184" s="23">
        <v>0.0393</v>
      </c>
      <c r="L184" s="22">
        <v>20.2</v>
      </c>
      <c r="M184" s="4" t="s">
        <v>925</v>
      </c>
      <c r="N184" s="4" t="s">
        <v>926</v>
      </c>
      <c r="O184" s="4" t="s">
        <v>927</v>
      </c>
    </row>
    <row r="185" spans="1:15">
      <c r="A185" s="21">
        <v>181</v>
      </c>
      <c r="B185" s="4" t="s">
        <v>928</v>
      </c>
      <c r="C185" s="4" t="s">
        <v>66</v>
      </c>
      <c r="D185" s="4" t="s">
        <v>81</v>
      </c>
      <c r="E185" s="4" t="s">
        <v>901</v>
      </c>
      <c r="F185" s="4"/>
      <c r="G185" s="21">
        <v>9566</v>
      </c>
      <c r="H185" s="22">
        <v>2500000</v>
      </c>
      <c r="I185" s="22">
        <v>2162000</v>
      </c>
      <c r="J185" s="22">
        <v>226</v>
      </c>
      <c r="K185" s="23">
        <v>0.0376</v>
      </c>
      <c r="L185" s="22">
        <v>15.4</v>
      </c>
      <c r="M185" s="4" t="s">
        <v>929</v>
      </c>
      <c r="N185" s="4" t="s">
        <v>930</v>
      </c>
      <c r="O185" s="4" t="s">
        <v>931</v>
      </c>
    </row>
    <row r="186" spans="1:15">
      <c r="A186" s="21">
        <v>182</v>
      </c>
      <c r="B186" s="4" t="s">
        <v>473</v>
      </c>
      <c r="C186" s="4" t="s">
        <v>66</v>
      </c>
      <c r="D186" s="4" t="s">
        <v>109</v>
      </c>
      <c r="E186" s="4" t="s">
        <v>901</v>
      </c>
      <c r="F186" s="4"/>
      <c r="G186" s="21">
        <v>10400</v>
      </c>
      <c r="H186" s="22">
        <v>2475000</v>
      </c>
      <c r="I186" s="22">
        <v>2538000</v>
      </c>
      <c r="J186" s="22">
        <v>244</v>
      </c>
      <c r="K186" s="23">
        <v>0.0412</v>
      </c>
      <c r="L186" s="22">
        <v>15.4</v>
      </c>
      <c r="M186" s="4" t="s">
        <v>932</v>
      </c>
      <c r="N186" s="4" t="s">
        <v>933</v>
      </c>
      <c r="O186" s="4" t="s">
        <v>934</v>
      </c>
    </row>
    <row r="187" spans="1:15">
      <c r="A187" s="21">
        <v>183</v>
      </c>
      <c r="B187" s="4" t="s">
        <v>935</v>
      </c>
      <c r="C187" s="4" t="s">
        <v>66</v>
      </c>
      <c r="D187" s="4" t="s">
        <v>110</v>
      </c>
      <c r="E187" s="4" t="s">
        <v>901</v>
      </c>
      <c r="F187" s="4"/>
      <c r="G187" s="21">
        <v>6633</v>
      </c>
      <c r="H187" s="22">
        <v>2149000</v>
      </c>
      <c r="I187" s="22">
        <v>2056000</v>
      </c>
      <c r="J187" s="22">
        <v>310</v>
      </c>
      <c r="K187" s="23">
        <v>0.0303</v>
      </c>
      <c r="L187" s="22">
        <v>15.4</v>
      </c>
      <c r="M187" s="4" t="s">
        <v>936</v>
      </c>
      <c r="N187" s="4" t="s">
        <v>937</v>
      </c>
      <c r="O187" s="4" t="s">
        <v>938</v>
      </c>
    </row>
    <row r="188" spans="1:15">
      <c r="A188" s="21">
        <v>184</v>
      </c>
      <c r="B188" s="4" t="s">
        <v>939</v>
      </c>
      <c r="C188" s="4" t="s">
        <v>65</v>
      </c>
      <c r="D188" s="4" t="s">
        <v>108</v>
      </c>
      <c r="E188" s="4" t="s">
        <v>901</v>
      </c>
      <c r="F188" s="4"/>
      <c r="G188" s="21">
        <v>7503</v>
      </c>
      <c r="H188" s="22">
        <v>2100000</v>
      </c>
      <c r="I188" s="22">
        <v>2251000</v>
      </c>
      <c r="J188" s="22">
        <v>300</v>
      </c>
      <c r="K188" s="23">
        <v>0.0484</v>
      </c>
      <c r="L188" s="22">
        <v>26.5</v>
      </c>
      <c r="M188" s="4" t="s">
        <v>940</v>
      </c>
      <c r="N188" s="4" t="s">
        <v>941</v>
      </c>
      <c r="O188" s="4" t="s">
        <v>942</v>
      </c>
    </row>
    <row r="189" spans="1:15">
      <c r="A189" s="21">
        <v>185</v>
      </c>
      <c r="B189" s="4" t="s">
        <v>943</v>
      </c>
      <c r="C189" s="4" t="s">
        <v>69</v>
      </c>
      <c r="D189" s="4" t="s">
        <v>81</v>
      </c>
      <c r="E189" s="4" t="s">
        <v>901</v>
      </c>
      <c r="F189" s="4"/>
      <c r="G189" s="21">
        <v>9289</v>
      </c>
      <c r="H189" s="22">
        <v>2100000</v>
      </c>
      <c r="I189" s="22">
        <v>1022000</v>
      </c>
      <c r="J189" s="22">
        <v>110</v>
      </c>
      <c r="K189" s="23">
        <v>0.0703</v>
      </c>
      <c r="L189" s="22">
        <v>17</v>
      </c>
      <c r="M189" s="4" t="s">
        <v>944</v>
      </c>
      <c r="N189" s="4" t="s">
        <v>945</v>
      </c>
      <c r="O189" s="4" t="s">
        <v>946</v>
      </c>
    </row>
    <row r="190" spans="1:15">
      <c r="A190" s="21">
        <v>186</v>
      </c>
      <c r="B190" s="4" t="s">
        <v>495</v>
      </c>
      <c r="C190" s="4" t="s">
        <v>73</v>
      </c>
      <c r="D190" s="4" t="s">
        <v>78</v>
      </c>
      <c r="E190" s="4" t="s">
        <v>901</v>
      </c>
      <c r="F190" s="4"/>
      <c r="G190" s="21">
        <v>6378</v>
      </c>
      <c r="H190" s="22">
        <v>1999000</v>
      </c>
      <c r="I190" s="22">
        <v>2628000</v>
      </c>
      <c r="J190" s="22">
        <v>412</v>
      </c>
      <c r="K190" s="23">
        <v>0.047</v>
      </c>
      <c r="L190" s="24" t="s">
        <v>237</v>
      </c>
      <c r="M190" s="4" t="s">
        <v>947</v>
      </c>
      <c r="N190" s="4" t="s">
        <v>948</v>
      </c>
      <c r="O190" s="4" t="s">
        <v>949</v>
      </c>
    </row>
    <row r="191" spans="1:15">
      <c r="A191" s="21">
        <v>187</v>
      </c>
      <c r="B191" s="4" t="s">
        <v>950</v>
      </c>
      <c r="C191" s="4" t="s">
        <v>68</v>
      </c>
      <c r="D191" s="4" t="s">
        <v>78</v>
      </c>
      <c r="E191" s="4" t="s">
        <v>896</v>
      </c>
      <c r="F191" s="4"/>
      <c r="G191" s="21">
        <v>6385</v>
      </c>
      <c r="H191" s="22">
        <v>1900000</v>
      </c>
      <c r="I191" s="22">
        <v>1884000</v>
      </c>
      <c r="J191" s="22">
        <v>295</v>
      </c>
      <c r="K191" s="23">
        <v>0.0315</v>
      </c>
      <c r="L191" s="22">
        <v>20.2</v>
      </c>
      <c r="M191" s="4" t="s">
        <v>951</v>
      </c>
      <c r="N191" s="4" t="s">
        <v>952</v>
      </c>
      <c r="O191" s="4" t="s">
        <v>953</v>
      </c>
    </row>
    <row r="192" spans="1:15">
      <c r="A192" s="21">
        <v>188</v>
      </c>
      <c r="B192" s="4" t="s">
        <v>436</v>
      </c>
      <c r="C192" s="4" t="s">
        <v>67</v>
      </c>
      <c r="D192" s="4" t="s">
        <v>82</v>
      </c>
      <c r="E192" s="4" t="s">
        <v>901</v>
      </c>
      <c r="F192" s="4"/>
      <c r="G192" s="21">
        <v>7000</v>
      </c>
      <c r="H192" s="22">
        <v>1799000</v>
      </c>
      <c r="I192" s="22">
        <v>1939000</v>
      </c>
      <c r="J192" s="22">
        <v>277</v>
      </c>
      <c r="K192" s="23">
        <v>0.0377</v>
      </c>
      <c r="L192" s="22">
        <v>19.4</v>
      </c>
      <c r="M192" s="4" t="s">
        <v>954</v>
      </c>
      <c r="N192" s="4" t="s">
        <v>955</v>
      </c>
      <c r="O192" s="4" t="s">
        <v>956</v>
      </c>
    </row>
    <row r="193" spans="1:15">
      <c r="A193" s="21">
        <v>189</v>
      </c>
      <c r="B193" s="4" t="s">
        <v>957</v>
      </c>
      <c r="C193" s="4" t="s">
        <v>66</v>
      </c>
      <c r="D193" s="4" t="s">
        <v>82</v>
      </c>
      <c r="E193" s="4" t="s">
        <v>901</v>
      </c>
      <c r="F193" s="4"/>
      <c r="G193" s="21">
        <v>8075</v>
      </c>
      <c r="H193" s="22">
        <v>1749000</v>
      </c>
      <c r="I193" s="22">
        <v>1801000</v>
      </c>
      <c r="J193" s="22">
        <v>223</v>
      </c>
      <c r="K193" s="23">
        <v>0.0453</v>
      </c>
      <c r="L193" s="22">
        <v>15.4</v>
      </c>
      <c r="M193" s="4" t="s">
        <v>958</v>
      </c>
      <c r="N193" s="4" t="s">
        <v>959</v>
      </c>
      <c r="O193" s="4" t="s">
        <v>960</v>
      </c>
    </row>
    <row r="194" spans="1:15">
      <c r="A194" s="21">
        <v>190</v>
      </c>
      <c r="B194" s="4" t="s">
        <v>961</v>
      </c>
      <c r="C194" s="4" t="s">
        <v>68</v>
      </c>
      <c r="D194" s="4" t="s">
        <v>59</v>
      </c>
      <c r="E194" s="4" t="s">
        <v>901</v>
      </c>
      <c r="F194" s="4"/>
      <c r="G194" s="21">
        <v>5200</v>
      </c>
      <c r="H194" s="22">
        <v>1040000</v>
      </c>
      <c r="I194" s="22">
        <v>702000</v>
      </c>
      <c r="J194" s="22">
        <v>135</v>
      </c>
      <c r="K194" s="23">
        <v>0.0468</v>
      </c>
      <c r="L194" s="22">
        <v>20.2</v>
      </c>
      <c r="M194" s="4" t="s">
        <v>962</v>
      </c>
      <c r="N194" s="4" t="s">
        <v>963</v>
      </c>
      <c r="O194" s="4" t="s">
        <v>964</v>
      </c>
    </row>
    <row r="195" spans="1:15">
      <c r="A195" s="21">
        <v>191</v>
      </c>
      <c r="B195" s="4" t="s">
        <v>965</v>
      </c>
      <c r="C195" s="4" t="s">
        <v>72</v>
      </c>
      <c r="D195" s="4" t="s">
        <v>76</v>
      </c>
      <c r="E195" s="4" t="s">
        <v>901</v>
      </c>
      <c r="F195" s="4"/>
      <c r="G195" s="21">
        <v>1200</v>
      </c>
      <c r="H195" s="22">
        <v>995000</v>
      </c>
      <c r="I195" s="22">
        <v>986000</v>
      </c>
      <c r="J195" s="22">
        <v>822</v>
      </c>
      <c r="K195" s="24" t="s">
        <v>237</v>
      </c>
      <c r="L195" s="22">
        <v>22.6</v>
      </c>
      <c r="M195" s="4" t="s">
        <v>966</v>
      </c>
      <c r="N195" s="4" t="s">
        <v>967</v>
      </c>
      <c r="O195" s="4" t="s">
        <v>968</v>
      </c>
    </row>
    <row r="196" spans="1:15">
      <c r="A196" s="21">
        <v>192</v>
      </c>
      <c r="B196" s="4" t="s">
        <v>753</v>
      </c>
      <c r="C196" s="4" t="s">
        <v>69</v>
      </c>
      <c r="D196" s="4" t="s">
        <v>81</v>
      </c>
      <c r="E196" s="4" t="s">
        <v>901</v>
      </c>
      <c r="F196" s="4"/>
      <c r="G196" s="21">
        <v>2400</v>
      </c>
      <c r="H196" s="22">
        <v>990000</v>
      </c>
      <c r="I196" s="22">
        <v>545000</v>
      </c>
      <c r="J196" s="22">
        <v>227</v>
      </c>
      <c r="K196" s="23">
        <v>0.0385</v>
      </c>
      <c r="L196" s="22">
        <v>17</v>
      </c>
      <c r="M196" s="4" t="s">
        <v>969</v>
      </c>
      <c r="N196" s="4" t="s">
        <v>970</v>
      </c>
      <c r="O196" s="4" t="s">
        <v>971</v>
      </c>
    </row>
    <row r="197" spans="1:15">
      <c r="A197" s="21">
        <v>193</v>
      </c>
      <c r="B197" s="4" t="s">
        <v>972</v>
      </c>
      <c r="C197" s="4" t="s">
        <v>70</v>
      </c>
      <c r="D197" s="4" t="s">
        <v>116</v>
      </c>
      <c r="E197" s="4" t="s">
        <v>901</v>
      </c>
      <c r="F197" s="4"/>
      <c r="G197" s="21">
        <v>1833</v>
      </c>
      <c r="H197" s="22">
        <v>710000</v>
      </c>
      <c r="I197" s="22">
        <v>757000</v>
      </c>
      <c r="J197" s="22">
        <v>413</v>
      </c>
      <c r="K197" s="23">
        <v>0.0426</v>
      </c>
      <c r="L197" s="22">
        <v>28</v>
      </c>
      <c r="M197" s="4" t="s">
        <v>973</v>
      </c>
      <c r="N197" s="4" t="s">
        <v>974</v>
      </c>
      <c r="O197" s="4" t="s">
        <v>975</v>
      </c>
    </row>
  </sheetData>
  <autoFilter ref="A4:O197"/>
  <mergeCells count="1">
    <mergeCell ref="A2:O2"/>
  </mergeCells>
  <conditionalFormatting sqref="F5:F197">
    <cfRule type="containsText" dxfId="0" priority="1" operator="containsText" text="YES">
      <formula>NOT(ISERROR(SEARCH("YES",F5)))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6.7109375" customWidth="1"/>
    <col min="3" max="3" width="24.7109375" customWidth="1"/>
    <col min="4" max="13" width="12.7109375" customWidth="1"/>
  </cols>
  <sheetData>
    <row r="1" spans="1:13">
      <c r="A1" s="1" t="s">
        <v>976</v>
      </c>
    </row>
    <row r="2" spans="1:13" ht="30" customHeight="1">
      <c r="A2" s="2" t="s">
        <v>977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20" t="s">
        <v>978</v>
      </c>
      <c r="B4" s="20" t="s">
        <v>979</v>
      </c>
      <c r="C4" s="20" t="s">
        <v>980</v>
      </c>
      <c r="D4" s="20" t="s">
        <v>981</v>
      </c>
      <c r="E4" s="20" t="s">
        <v>982</v>
      </c>
      <c r="F4" s="20" t="s">
        <v>983</v>
      </c>
      <c r="G4" s="20" t="s">
        <v>168</v>
      </c>
      <c r="H4" s="20" t="s">
        <v>984</v>
      </c>
      <c r="I4" s="20" t="s">
        <v>985</v>
      </c>
      <c r="J4" s="20" t="s">
        <v>986</v>
      </c>
      <c r="K4" s="20" t="s">
        <v>987</v>
      </c>
      <c r="L4" s="20" t="s">
        <v>988</v>
      </c>
      <c r="M4" s="20" t="s">
        <v>989</v>
      </c>
    </row>
    <row r="5" spans="1:13">
      <c r="A5" s="4" t="s">
        <v>76</v>
      </c>
      <c r="B5" s="4" t="s">
        <v>990</v>
      </c>
      <c r="C5" s="4" t="s">
        <v>991</v>
      </c>
      <c r="D5" s="22">
        <v>268</v>
      </c>
      <c r="E5" s="22">
        <v>355</v>
      </c>
      <c r="F5" s="25">
        <v>47.3</v>
      </c>
      <c r="G5" s="22">
        <v>8.199999999999999</v>
      </c>
      <c r="H5" s="23">
        <v>0.0293</v>
      </c>
      <c r="I5" s="26">
        <v>18</v>
      </c>
      <c r="J5" s="26">
        <v>63.6</v>
      </c>
      <c r="K5" s="21">
        <v>1</v>
      </c>
      <c r="L5" s="21">
        <v>2</v>
      </c>
      <c r="M5" s="4" t="s">
        <v>992</v>
      </c>
    </row>
    <row r="6" spans="1:13">
      <c r="A6" s="4" t="s">
        <v>77</v>
      </c>
      <c r="B6" s="4" t="s">
        <v>993</v>
      </c>
      <c r="C6" s="4" t="s">
        <v>994</v>
      </c>
      <c r="D6" s="22">
        <v>253</v>
      </c>
      <c r="E6" s="22">
        <v>127</v>
      </c>
      <c r="F6" s="25">
        <v>39.1</v>
      </c>
      <c r="G6" s="24" t="s">
        <v>237</v>
      </c>
      <c r="H6" s="24" t="s">
        <v>237</v>
      </c>
      <c r="I6" s="24" t="s">
        <v>237</v>
      </c>
      <c r="J6" s="24" t="s">
        <v>237</v>
      </c>
      <c r="K6" s="21">
        <v>1</v>
      </c>
      <c r="L6" s="21">
        <v>3</v>
      </c>
      <c r="M6" s="4" t="s">
        <v>992</v>
      </c>
    </row>
    <row r="7" spans="1:13">
      <c r="A7" s="4" t="s">
        <v>78</v>
      </c>
      <c r="B7" s="4" t="s">
        <v>995</v>
      </c>
      <c r="C7" s="4" t="s">
        <v>996</v>
      </c>
      <c r="D7" s="22">
        <v>242</v>
      </c>
      <c r="E7" s="22">
        <v>175</v>
      </c>
      <c r="F7" s="25">
        <v>33</v>
      </c>
      <c r="G7" s="22">
        <v>23</v>
      </c>
      <c r="H7" s="23">
        <v>0.081</v>
      </c>
      <c r="I7" s="26">
        <v>18</v>
      </c>
      <c r="J7" s="26">
        <v>50</v>
      </c>
      <c r="K7" s="21">
        <v>0</v>
      </c>
      <c r="L7" s="21">
        <v>4</v>
      </c>
      <c r="M7" s="4" t="s">
        <v>992</v>
      </c>
    </row>
    <row r="8" spans="1:13">
      <c r="A8" s="4" t="s">
        <v>79</v>
      </c>
      <c r="B8" s="4" t="s">
        <v>997</v>
      </c>
      <c r="C8" s="4" t="s">
        <v>998</v>
      </c>
      <c r="D8" s="22">
        <v>186</v>
      </c>
      <c r="E8" s="22">
        <v>177</v>
      </c>
      <c r="F8" s="25">
        <v>2.2</v>
      </c>
      <c r="G8" s="22">
        <v>25.5</v>
      </c>
      <c r="H8" s="23">
        <v>0.179</v>
      </c>
      <c r="I8" s="26">
        <v>8.199999999999999</v>
      </c>
      <c r="J8" s="26">
        <v>68.59999999999999</v>
      </c>
      <c r="K8" s="21">
        <v>2</v>
      </c>
      <c r="L8" s="21">
        <v>3</v>
      </c>
      <c r="M8" s="4" t="s">
        <v>992</v>
      </c>
    </row>
    <row r="9" spans="1:13">
      <c r="A9" s="4" t="s">
        <v>80</v>
      </c>
      <c r="B9" s="4" t="s">
        <v>999</v>
      </c>
      <c r="C9" s="4" t="s">
        <v>1000</v>
      </c>
      <c r="D9" s="22">
        <v>173</v>
      </c>
      <c r="E9" s="22">
        <v>184</v>
      </c>
      <c r="F9" s="25">
        <v>-4.9</v>
      </c>
      <c r="G9" s="22">
        <v>8.199999999999999</v>
      </c>
      <c r="H9" s="23">
        <v>0.0479</v>
      </c>
      <c r="I9" s="26">
        <v>4.5</v>
      </c>
      <c r="J9" s="26">
        <v>55.6</v>
      </c>
      <c r="K9" s="21">
        <v>0</v>
      </c>
      <c r="L9" s="21">
        <v>0</v>
      </c>
      <c r="M9" s="4" t="s">
        <v>992</v>
      </c>
    </row>
    <row r="10" spans="1:13">
      <c r="A10" s="4" t="s">
        <v>81</v>
      </c>
      <c r="B10" s="4" t="s">
        <v>1001</v>
      </c>
      <c r="C10" s="4" t="s">
        <v>1000</v>
      </c>
      <c r="D10" s="22">
        <v>170</v>
      </c>
      <c r="E10" s="22">
        <v>130</v>
      </c>
      <c r="F10" s="25">
        <v>-6.5</v>
      </c>
      <c r="G10" s="22">
        <v>11.4</v>
      </c>
      <c r="H10" s="23">
        <v>0.0848</v>
      </c>
      <c r="I10" s="26">
        <v>28.3</v>
      </c>
      <c r="J10" s="26">
        <v>74.09999999999999</v>
      </c>
      <c r="K10" s="21">
        <v>6</v>
      </c>
      <c r="L10" s="21">
        <v>3</v>
      </c>
      <c r="M10" s="4" t="s">
        <v>992</v>
      </c>
    </row>
    <row r="11" spans="1:13">
      <c r="A11" s="4" t="s">
        <v>82</v>
      </c>
      <c r="B11" s="4" t="s">
        <v>1002</v>
      </c>
      <c r="C11" s="4" t="s">
        <v>1003</v>
      </c>
      <c r="D11" s="22">
        <v>153</v>
      </c>
      <c r="E11" s="22">
        <v>144</v>
      </c>
      <c r="F11" s="25">
        <v>-15.9</v>
      </c>
      <c r="G11" s="22">
        <v>23.1</v>
      </c>
      <c r="H11" s="23">
        <v>0.1375</v>
      </c>
      <c r="I11" s="26">
        <v>22.5</v>
      </c>
      <c r="J11" s="26">
        <v>75</v>
      </c>
      <c r="K11" s="21">
        <v>2</v>
      </c>
      <c r="L11" s="21">
        <v>2</v>
      </c>
      <c r="M11" s="4" t="s">
        <v>992</v>
      </c>
    </row>
    <row r="12" spans="1:13">
      <c r="A12" s="4" t="s">
        <v>83</v>
      </c>
      <c r="B12" s="4" t="s">
        <v>1004</v>
      </c>
      <c r="C12" s="4" t="s">
        <v>994</v>
      </c>
      <c r="D12" s="22">
        <v>126</v>
      </c>
      <c r="E12" s="22">
        <v>137</v>
      </c>
      <c r="F12" s="25">
        <v>-30.7</v>
      </c>
      <c r="G12" s="22">
        <v>20</v>
      </c>
      <c r="H12" s="23">
        <v>0.1446</v>
      </c>
      <c r="I12" s="24" t="s">
        <v>237</v>
      </c>
      <c r="J12" s="24" t="s">
        <v>237</v>
      </c>
      <c r="K12" s="21">
        <v>2</v>
      </c>
      <c r="L12" s="21">
        <v>0</v>
      </c>
      <c r="M12" s="4" t="s">
        <v>992</v>
      </c>
    </row>
    <row r="13" spans="1:13">
      <c r="A13" s="4" t="s">
        <v>59</v>
      </c>
      <c r="B13" s="4" t="s">
        <v>1005</v>
      </c>
      <c r="C13" s="4" t="s">
        <v>1006</v>
      </c>
      <c r="D13" s="22">
        <v>99</v>
      </c>
      <c r="E13" s="22">
        <v>132</v>
      </c>
      <c r="F13" s="25">
        <v>-45.6</v>
      </c>
      <c r="G13" s="22">
        <v>32</v>
      </c>
      <c r="H13" s="23">
        <v>0.1682</v>
      </c>
      <c r="I13" s="26">
        <v>4.5</v>
      </c>
      <c r="J13" s="26">
        <v>63.6</v>
      </c>
      <c r="K13" s="21">
        <v>0</v>
      </c>
      <c r="L13" s="21">
        <v>1</v>
      </c>
      <c r="M13" s="4" t="s">
        <v>992</v>
      </c>
    </row>
  </sheetData>
  <autoFilter ref="A4:M13"/>
  <mergeCells count="1">
    <mergeCell ref="A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6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4" width="13.7109375" customWidth="1"/>
    <col min="5" max="10" width="12.7109375" customWidth="1"/>
  </cols>
  <sheetData>
    <row r="1" spans="1:10">
      <c r="A1" s="1" t="s">
        <v>1007</v>
      </c>
    </row>
    <row r="2" spans="1:10" ht="30" customHeight="1">
      <c r="A2" s="2" t="s">
        <v>1008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20" t="s">
        <v>217</v>
      </c>
      <c r="B4" s="20" t="s">
        <v>218</v>
      </c>
      <c r="C4" s="20" t="s">
        <v>219</v>
      </c>
      <c r="D4" s="20" t="s">
        <v>220</v>
      </c>
      <c r="E4" s="20" t="s">
        <v>1009</v>
      </c>
      <c r="F4" s="20" t="s">
        <v>154</v>
      </c>
      <c r="G4" s="20" t="s">
        <v>156</v>
      </c>
      <c r="H4" s="20" t="s">
        <v>1010</v>
      </c>
      <c r="I4" s="20" t="s">
        <v>1011</v>
      </c>
      <c r="J4" s="20" t="s">
        <v>1012</v>
      </c>
    </row>
    <row r="5" spans="1:10">
      <c r="A5" s="4" t="s">
        <v>1013</v>
      </c>
      <c r="B5" s="4" t="s">
        <v>65</v>
      </c>
      <c r="C5" s="4" t="s">
        <v>111</v>
      </c>
      <c r="D5" s="4" t="s">
        <v>231</v>
      </c>
      <c r="E5" s="22">
        <v>299000</v>
      </c>
      <c r="F5" s="22">
        <v>30</v>
      </c>
      <c r="G5" s="22">
        <v>257</v>
      </c>
      <c r="H5" s="25">
        <v>756.6666666666666</v>
      </c>
      <c r="I5" s="22">
        <v>2288614</v>
      </c>
      <c r="J5" s="25">
        <v>-84.7</v>
      </c>
    </row>
    <row r="6" spans="1:10">
      <c r="A6" s="4" t="s">
        <v>886</v>
      </c>
      <c r="B6" s="4" t="s">
        <v>65</v>
      </c>
      <c r="C6" s="4" t="s">
        <v>118</v>
      </c>
      <c r="D6" s="4" t="s">
        <v>259</v>
      </c>
      <c r="E6" s="22">
        <v>192000</v>
      </c>
      <c r="F6" s="22">
        <v>105</v>
      </c>
      <c r="G6" s="22">
        <v>635</v>
      </c>
      <c r="H6" s="25">
        <v>504.7619047619048</v>
      </c>
      <c r="I6" s="22">
        <v>973610</v>
      </c>
      <c r="J6" s="25">
        <v>-46</v>
      </c>
    </row>
    <row r="7" spans="1:10">
      <c r="A7" s="4" t="s">
        <v>1014</v>
      </c>
      <c r="B7" s="4" t="s">
        <v>67</v>
      </c>
      <c r="C7" s="4" t="s">
        <v>119</v>
      </c>
      <c r="D7" s="4" t="s">
        <v>231</v>
      </c>
      <c r="E7" s="22">
        <v>535000</v>
      </c>
      <c r="F7" s="22">
        <v>45</v>
      </c>
      <c r="G7" s="22">
        <v>264</v>
      </c>
      <c r="H7" s="25">
        <v>486.6666666666666</v>
      </c>
      <c r="I7" s="22">
        <v>2584200</v>
      </c>
      <c r="J7" s="25">
        <v>-70.8</v>
      </c>
    </row>
    <row r="8" spans="1:10">
      <c r="A8" s="4" t="s">
        <v>1015</v>
      </c>
      <c r="B8" s="4" t="s">
        <v>65</v>
      </c>
      <c r="C8" s="4" t="s">
        <v>117</v>
      </c>
      <c r="D8" s="4" t="s">
        <v>259</v>
      </c>
      <c r="E8" s="22">
        <v>375000</v>
      </c>
      <c r="F8" s="22">
        <v>61</v>
      </c>
      <c r="G8" s="22">
        <v>334</v>
      </c>
      <c r="H8" s="25">
        <v>447.5409836065574</v>
      </c>
      <c r="I8" s="22">
        <v>1670760</v>
      </c>
      <c r="J8" s="25">
        <v>-68.3</v>
      </c>
    </row>
    <row r="9" spans="1:10">
      <c r="A9" s="4" t="s">
        <v>1016</v>
      </c>
      <c r="B9" s="4" t="s">
        <v>65</v>
      </c>
      <c r="C9" s="4" t="s">
        <v>109</v>
      </c>
      <c r="D9" s="4" t="s">
        <v>231</v>
      </c>
      <c r="E9" s="22">
        <v>482625</v>
      </c>
      <c r="F9" s="22">
        <v>58</v>
      </c>
      <c r="G9" s="22">
        <v>283</v>
      </c>
      <c r="H9" s="25">
        <v>387.9310344827586</v>
      </c>
      <c r="I9" s="22">
        <v>1885725</v>
      </c>
      <c r="J9" s="25">
        <v>-70.3</v>
      </c>
    </row>
    <row r="10" spans="1:10">
      <c r="A10" s="4" t="s">
        <v>1017</v>
      </c>
      <c r="B10" s="4" t="s">
        <v>65</v>
      </c>
      <c r="C10" s="4" t="s">
        <v>109</v>
      </c>
      <c r="D10" s="4" t="s">
        <v>231</v>
      </c>
      <c r="E10" s="22">
        <v>491250</v>
      </c>
      <c r="F10" s="22">
        <v>59</v>
      </c>
      <c r="G10" s="22">
        <v>283</v>
      </c>
      <c r="H10" s="25">
        <v>379.6610169491525</v>
      </c>
      <c r="I10" s="22">
        <v>1877344</v>
      </c>
      <c r="J10" s="25">
        <v>-69.7</v>
      </c>
    </row>
    <row r="11" spans="1:10">
      <c r="A11" s="4" t="s">
        <v>1018</v>
      </c>
      <c r="B11" s="4" t="s">
        <v>65</v>
      </c>
      <c r="C11" s="4" t="s">
        <v>114</v>
      </c>
      <c r="D11" s="4" t="s">
        <v>231</v>
      </c>
      <c r="E11" s="22">
        <v>549900</v>
      </c>
      <c r="F11" s="22">
        <v>60</v>
      </c>
      <c r="G11" s="22">
        <v>271</v>
      </c>
      <c r="H11" s="25">
        <v>351.6666666666667</v>
      </c>
      <c r="I11" s="22">
        <v>1927274</v>
      </c>
      <c r="J11" s="25">
        <v>-68.90000000000001</v>
      </c>
    </row>
    <row r="12" spans="1:10">
      <c r="A12" s="4" t="s">
        <v>1019</v>
      </c>
      <c r="B12" s="4" t="s">
        <v>69</v>
      </c>
      <c r="C12" s="4" t="s">
        <v>109</v>
      </c>
      <c r="D12" s="4" t="s">
        <v>901</v>
      </c>
      <c r="E12" s="22">
        <v>320000</v>
      </c>
      <c r="F12" s="22">
        <v>24</v>
      </c>
      <c r="G12" s="22">
        <v>103</v>
      </c>
      <c r="H12" s="25">
        <v>329.1666666666667</v>
      </c>
      <c r="I12" s="22">
        <v>1047777</v>
      </c>
      <c r="J12" s="25">
        <v>-87.90000000000001</v>
      </c>
    </row>
    <row r="13" spans="1:10">
      <c r="A13" s="4" t="s">
        <v>1019</v>
      </c>
      <c r="B13" s="4" t="s">
        <v>69</v>
      </c>
      <c r="C13" s="4" t="s">
        <v>109</v>
      </c>
      <c r="D13" s="4" t="s">
        <v>259</v>
      </c>
      <c r="E13" s="22">
        <v>350000</v>
      </c>
      <c r="F13" s="22">
        <v>26</v>
      </c>
      <c r="G13" s="22">
        <v>103</v>
      </c>
      <c r="H13" s="25">
        <v>296.1538461538462</v>
      </c>
      <c r="I13" s="22">
        <v>1021251</v>
      </c>
      <c r="J13" s="25">
        <v>-86.7</v>
      </c>
    </row>
    <row r="14" spans="1:10">
      <c r="A14" s="4" t="s">
        <v>1020</v>
      </c>
      <c r="B14" s="4" t="s">
        <v>67</v>
      </c>
      <c r="C14" s="4" t="s">
        <v>1021</v>
      </c>
      <c r="D14" s="4" t="s">
        <v>259</v>
      </c>
      <c r="E14" s="22">
        <v>1295000</v>
      </c>
      <c r="F14" s="22">
        <v>40</v>
      </c>
      <c r="G14" s="22">
        <v>154</v>
      </c>
      <c r="H14" s="25">
        <v>285</v>
      </c>
      <c r="I14" s="22">
        <v>3690636</v>
      </c>
      <c r="J14" s="25">
        <v>-74.2</v>
      </c>
    </row>
    <row r="15" spans="1:10">
      <c r="A15" s="4" t="s">
        <v>1022</v>
      </c>
      <c r="B15" s="4" t="s">
        <v>65</v>
      </c>
      <c r="C15" s="4" t="s">
        <v>79</v>
      </c>
      <c r="D15" s="4" t="s">
        <v>231</v>
      </c>
      <c r="E15" s="22">
        <v>525000</v>
      </c>
      <c r="F15" s="22">
        <v>88</v>
      </c>
      <c r="G15" s="22">
        <v>328</v>
      </c>
      <c r="H15" s="25">
        <v>272.7272727272727</v>
      </c>
      <c r="I15" s="22">
        <v>1438080</v>
      </c>
      <c r="J15" s="25">
        <v>-54.7</v>
      </c>
    </row>
    <row r="16" spans="1:10">
      <c r="A16" s="4" t="s">
        <v>852</v>
      </c>
      <c r="B16" s="4" t="s">
        <v>66</v>
      </c>
      <c r="C16" s="4" t="s">
        <v>113</v>
      </c>
      <c r="D16" s="4" t="s">
        <v>231</v>
      </c>
      <c r="E16" s="22">
        <v>575000</v>
      </c>
      <c r="F16" s="22">
        <v>85</v>
      </c>
      <c r="G16" s="22">
        <v>308</v>
      </c>
      <c r="H16" s="25">
        <v>262.3529411764706</v>
      </c>
      <c r="I16" s="22">
        <v>1505027</v>
      </c>
      <c r="J16" s="25">
        <v>-52.3</v>
      </c>
    </row>
    <row r="17" spans="1:10">
      <c r="A17" s="4" t="s">
        <v>840</v>
      </c>
      <c r="B17" s="4" t="s">
        <v>65</v>
      </c>
      <c r="C17" s="4" t="s">
        <v>81</v>
      </c>
      <c r="D17" s="4" t="s">
        <v>259</v>
      </c>
      <c r="E17" s="22">
        <v>549000</v>
      </c>
      <c r="F17" s="22">
        <v>79</v>
      </c>
      <c r="G17" s="22">
        <v>278</v>
      </c>
      <c r="H17" s="25">
        <v>251.8987341772152</v>
      </c>
      <c r="I17" s="22">
        <v>1383050</v>
      </c>
      <c r="J17" s="25">
        <v>-59.2</v>
      </c>
    </row>
    <row r="18" spans="1:10">
      <c r="A18" s="4" t="s">
        <v>840</v>
      </c>
      <c r="B18" s="4" t="s">
        <v>65</v>
      </c>
      <c r="C18" s="4" t="s">
        <v>81</v>
      </c>
      <c r="D18" s="4" t="s">
        <v>231</v>
      </c>
      <c r="E18" s="22">
        <v>599000</v>
      </c>
      <c r="F18" s="22">
        <v>86</v>
      </c>
      <c r="G18" s="22">
        <v>278</v>
      </c>
      <c r="H18" s="25">
        <v>223.2558139534884</v>
      </c>
      <c r="I18" s="22">
        <v>1334400</v>
      </c>
      <c r="J18" s="25">
        <v>-55.5</v>
      </c>
    </row>
    <row r="19" spans="1:10">
      <c r="A19" s="4" t="s">
        <v>818</v>
      </c>
      <c r="B19" s="4" t="s">
        <v>65</v>
      </c>
      <c r="C19" s="4" t="s">
        <v>109</v>
      </c>
      <c r="D19" s="4" t="s">
        <v>231</v>
      </c>
      <c r="E19" s="22">
        <v>830625</v>
      </c>
      <c r="F19" s="22">
        <v>99</v>
      </c>
      <c r="G19" s="22">
        <v>283</v>
      </c>
      <c r="H19" s="25">
        <v>185.8585858585859</v>
      </c>
      <c r="I19" s="22">
        <v>1542104</v>
      </c>
      <c r="J19" s="25">
        <v>-48.8</v>
      </c>
    </row>
    <row r="20" spans="1:10">
      <c r="A20" s="4" t="s">
        <v>848</v>
      </c>
      <c r="B20" s="4" t="s">
        <v>66</v>
      </c>
      <c r="C20" s="4" t="s">
        <v>115</v>
      </c>
      <c r="D20" s="4" t="s">
        <v>259</v>
      </c>
      <c r="E20" s="22">
        <v>600000</v>
      </c>
      <c r="F20" s="22">
        <v>138</v>
      </c>
      <c r="G20" s="22">
        <v>390</v>
      </c>
      <c r="H20" s="25">
        <v>182.6086956521739</v>
      </c>
      <c r="I20" s="22">
        <v>1092420</v>
      </c>
      <c r="J20" s="25">
        <v>-22.4</v>
      </c>
    </row>
    <row r="21" spans="1:10">
      <c r="A21" s="4" t="s">
        <v>724</v>
      </c>
      <c r="B21" s="4" t="s">
        <v>66</v>
      </c>
      <c r="C21" s="4" t="s">
        <v>77</v>
      </c>
      <c r="D21" s="4" t="s">
        <v>896</v>
      </c>
      <c r="E21" s="22">
        <v>975000</v>
      </c>
      <c r="F21" s="22">
        <v>144</v>
      </c>
      <c r="G21" s="22">
        <v>406</v>
      </c>
      <c r="H21" s="25">
        <v>181.9444444444445</v>
      </c>
      <c r="I21" s="22">
        <v>1768500</v>
      </c>
      <c r="J21" s="25">
        <v>-19</v>
      </c>
    </row>
    <row r="22" spans="1:10">
      <c r="A22" s="4" t="s">
        <v>796</v>
      </c>
      <c r="B22" s="4" t="s">
        <v>67</v>
      </c>
      <c r="C22" s="4" t="s">
        <v>797</v>
      </c>
      <c r="D22" s="4" t="s">
        <v>231</v>
      </c>
      <c r="E22" s="22">
        <v>875000</v>
      </c>
      <c r="F22" s="22">
        <v>130</v>
      </c>
      <c r="G22" s="22">
        <v>354</v>
      </c>
      <c r="H22" s="25">
        <v>172.3076923076923</v>
      </c>
      <c r="I22" s="22">
        <v>1512000</v>
      </c>
      <c r="J22" s="25">
        <v>-16.4</v>
      </c>
    </row>
    <row r="23" spans="1:10">
      <c r="A23" s="4" t="s">
        <v>844</v>
      </c>
      <c r="B23" s="4" t="s">
        <v>65</v>
      </c>
      <c r="C23" s="4" t="s">
        <v>81</v>
      </c>
      <c r="D23" s="4" t="s">
        <v>259</v>
      </c>
      <c r="E23" s="22">
        <v>665000</v>
      </c>
      <c r="F23" s="22">
        <v>111</v>
      </c>
      <c r="G23" s="22">
        <v>300</v>
      </c>
      <c r="H23" s="25">
        <v>170.2702702702703</v>
      </c>
      <c r="I23" s="22">
        <v>1134000</v>
      </c>
      <c r="J23" s="25">
        <v>-42.8</v>
      </c>
    </row>
    <row r="24" spans="1:10">
      <c r="A24" s="4" t="s">
        <v>712</v>
      </c>
      <c r="B24" s="4" t="s">
        <v>67</v>
      </c>
      <c r="C24" s="4" t="s">
        <v>119</v>
      </c>
      <c r="D24" s="4" t="s">
        <v>231</v>
      </c>
      <c r="E24" s="22">
        <v>1200000</v>
      </c>
      <c r="F24" s="22">
        <v>102</v>
      </c>
      <c r="G24" s="22">
        <v>265</v>
      </c>
      <c r="H24" s="25">
        <v>159.8039215686275</v>
      </c>
      <c r="I24" s="22">
        <v>1923400</v>
      </c>
      <c r="J24" s="25">
        <v>-34.4</v>
      </c>
    </row>
    <row r="25" spans="1:10">
      <c r="A25" s="4" t="s">
        <v>780</v>
      </c>
      <c r="B25" s="4" t="s">
        <v>66</v>
      </c>
      <c r="C25" s="4" t="s">
        <v>79</v>
      </c>
      <c r="D25" s="4" t="s">
        <v>231</v>
      </c>
      <c r="E25" s="22">
        <v>930000</v>
      </c>
      <c r="F25" s="22">
        <v>95</v>
      </c>
      <c r="G25" s="22">
        <v>245</v>
      </c>
      <c r="H25" s="25">
        <v>157.8947368421053</v>
      </c>
      <c r="I25" s="22">
        <v>1463850</v>
      </c>
      <c r="J25" s="25">
        <v>-46.6</v>
      </c>
    </row>
    <row r="26" spans="1:10">
      <c r="A26" s="4" t="s">
        <v>876</v>
      </c>
      <c r="B26" s="4" t="s">
        <v>65</v>
      </c>
      <c r="C26" s="4" t="s">
        <v>109</v>
      </c>
      <c r="D26" s="4" t="s">
        <v>231</v>
      </c>
      <c r="E26" s="22">
        <v>359775</v>
      </c>
      <c r="F26" s="22">
        <v>325</v>
      </c>
      <c r="G26" s="22">
        <v>832</v>
      </c>
      <c r="H26" s="25">
        <v>156</v>
      </c>
      <c r="I26" s="22">
        <v>561249</v>
      </c>
      <c r="J26" s="25">
        <v>67.90000000000001</v>
      </c>
    </row>
    <row r="27" spans="1:10">
      <c r="A27" s="4" t="s">
        <v>856</v>
      </c>
      <c r="B27" s="4" t="s">
        <v>68</v>
      </c>
      <c r="C27" s="4" t="s">
        <v>115</v>
      </c>
      <c r="D27" s="4" t="s">
        <v>231</v>
      </c>
      <c r="E27" s="22">
        <v>540000</v>
      </c>
      <c r="F27" s="22">
        <v>103</v>
      </c>
      <c r="G27" s="22">
        <v>260</v>
      </c>
      <c r="H27" s="25">
        <v>152.4271844660194</v>
      </c>
      <c r="I27" s="22">
        <v>827076</v>
      </c>
      <c r="J27" s="25">
        <v>-26.1</v>
      </c>
    </row>
    <row r="28" spans="1:10">
      <c r="A28" s="4" t="s">
        <v>872</v>
      </c>
      <c r="B28" s="4" t="s">
        <v>65</v>
      </c>
      <c r="C28" s="4" t="s">
        <v>109</v>
      </c>
      <c r="D28" s="4" t="s">
        <v>231</v>
      </c>
      <c r="E28" s="22">
        <v>369495</v>
      </c>
      <c r="F28" s="22">
        <v>345</v>
      </c>
      <c r="G28" s="22">
        <v>847</v>
      </c>
      <c r="H28" s="25">
        <v>145.5072463768116</v>
      </c>
      <c r="I28" s="22">
        <v>537642</v>
      </c>
      <c r="J28" s="25">
        <v>78.2</v>
      </c>
    </row>
    <row r="29" spans="1:10">
      <c r="A29" s="4" t="s">
        <v>776</v>
      </c>
      <c r="B29" s="4" t="s">
        <v>68</v>
      </c>
      <c r="C29" s="4" t="s">
        <v>118</v>
      </c>
      <c r="D29" s="4" t="s">
        <v>896</v>
      </c>
      <c r="E29" s="22">
        <v>799900</v>
      </c>
      <c r="F29" s="22">
        <v>72</v>
      </c>
      <c r="G29" s="22">
        <v>175</v>
      </c>
      <c r="H29" s="25">
        <v>143.0555555555555</v>
      </c>
      <c r="I29" s="22">
        <v>1147008</v>
      </c>
      <c r="J29" s="25">
        <v>-48.2</v>
      </c>
    </row>
    <row r="30" spans="1:10">
      <c r="A30" s="4" t="s">
        <v>763</v>
      </c>
      <c r="B30" s="4" t="s">
        <v>67</v>
      </c>
      <c r="C30" s="4" t="s">
        <v>764</v>
      </c>
      <c r="D30" s="4" t="s">
        <v>259</v>
      </c>
      <c r="E30" s="22">
        <v>985000</v>
      </c>
      <c r="F30" s="22">
        <v>146</v>
      </c>
      <c r="G30" s="22">
        <v>354</v>
      </c>
      <c r="H30" s="25">
        <v>142.4657534246575</v>
      </c>
      <c r="I30" s="22">
        <v>1404000</v>
      </c>
      <c r="J30" s="25">
        <v>-5.9</v>
      </c>
    </row>
    <row r="31" spans="1:10">
      <c r="A31" s="4" t="s">
        <v>677</v>
      </c>
      <c r="B31" s="4" t="s">
        <v>67</v>
      </c>
      <c r="C31" s="4" t="s">
        <v>119</v>
      </c>
      <c r="D31" s="4" t="s">
        <v>231</v>
      </c>
      <c r="E31" s="22">
        <v>1300000</v>
      </c>
      <c r="F31" s="22">
        <v>110</v>
      </c>
      <c r="G31" s="22">
        <v>265</v>
      </c>
      <c r="H31" s="25">
        <v>140.9090909090909</v>
      </c>
      <c r="I31" s="22">
        <v>1829000</v>
      </c>
      <c r="J31" s="25">
        <v>-28.9</v>
      </c>
    </row>
    <row r="32" spans="1:10">
      <c r="A32" s="4" t="s">
        <v>836</v>
      </c>
      <c r="B32" s="4" t="s">
        <v>68</v>
      </c>
      <c r="C32" s="4" t="s">
        <v>113</v>
      </c>
      <c r="D32" s="4" t="s">
        <v>231</v>
      </c>
      <c r="E32" s="22">
        <v>750000</v>
      </c>
      <c r="F32" s="22">
        <v>80</v>
      </c>
      <c r="G32" s="22">
        <v>192</v>
      </c>
      <c r="H32" s="25">
        <v>140</v>
      </c>
      <c r="I32" s="22">
        <v>1047312</v>
      </c>
      <c r="J32" s="25">
        <v>-42.2</v>
      </c>
    </row>
    <row r="33" spans="1:10">
      <c r="A33" s="4" t="s">
        <v>868</v>
      </c>
      <c r="B33" s="4" t="s">
        <v>65</v>
      </c>
      <c r="C33" s="4" t="s">
        <v>109</v>
      </c>
      <c r="D33" s="4" t="s">
        <v>231</v>
      </c>
      <c r="E33" s="22">
        <v>416975</v>
      </c>
      <c r="F33" s="22">
        <v>325</v>
      </c>
      <c r="G33" s="22">
        <v>769</v>
      </c>
      <c r="H33" s="25">
        <v>136.6153846153846</v>
      </c>
      <c r="I33" s="22">
        <v>569652</v>
      </c>
      <c r="J33" s="25">
        <v>67.90000000000001</v>
      </c>
    </row>
    <row r="34" spans="1:10">
      <c r="A34" s="4" t="s">
        <v>864</v>
      </c>
      <c r="B34" s="4" t="s">
        <v>65</v>
      </c>
      <c r="C34" s="4" t="s">
        <v>109</v>
      </c>
      <c r="D34" s="4" t="s">
        <v>231</v>
      </c>
      <c r="E34" s="22">
        <v>423040</v>
      </c>
      <c r="F34" s="22">
        <v>320</v>
      </c>
      <c r="G34" s="22">
        <v>757</v>
      </c>
      <c r="H34" s="25">
        <v>136.5625</v>
      </c>
      <c r="I34" s="22">
        <v>577714</v>
      </c>
      <c r="J34" s="25">
        <v>65.3</v>
      </c>
    </row>
    <row r="35" spans="1:10">
      <c r="A35" s="4" t="s">
        <v>792</v>
      </c>
      <c r="B35" s="4" t="s">
        <v>66</v>
      </c>
      <c r="C35" s="4" t="s">
        <v>79</v>
      </c>
      <c r="D35" s="4" t="s">
        <v>259</v>
      </c>
      <c r="E35" s="22">
        <v>890000</v>
      </c>
      <c r="F35" s="22">
        <v>132</v>
      </c>
      <c r="G35" s="22">
        <v>298</v>
      </c>
      <c r="H35" s="25">
        <v>125.7575757575758</v>
      </c>
      <c r="I35" s="22">
        <v>1120666</v>
      </c>
      <c r="J35" s="25">
        <v>-26.1</v>
      </c>
    </row>
    <row r="36" spans="1:10">
      <c r="A36" s="4" t="s">
        <v>1023</v>
      </c>
      <c r="B36" s="4" t="s">
        <v>66</v>
      </c>
      <c r="C36" s="4" t="s">
        <v>364</v>
      </c>
      <c r="D36" s="4" t="s">
        <v>901</v>
      </c>
      <c r="E36" s="22">
        <v>1300000</v>
      </c>
      <c r="F36" s="22">
        <v>94</v>
      </c>
      <c r="G36" s="22">
        <v>210</v>
      </c>
      <c r="H36" s="25">
        <v>123.4042553191489</v>
      </c>
      <c r="I36" s="22">
        <v>1600800</v>
      </c>
      <c r="J36" s="25">
        <v>-47.2</v>
      </c>
    </row>
    <row r="37" spans="1:10">
      <c r="A37" s="4" t="s">
        <v>1024</v>
      </c>
      <c r="B37" s="4" t="s">
        <v>65</v>
      </c>
      <c r="C37" s="4" t="s">
        <v>81</v>
      </c>
      <c r="D37" s="4" t="s">
        <v>901</v>
      </c>
      <c r="E37" s="22">
        <v>875000</v>
      </c>
      <c r="F37" s="22">
        <v>128</v>
      </c>
      <c r="G37" s="22">
        <v>280</v>
      </c>
      <c r="H37" s="25">
        <v>118.75</v>
      </c>
      <c r="I37" s="22">
        <v>1039680</v>
      </c>
      <c r="J37" s="25">
        <v>-33.9</v>
      </c>
    </row>
    <row r="38" spans="1:10">
      <c r="A38" s="4" t="s">
        <v>728</v>
      </c>
      <c r="B38" s="4" t="s">
        <v>65</v>
      </c>
      <c r="C38" s="4" t="s">
        <v>109</v>
      </c>
      <c r="D38" s="4" t="s">
        <v>231</v>
      </c>
      <c r="E38" s="22">
        <v>1098960</v>
      </c>
      <c r="F38" s="22">
        <v>131</v>
      </c>
      <c r="G38" s="22">
        <v>283</v>
      </c>
      <c r="H38" s="25">
        <v>116.0305343511451</v>
      </c>
      <c r="I38" s="22">
        <v>1273912</v>
      </c>
      <c r="J38" s="25">
        <v>-32.3</v>
      </c>
    </row>
    <row r="39" spans="1:10">
      <c r="A39" s="4" t="s">
        <v>759</v>
      </c>
      <c r="B39" s="4" t="s">
        <v>65</v>
      </c>
      <c r="C39" s="4" t="s">
        <v>116</v>
      </c>
      <c r="D39" s="4" t="s">
        <v>231</v>
      </c>
      <c r="E39" s="22">
        <v>990000</v>
      </c>
      <c r="F39" s="22">
        <v>157</v>
      </c>
      <c r="G39" s="22">
        <v>329</v>
      </c>
      <c r="H39" s="25">
        <v>109.5541401273885</v>
      </c>
      <c r="I39" s="22">
        <v>1087900</v>
      </c>
      <c r="J39" s="25">
        <v>-19.2</v>
      </c>
    </row>
    <row r="40" spans="1:10">
      <c r="A40" s="4" t="s">
        <v>784</v>
      </c>
      <c r="B40" s="4" t="s">
        <v>65</v>
      </c>
      <c r="C40" s="4" t="s">
        <v>81</v>
      </c>
      <c r="D40" s="4" t="s">
        <v>259</v>
      </c>
      <c r="E40" s="22">
        <v>929000</v>
      </c>
      <c r="F40" s="22">
        <v>133</v>
      </c>
      <c r="G40" s="22">
        <v>276</v>
      </c>
      <c r="H40" s="25">
        <v>107.5187969924812</v>
      </c>
      <c r="I40" s="22">
        <v>1001000</v>
      </c>
      <c r="J40" s="25">
        <v>-31.4</v>
      </c>
    </row>
    <row r="41" spans="1:10">
      <c r="A41" s="4" t="s">
        <v>661</v>
      </c>
      <c r="B41" s="4" t="s">
        <v>66</v>
      </c>
      <c r="C41" s="4" t="s">
        <v>79</v>
      </c>
      <c r="D41" s="4" t="s">
        <v>231</v>
      </c>
      <c r="E41" s="22">
        <v>1350000</v>
      </c>
      <c r="F41" s="22">
        <v>100</v>
      </c>
      <c r="G41" s="22">
        <v>206</v>
      </c>
      <c r="H41" s="25">
        <v>106</v>
      </c>
      <c r="I41" s="22">
        <v>1431424</v>
      </c>
      <c r="J41" s="25">
        <v>-44</v>
      </c>
    </row>
    <row r="42" spans="1:10">
      <c r="A42" s="4" t="s">
        <v>776</v>
      </c>
      <c r="B42" s="4" t="s">
        <v>68</v>
      </c>
      <c r="C42" s="4" t="s">
        <v>118</v>
      </c>
      <c r="D42" s="4" t="s">
        <v>231</v>
      </c>
      <c r="E42" s="22">
        <v>949900</v>
      </c>
      <c r="F42" s="22">
        <v>85</v>
      </c>
      <c r="G42" s="22">
        <v>175</v>
      </c>
      <c r="H42" s="25">
        <v>105.8823529411764</v>
      </c>
      <c r="I42" s="22">
        <v>1002240</v>
      </c>
      <c r="J42" s="25">
        <v>-38.5</v>
      </c>
    </row>
    <row r="43" spans="1:10">
      <c r="A43" s="4" t="s">
        <v>708</v>
      </c>
      <c r="B43" s="4" t="s">
        <v>65</v>
      </c>
      <c r="C43" s="4" t="s">
        <v>118</v>
      </c>
      <c r="D43" s="4" t="s">
        <v>231</v>
      </c>
      <c r="E43" s="22">
        <v>1200000</v>
      </c>
      <c r="F43" s="22">
        <v>144</v>
      </c>
      <c r="G43" s="22">
        <v>285</v>
      </c>
      <c r="H43" s="25">
        <v>97.91666666666667</v>
      </c>
      <c r="I43" s="22">
        <v>1174953</v>
      </c>
      <c r="J43" s="25">
        <v>-25.6</v>
      </c>
    </row>
    <row r="44" spans="1:10">
      <c r="A44" s="4" t="s">
        <v>840</v>
      </c>
      <c r="B44" s="4" t="s">
        <v>68</v>
      </c>
      <c r="C44" s="4" t="s">
        <v>81</v>
      </c>
      <c r="D44" s="4" t="s">
        <v>259</v>
      </c>
      <c r="E44" s="22">
        <v>699000</v>
      </c>
      <c r="F44" s="22">
        <v>101</v>
      </c>
      <c r="G44" s="22">
        <v>199</v>
      </c>
      <c r="H44" s="25">
        <v>97.02970297029702</v>
      </c>
      <c r="I44" s="22">
        <v>681100</v>
      </c>
      <c r="J44" s="25">
        <v>-27.5</v>
      </c>
    </row>
    <row r="45" spans="1:10">
      <c r="A45" s="4" t="s">
        <v>634</v>
      </c>
      <c r="B45" s="4" t="s">
        <v>66</v>
      </c>
      <c r="C45" s="4" t="s">
        <v>76</v>
      </c>
      <c r="D45" s="4" t="s">
        <v>259</v>
      </c>
      <c r="E45" s="22">
        <v>1490000</v>
      </c>
      <c r="F45" s="22">
        <v>214</v>
      </c>
      <c r="G45" s="22">
        <v>421</v>
      </c>
      <c r="H45" s="25">
        <v>96.72897196261682</v>
      </c>
      <c r="I45" s="22">
        <v>1444239</v>
      </c>
      <c r="J45" s="25">
        <v>19.7</v>
      </c>
    </row>
    <row r="46" spans="1:10">
      <c r="A46" s="4" t="s">
        <v>882</v>
      </c>
      <c r="B46" s="4" t="s">
        <v>65</v>
      </c>
      <c r="C46" s="4" t="s">
        <v>59</v>
      </c>
      <c r="D46" s="4" t="s">
        <v>231</v>
      </c>
      <c r="E46" s="22">
        <v>315000</v>
      </c>
      <c r="F46" s="22">
        <v>163</v>
      </c>
      <c r="G46" s="22">
        <v>319</v>
      </c>
      <c r="H46" s="25">
        <v>95.70552147239265</v>
      </c>
      <c r="I46" s="22">
        <v>302328</v>
      </c>
      <c r="J46" s="25">
        <v>-16</v>
      </c>
    </row>
    <row r="47" spans="1:10">
      <c r="A47" s="4" t="s">
        <v>591</v>
      </c>
      <c r="B47" s="4" t="s">
        <v>66</v>
      </c>
      <c r="C47" s="4" t="s">
        <v>79</v>
      </c>
      <c r="D47" s="4" t="s">
        <v>231</v>
      </c>
      <c r="E47" s="22">
        <v>1750000</v>
      </c>
      <c r="F47" s="22">
        <v>86</v>
      </c>
      <c r="G47" s="22">
        <v>166</v>
      </c>
      <c r="H47" s="25">
        <v>93.0232558139535</v>
      </c>
      <c r="I47" s="22">
        <v>1620480</v>
      </c>
      <c r="J47" s="25">
        <v>-51.6</v>
      </c>
    </row>
    <row r="48" spans="1:10">
      <c r="A48" s="4" t="s">
        <v>552</v>
      </c>
      <c r="B48" s="4" t="s">
        <v>67</v>
      </c>
      <c r="C48" s="4" t="s">
        <v>553</v>
      </c>
      <c r="D48" s="4" t="s">
        <v>231</v>
      </c>
      <c r="E48" s="22">
        <v>1900000</v>
      </c>
      <c r="F48" s="22">
        <v>115</v>
      </c>
      <c r="G48" s="22">
        <v>220</v>
      </c>
      <c r="H48" s="25">
        <v>91.30434782608697</v>
      </c>
      <c r="I48" s="22">
        <v>1732500</v>
      </c>
      <c r="J48" s="25">
        <v>-25.7</v>
      </c>
    </row>
    <row r="49" spans="1:10">
      <c r="A49" s="4" t="s">
        <v>768</v>
      </c>
      <c r="B49" s="4" t="s">
        <v>66</v>
      </c>
      <c r="C49" s="4" t="s">
        <v>80</v>
      </c>
      <c r="D49" s="4" t="s">
        <v>259</v>
      </c>
      <c r="E49" s="22">
        <v>954000</v>
      </c>
      <c r="F49" s="22">
        <v>150</v>
      </c>
      <c r="G49" s="22">
        <v>285</v>
      </c>
      <c r="H49" s="25">
        <v>89.99999999999999</v>
      </c>
      <c r="I49" s="22">
        <v>860625</v>
      </c>
      <c r="J49" s="25">
        <v>-16.1</v>
      </c>
    </row>
    <row r="50" spans="1:10">
      <c r="A50" s="4" t="s">
        <v>814</v>
      </c>
      <c r="B50" s="4" t="s">
        <v>68</v>
      </c>
      <c r="C50" s="4" t="s">
        <v>116</v>
      </c>
      <c r="D50" s="4" t="s">
        <v>231</v>
      </c>
      <c r="E50" s="22">
        <v>849000</v>
      </c>
      <c r="F50" s="22">
        <v>115</v>
      </c>
      <c r="G50" s="22">
        <v>217</v>
      </c>
      <c r="H50" s="25">
        <v>88.69565217391305</v>
      </c>
      <c r="I50" s="22">
        <v>752760</v>
      </c>
      <c r="J50" s="25">
        <v>-17</v>
      </c>
    </row>
    <row r="51" spans="1:10">
      <c r="A51" s="4" t="s">
        <v>544</v>
      </c>
      <c r="B51" s="4" t="s">
        <v>67</v>
      </c>
      <c r="C51" s="4" t="s">
        <v>114</v>
      </c>
      <c r="D51" s="4" t="s">
        <v>259</v>
      </c>
      <c r="E51" s="22">
        <v>1950000</v>
      </c>
      <c r="F51" s="22">
        <v>116</v>
      </c>
      <c r="G51" s="22">
        <v>217</v>
      </c>
      <c r="H51" s="25">
        <v>87.06896551724137</v>
      </c>
      <c r="I51" s="22">
        <v>1704375</v>
      </c>
      <c r="J51" s="25">
        <v>-25.5</v>
      </c>
    </row>
    <row r="52" spans="1:10">
      <c r="A52" s="4" t="s">
        <v>801</v>
      </c>
      <c r="B52" s="4" t="s">
        <v>67</v>
      </c>
      <c r="C52" s="4" t="s">
        <v>83</v>
      </c>
      <c r="D52" s="4" t="s">
        <v>231</v>
      </c>
      <c r="E52" s="22">
        <v>850000</v>
      </c>
      <c r="F52" s="22">
        <v>126</v>
      </c>
      <c r="G52" s="22">
        <v>231</v>
      </c>
      <c r="H52" s="25">
        <v>83.33333333333333</v>
      </c>
      <c r="I52" s="22">
        <v>708750</v>
      </c>
      <c r="J52" s="25">
        <v>-18.8</v>
      </c>
    </row>
    <row r="53" spans="1:10">
      <c r="A53" s="4" t="s">
        <v>681</v>
      </c>
      <c r="B53" s="4" t="s">
        <v>66</v>
      </c>
      <c r="C53" s="4" t="s">
        <v>79</v>
      </c>
      <c r="D53" s="4" t="s">
        <v>231</v>
      </c>
      <c r="E53" s="22">
        <v>1299000</v>
      </c>
      <c r="F53" s="22">
        <v>137</v>
      </c>
      <c r="G53" s="22">
        <v>249</v>
      </c>
      <c r="H53" s="25">
        <v>81.75182481751824</v>
      </c>
      <c r="I53" s="22">
        <v>1060192</v>
      </c>
      <c r="J53" s="25">
        <v>-23.1</v>
      </c>
    </row>
    <row r="54" spans="1:10">
      <c r="A54" s="4" t="s">
        <v>669</v>
      </c>
      <c r="B54" s="4" t="s">
        <v>66</v>
      </c>
      <c r="C54" s="4" t="s">
        <v>79</v>
      </c>
      <c r="D54" s="4" t="s">
        <v>231</v>
      </c>
      <c r="E54" s="22">
        <v>1349999</v>
      </c>
      <c r="F54" s="22">
        <v>133</v>
      </c>
      <c r="G54" s="22">
        <v>240</v>
      </c>
      <c r="H54" s="25">
        <v>80.45112781954886</v>
      </c>
      <c r="I54" s="22">
        <v>1083589</v>
      </c>
      <c r="J54" s="25">
        <v>-25.3</v>
      </c>
    </row>
    <row r="55" spans="1:10">
      <c r="A55" s="4" t="s">
        <v>1025</v>
      </c>
      <c r="B55" s="4" t="s">
        <v>65</v>
      </c>
      <c r="C55" s="4" t="s">
        <v>82</v>
      </c>
      <c r="D55" s="4" t="s">
        <v>896</v>
      </c>
      <c r="E55" s="22">
        <v>975000</v>
      </c>
      <c r="F55" s="22">
        <v>139</v>
      </c>
      <c r="G55" s="22">
        <v>249</v>
      </c>
      <c r="H55" s="25">
        <v>79.13669064748201</v>
      </c>
      <c r="I55" s="22">
        <v>770000</v>
      </c>
      <c r="J55" s="25">
        <v>-28.1</v>
      </c>
    </row>
    <row r="56" spans="1:10">
      <c r="A56" s="4" t="s">
        <v>772</v>
      </c>
      <c r="B56" s="4" t="s">
        <v>66</v>
      </c>
      <c r="C56" s="4" t="s">
        <v>82</v>
      </c>
      <c r="D56" s="4" t="s">
        <v>378</v>
      </c>
      <c r="E56" s="22">
        <v>950000</v>
      </c>
      <c r="F56" s="22">
        <v>134</v>
      </c>
      <c r="G56" s="22">
        <v>240</v>
      </c>
      <c r="H56" s="25">
        <v>79.10447761194031</v>
      </c>
      <c r="I56" s="22">
        <v>749420</v>
      </c>
      <c r="J56" s="25">
        <v>-24.7</v>
      </c>
    </row>
    <row r="57" spans="1:10">
      <c r="A57" s="4" t="s">
        <v>612</v>
      </c>
      <c r="B57" s="4" t="s">
        <v>65</v>
      </c>
      <c r="C57" s="4" t="s">
        <v>109</v>
      </c>
      <c r="D57" s="4" t="s">
        <v>231</v>
      </c>
      <c r="E57" s="22">
        <v>1600000</v>
      </c>
      <c r="F57" s="22">
        <v>129</v>
      </c>
      <c r="G57" s="22">
        <v>230</v>
      </c>
      <c r="H57" s="25">
        <v>78.29457364341086</v>
      </c>
      <c r="I57" s="22">
        <v>1252198</v>
      </c>
      <c r="J57" s="25">
        <v>-33.3</v>
      </c>
    </row>
    <row r="58" spans="1:10">
      <c r="A58" s="4" t="s">
        <v>566</v>
      </c>
      <c r="B58" s="4" t="s">
        <v>65</v>
      </c>
      <c r="C58" s="4" t="s">
        <v>115</v>
      </c>
      <c r="D58" s="4" t="s">
        <v>231</v>
      </c>
      <c r="E58" s="22">
        <v>1890000</v>
      </c>
      <c r="F58" s="22">
        <v>110</v>
      </c>
      <c r="G58" s="22">
        <v>194</v>
      </c>
      <c r="H58" s="25">
        <v>76.36363636363637</v>
      </c>
      <c r="I58" s="22">
        <v>1437324</v>
      </c>
      <c r="J58" s="25">
        <v>-42.9</v>
      </c>
    </row>
    <row r="59" spans="1:10">
      <c r="A59" s="4" t="s">
        <v>860</v>
      </c>
      <c r="B59" s="4" t="s">
        <v>65</v>
      </c>
      <c r="C59" s="4" t="s">
        <v>59</v>
      </c>
      <c r="D59" s="4" t="s">
        <v>231</v>
      </c>
      <c r="E59" s="22">
        <v>350000</v>
      </c>
      <c r="F59" s="22">
        <v>181</v>
      </c>
      <c r="G59" s="22">
        <v>319</v>
      </c>
      <c r="H59" s="25">
        <v>76.24309392265194</v>
      </c>
      <c r="I59" s="22">
        <v>267444</v>
      </c>
      <c r="J59" s="25">
        <v>-6.7</v>
      </c>
    </row>
    <row r="60" spans="1:10">
      <c r="A60" s="4" t="s">
        <v>432</v>
      </c>
      <c r="B60" s="4" t="s">
        <v>66</v>
      </c>
      <c r="C60" s="4" t="s">
        <v>113</v>
      </c>
      <c r="D60" s="4" t="s">
        <v>231</v>
      </c>
      <c r="E60" s="22">
        <v>2750000</v>
      </c>
      <c r="F60" s="22">
        <v>68</v>
      </c>
      <c r="G60" s="22">
        <v>119</v>
      </c>
      <c r="H60" s="25">
        <v>75</v>
      </c>
      <c r="I60" s="22">
        <v>2049996</v>
      </c>
      <c r="J60" s="25">
        <v>-61.7</v>
      </c>
    </row>
    <row r="61" spans="1:10">
      <c r="A61" s="4" t="s">
        <v>1026</v>
      </c>
      <c r="B61" s="4" t="s">
        <v>70</v>
      </c>
      <c r="C61" s="4" t="s">
        <v>79</v>
      </c>
      <c r="D61" s="4" t="s">
        <v>901</v>
      </c>
      <c r="E61" s="22">
        <v>750000</v>
      </c>
      <c r="F61" s="22">
        <v>120</v>
      </c>
      <c r="G61" s="22">
        <v>209</v>
      </c>
      <c r="H61" s="25">
        <v>74.16666666666667</v>
      </c>
      <c r="I61" s="22">
        <v>556072</v>
      </c>
      <c r="J61" s="25">
        <v>-50.9</v>
      </c>
    </row>
    <row r="62" spans="1:10">
      <c r="A62" s="4" t="s">
        <v>515</v>
      </c>
      <c r="B62" s="4" t="s">
        <v>66</v>
      </c>
      <c r="C62" s="4" t="s">
        <v>77</v>
      </c>
      <c r="D62" s="4" t="s">
        <v>896</v>
      </c>
      <c r="E62" s="22">
        <v>1900000</v>
      </c>
      <c r="F62" s="22">
        <v>188</v>
      </c>
      <c r="G62" s="22">
        <v>327</v>
      </c>
      <c r="H62" s="25">
        <v>73.93617021276594</v>
      </c>
      <c r="I62" s="22">
        <v>1407514</v>
      </c>
      <c r="J62" s="25">
        <v>5.2</v>
      </c>
    </row>
    <row r="63" spans="1:10">
      <c r="A63" s="4" t="s">
        <v>579</v>
      </c>
      <c r="B63" s="4" t="s">
        <v>67</v>
      </c>
      <c r="C63" s="4" t="s">
        <v>112</v>
      </c>
      <c r="D63" s="4" t="s">
        <v>231</v>
      </c>
      <c r="E63" s="22">
        <v>1800000</v>
      </c>
      <c r="F63" s="22">
        <v>153</v>
      </c>
      <c r="G63" s="22">
        <v>263</v>
      </c>
      <c r="H63" s="25">
        <v>71.89542483660132</v>
      </c>
      <c r="I63" s="22">
        <v>1290960</v>
      </c>
      <c r="J63" s="25">
        <v>-1.1</v>
      </c>
    </row>
    <row r="64" spans="1:10">
      <c r="A64" s="4" t="s">
        <v>642</v>
      </c>
      <c r="B64" s="4" t="s">
        <v>66</v>
      </c>
      <c r="C64" s="4" t="s">
        <v>643</v>
      </c>
      <c r="D64" s="4" t="s">
        <v>259</v>
      </c>
      <c r="E64" s="22">
        <v>1400000</v>
      </c>
      <c r="F64" s="22">
        <v>153</v>
      </c>
      <c r="G64" s="22">
        <v>262</v>
      </c>
      <c r="H64" s="25">
        <v>71.24183006535947</v>
      </c>
      <c r="I64" s="22">
        <v>999203</v>
      </c>
      <c r="J64" s="25">
        <v>-14.4</v>
      </c>
    </row>
    <row r="65" spans="1:10">
      <c r="A65" s="4" t="s">
        <v>616</v>
      </c>
      <c r="B65" s="4" t="s">
        <v>67</v>
      </c>
      <c r="C65" s="4" t="s">
        <v>83</v>
      </c>
      <c r="D65" s="4" t="s">
        <v>259</v>
      </c>
      <c r="E65" s="22">
        <v>1400000</v>
      </c>
      <c r="F65" s="22">
        <v>83</v>
      </c>
      <c r="G65" s="22">
        <v>142</v>
      </c>
      <c r="H65" s="25">
        <v>71.08433734939759</v>
      </c>
      <c r="I65" s="22">
        <v>995625</v>
      </c>
      <c r="J65" s="25">
        <v>-46.5</v>
      </c>
    </row>
    <row r="66" spans="1:10">
      <c r="A66" s="4" t="s">
        <v>536</v>
      </c>
      <c r="B66" s="4" t="s">
        <v>65</v>
      </c>
      <c r="C66" s="4" t="s">
        <v>113</v>
      </c>
      <c r="D66" s="4" t="s">
        <v>231</v>
      </c>
      <c r="E66" s="22">
        <v>1990000</v>
      </c>
      <c r="F66" s="22">
        <v>110</v>
      </c>
      <c r="G66" s="22">
        <v>188</v>
      </c>
      <c r="H66" s="25">
        <v>70.90909090909091</v>
      </c>
      <c r="I66" s="22">
        <v>1411800</v>
      </c>
      <c r="J66" s="25">
        <v>-43.2</v>
      </c>
    </row>
    <row r="67" spans="1:10">
      <c r="A67" s="4" t="s">
        <v>601</v>
      </c>
      <c r="B67" s="4" t="s">
        <v>65</v>
      </c>
      <c r="C67" s="4" t="s">
        <v>79</v>
      </c>
      <c r="D67" s="4" t="s">
        <v>231</v>
      </c>
      <c r="E67" s="22">
        <v>1700000</v>
      </c>
      <c r="F67" s="22">
        <v>133</v>
      </c>
      <c r="G67" s="22">
        <v>220</v>
      </c>
      <c r="H67" s="25">
        <v>65.41353383458646</v>
      </c>
      <c r="I67" s="22">
        <v>1110903</v>
      </c>
      <c r="J67" s="25">
        <v>-31.2</v>
      </c>
    </row>
    <row r="68" spans="1:10">
      <c r="A68" s="4" t="s">
        <v>587</v>
      </c>
      <c r="B68" s="4" t="s">
        <v>66</v>
      </c>
      <c r="C68" s="4" t="s">
        <v>76</v>
      </c>
      <c r="D68" s="4" t="s">
        <v>231</v>
      </c>
      <c r="E68" s="22">
        <v>1799000</v>
      </c>
      <c r="F68" s="22">
        <v>258</v>
      </c>
      <c r="G68" s="22">
        <v>421</v>
      </c>
      <c r="H68" s="25">
        <v>63.17829457364341</v>
      </c>
      <c r="I68" s="22">
        <v>1137251</v>
      </c>
      <c r="J68" s="25">
        <v>44.5</v>
      </c>
    </row>
    <row r="69" spans="1:10">
      <c r="A69" s="4" t="s">
        <v>622</v>
      </c>
      <c r="B69" s="4" t="s">
        <v>66</v>
      </c>
      <c r="C69" s="4" t="s">
        <v>110</v>
      </c>
      <c r="D69" s="4" t="s">
        <v>231</v>
      </c>
      <c r="E69" s="22">
        <v>1500000</v>
      </c>
      <c r="F69" s="22">
        <v>157</v>
      </c>
      <c r="G69" s="22">
        <v>255</v>
      </c>
      <c r="H69" s="25">
        <v>62.4203821656051</v>
      </c>
      <c r="I69" s="22">
        <v>937174</v>
      </c>
      <c r="J69" s="25">
        <v>-12.1</v>
      </c>
    </row>
    <row r="70" spans="1:10">
      <c r="A70" s="4" t="s">
        <v>622</v>
      </c>
      <c r="B70" s="4" t="s">
        <v>66</v>
      </c>
      <c r="C70" s="4" t="s">
        <v>110</v>
      </c>
      <c r="D70" s="4" t="s">
        <v>231</v>
      </c>
      <c r="E70" s="22">
        <v>1500000</v>
      </c>
      <c r="F70" s="22">
        <v>157</v>
      </c>
      <c r="G70" s="22">
        <v>255</v>
      </c>
      <c r="H70" s="25">
        <v>62.4203821656051</v>
      </c>
      <c r="I70" s="22">
        <v>937174</v>
      </c>
      <c r="J70" s="25">
        <v>-12.1</v>
      </c>
    </row>
    <row r="71" spans="1:10">
      <c r="A71" s="4" t="s">
        <v>515</v>
      </c>
      <c r="B71" s="4" t="s">
        <v>66</v>
      </c>
      <c r="C71" s="4" t="s">
        <v>77</v>
      </c>
      <c r="D71" s="4" t="s">
        <v>231</v>
      </c>
      <c r="E71" s="22">
        <v>2049000</v>
      </c>
      <c r="F71" s="22">
        <v>202</v>
      </c>
      <c r="G71" s="22">
        <v>327</v>
      </c>
      <c r="H71" s="25">
        <v>61.88118811881189</v>
      </c>
      <c r="I71" s="22">
        <v>1265750</v>
      </c>
      <c r="J71" s="25">
        <v>13.4</v>
      </c>
    </row>
    <row r="72" spans="1:10">
      <c r="A72" s="4" t="s">
        <v>805</v>
      </c>
      <c r="B72" s="4" t="s">
        <v>67</v>
      </c>
      <c r="C72" s="4" t="s">
        <v>116</v>
      </c>
      <c r="D72" s="4" t="s">
        <v>231</v>
      </c>
      <c r="E72" s="22">
        <v>850000</v>
      </c>
      <c r="F72" s="22">
        <v>425</v>
      </c>
      <c r="G72" s="22">
        <v>680</v>
      </c>
      <c r="H72" s="25">
        <v>60.00000000000001</v>
      </c>
      <c r="I72" s="22">
        <v>510000</v>
      </c>
      <c r="J72" s="25">
        <v>174.1</v>
      </c>
    </row>
    <row r="73" spans="1:10">
      <c r="A73" s="4" t="s">
        <v>507</v>
      </c>
      <c r="B73" s="4" t="s">
        <v>66</v>
      </c>
      <c r="C73" s="4" t="s">
        <v>77</v>
      </c>
      <c r="D73" s="4" t="s">
        <v>231</v>
      </c>
      <c r="E73" s="22">
        <v>2079000</v>
      </c>
      <c r="F73" s="22">
        <v>205</v>
      </c>
      <c r="G73" s="22">
        <v>327</v>
      </c>
      <c r="H73" s="25">
        <v>59.51219512195123</v>
      </c>
      <c r="I73" s="22">
        <v>1235372</v>
      </c>
      <c r="J73" s="25">
        <v>15.1</v>
      </c>
    </row>
    <row r="74" spans="1:10">
      <c r="A74" s="4" t="s">
        <v>574</v>
      </c>
      <c r="B74" s="4" t="s">
        <v>66</v>
      </c>
      <c r="C74" s="4" t="s">
        <v>575</v>
      </c>
      <c r="D74" s="4" t="s">
        <v>259</v>
      </c>
      <c r="E74" s="22">
        <v>1800000</v>
      </c>
      <c r="F74" s="22">
        <v>134</v>
      </c>
      <c r="G74" s="22">
        <v>213</v>
      </c>
      <c r="H74" s="25">
        <v>58.95522388059702</v>
      </c>
      <c r="I74" s="22">
        <v>1058758</v>
      </c>
      <c r="J74" s="25">
        <v>-24.7</v>
      </c>
    </row>
    <row r="75" spans="1:10">
      <c r="A75" s="4" t="s">
        <v>1027</v>
      </c>
      <c r="B75" s="4" t="s">
        <v>65</v>
      </c>
      <c r="C75" s="4" t="s">
        <v>81</v>
      </c>
      <c r="D75" s="4" t="s">
        <v>901</v>
      </c>
      <c r="E75" s="22">
        <v>2350000</v>
      </c>
      <c r="F75" s="22">
        <v>84</v>
      </c>
      <c r="G75" s="22">
        <v>132</v>
      </c>
      <c r="H75" s="25">
        <v>57.14285714285714</v>
      </c>
      <c r="I75" s="22">
        <v>1338144</v>
      </c>
      <c r="J75" s="25">
        <v>-56.5</v>
      </c>
    </row>
    <row r="76" spans="1:10">
      <c r="A76" s="4" t="s">
        <v>890</v>
      </c>
      <c r="B76" s="4" t="s">
        <v>69</v>
      </c>
      <c r="C76" s="4" t="s">
        <v>891</v>
      </c>
      <c r="D76" s="4" t="s">
        <v>231</v>
      </c>
      <c r="E76" s="22">
        <v>170000</v>
      </c>
      <c r="F76" s="22">
        <v>424</v>
      </c>
      <c r="G76" s="22">
        <v>662</v>
      </c>
      <c r="H76" s="25">
        <v>56.13207547169812</v>
      </c>
      <c r="I76" s="22">
        <v>95438</v>
      </c>
      <c r="J76" s="25">
        <v>113.4</v>
      </c>
    </row>
    <row r="77" spans="1:10">
      <c r="A77" s="4" t="s">
        <v>1028</v>
      </c>
      <c r="B77" s="4" t="s">
        <v>68</v>
      </c>
      <c r="C77" s="4" t="s">
        <v>81</v>
      </c>
      <c r="D77" s="4" t="s">
        <v>901</v>
      </c>
      <c r="E77" s="22">
        <v>1100000</v>
      </c>
      <c r="F77" s="22">
        <v>100</v>
      </c>
      <c r="G77" s="22">
        <v>156</v>
      </c>
      <c r="H77" s="25">
        <v>56.00000000000001</v>
      </c>
      <c r="I77" s="22">
        <v>613424</v>
      </c>
      <c r="J77" s="25">
        <v>-27.6</v>
      </c>
    </row>
    <row r="78" spans="1:10">
      <c r="A78" s="4" t="s">
        <v>809</v>
      </c>
      <c r="B78" s="4" t="s">
        <v>68</v>
      </c>
      <c r="C78" s="4" t="s">
        <v>81</v>
      </c>
      <c r="D78" s="4" t="s">
        <v>810</v>
      </c>
      <c r="E78" s="22">
        <v>850000</v>
      </c>
      <c r="F78" s="22">
        <v>136</v>
      </c>
      <c r="G78" s="22">
        <v>210</v>
      </c>
      <c r="H78" s="25">
        <v>54.41176470588236</v>
      </c>
      <c r="I78" s="22">
        <v>462500</v>
      </c>
      <c r="J78" s="25">
        <v>-1.9</v>
      </c>
    </row>
    <row r="79" spans="1:10">
      <c r="A79" s="4" t="s">
        <v>626</v>
      </c>
      <c r="B79" s="4" t="s">
        <v>66</v>
      </c>
      <c r="C79" s="4" t="s">
        <v>79</v>
      </c>
      <c r="D79" s="4" t="s">
        <v>231</v>
      </c>
      <c r="E79" s="22">
        <v>1500000</v>
      </c>
      <c r="F79" s="22">
        <v>164</v>
      </c>
      <c r="G79" s="22">
        <v>253</v>
      </c>
      <c r="H79" s="25">
        <v>54.26829268292683</v>
      </c>
      <c r="I79" s="22">
        <v>815863</v>
      </c>
      <c r="J79" s="25">
        <v>-8.300000000000001</v>
      </c>
    </row>
    <row r="80" spans="1:10">
      <c r="A80" s="4" t="s">
        <v>1029</v>
      </c>
      <c r="B80" s="4" t="s">
        <v>65</v>
      </c>
      <c r="C80" s="4" t="s">
        <v>82</v>
      </c>
      <c r="D80" s="4" t="s">
        <v>901</v>
      </c>
      <c r="E80" s="22">
        <v>1900000</v>
      </c>
      <c r="F80" s="22">
        <v>92</v>
      </c>
      <c r="G80" s="22">
        <v>140</v>
      </c>
      <c r="H80" s="25">
        <v>52.17391304347827</v>
      </c>
      <c r="I80" s="22">
        <v>989472</v>
      </c>
      <c r="J80" s="25">
        <v>-52.4</v>
      </c>
    </row>
    <row r="81" spans="1:10">
      <c r="A81" s="4" t="s">
        <v>570</v>
      </c>
      <c r="B81" s="4" t="s">
        <v>66</v>
      </c>
      <c r="C81" s="4" t="s">
        <v>81</v>
      </c>
      <c r="D81" s="4" t="s">
        <v>1030</v>
      </c>
      <c r="E81" s="22">
        <v>1750000</v>
      </c>
      <c r="F81" s="22">
        <v>122</v>
      </c>
      <c r="G81" s="22">
        <v>183</v>
      </c>
      <c r="H81" s="25">
        <v>50</v>
      </c>
      <c r="I81" s="22">
        <v>872239</v>
      </c>
      <c r="J81" s="25">
        <v>-31.4</v>
      </c>
    </row>
    <row r="82" spans="1:10">
      <c r="A82" s="4" t="s">
        <v>616</v>
      </c>
      <c r="B82" s="4" t="s">
        <v>67</v>
      </c>
      <c r="C82" s="4" t="s">
        <v>83</v>
      </c>
      <c r="D82" s="4" t="s">
        <v>231</v>
      </c>
      <c r="E82" s="22">
        <v>1600000</v>
      </c>
      <c r="F82" s="22">
        <v>95</v>
      </c>
      <c r="G82" s="22">
        <v>142</v>
      </c>
      <c r="H82" s="25">
        <v>49.47368421052632</v>
      </c>
      <c r="I82" s="22">
        <v>793125</v>
      </c>
      <c r="J82" s="25">
        <v>-38.8</v>
      </c>
    </row>
    <row r="83" spans="1:10">
      <c r="A83" s="4" t="s">
        <v>1031</v>
      </c>
      <c r="B83" s="4" t="s">
        <v>66</v>
      </c>
      <c r="C83" s="4" t="s">
        <v>78</v>
      </c>
      <c r="D83" s="4" t="s">
        <v>901</v>
      </c>
      <c r="E83" s="22">
        <v>2399000</v>
      </c>
      <c r="F83" s="22">
        <v>184</v>
      </c>
      <c r="G83" s="22">
        <v>273</v>
      </c>
      <c r="H83" s="25">
        <v>48.36956521739131</v>
      </c>
      <c r="I83" s="22">
        <v>1157979</v>
      </c>
      <c r="J83" s="25">
        <v>3.3</v>
      </c>
    </row>
    <row r="84" spans="1:10">
      <c r="A84" s="4" t="s">
        <v>570</v>
      </c>
      <c r="B84" s="4" t="s">
        <v>65</v>
      </c>
      <c r="C84" s="4" t="s">
        <v>81</v>
      </c>
      <c r="D84" s="4" t="s">
        <v>231</v>
      </c>
      <c r="E84" s="22">
        <v>1850000</v>
      </c>
      <c r="F84" s="22">
        <v>129</v>
      </c>
      <c r="G84" s="22">
        <v>189</v>
      </c>
      <c r="H84" s="25">
        <v>46.51162790697674</v>
      </c>
      <c r="I84" s="22">
        <v>857940</v>
      </c>
      <c r="J84" s="25">
        <v>-33.2</v>
      </c>
    </row>
    <row r="85" spans="1:10">
      <c r="A85" s="4" t="s">
        <v>860</v>
      </c>
      <c r="B85" s="4" t="s">
        <v>65</v>
      </c>
      <c r="C85" s="4" t="s">
        <v>59</v>
      </c>
      <c r="D85" s="4" t="s">
        <v>231</v>
      </c>
      <c r="E85" s="22">
        <v>425000</v>
      </c>
      <c r="F85" s="22">
        <v>219</v>
      </c>
      <c r="G85" s="22">
        <v>319</v>
      </c>
      <c r="H85" s="25">
        <v>45.662100456621</v>
      </c>
      <c r="I85" s="22">
        <v>193800</v>
      </c>
      <c r="J85" s="25">
        <v>13.3</v>
      </c>
    </row>
    <row r="86" spans="1:10">
      <c r="A86" s="4" t="s">
        <v>503</v>
      </c>
      <c r="B86" s="4" t="s">
        <v>66</v>
      </c>
      <c r="C86" s="4" t="s">
        <v>82</v>
      </c>
      <c r="D86" s="4" t="s">
        <v>259</v>
      </c>
      <c r="E86" s="22">
        <v>1599900</v>
      </c>
      <c r="F86" s="22">
        <v>114</v>
      </c>
      <c r="G86" s="22">
        <v>166</v>
      </c>
      <c r="H86" s="25">
        <v>45.61403508771931</v>
      </c>
      <c r="I86" s="22">
        <v>728000</v>
      </c>
      <c r="J86" s="25">
        <v>-36</v>
      </c>
    </row>
    <row r="87" spans="1:10">
      <c r="A87" s="4" t="s">
        <v>685</v>
      </c>
      <c r="B87" s="4" t="s">
        <v>66</v>
      </c>
      <c r="C87" s="4" t="s">
        <v>82</v>
      </c>
      <c r="D87" s="4" t="s">
        <v>378</v>
      </c>
      <c r="E87" s="22">
        <v>1280000</v>
      </c>
      <c r="F87" s="22">
        <v>148</v>
      </c>
      <c r="G87" s="22">
        <v>215</v>
      </c>
      <c r="H87" s="25">
        <v>45.27027027027026</v>
      </c>
      <c r="I87" s="22">
        <v>579684</v>
      </c>
      <c r="J87" s="25">
        <v>-17.1</v>
      </c>
    </row>
    <row r="88" spans="1:10">
      <c r="A88" s="4" t="s">
        <v>657</v>
      </c>
      <c r="B88" s="4" t="s">
        <v>65</v>
      </c>
      <c r="C88" s="4" t="s">
        <v>80</v>
      </c>
      <c r="D88" s="4" t="s">
        <v>231</v>
      </c>
      <c r="E88" s="22">
        <v>1395000</v>
      </c>
      <c r="F88" s="22">
        <v>192</v>
      </c>
      <c r="G88" s="22">
        <v>276</v>
      </c>
      <c r="H88" s="25">
        <v>43.75</v>
      </c>
      <c r="I88" s="22">
        <v>609000</v>
      </c>
      <c r="J88" s="25">
        <v>-0.6</v>
      </c>
    </row>
    <row r="89" spans="1:10">
      <c r="A89" s="4" t="s">
        <v>738</v>
      </c>
      <c r="B89" s="4" t="s">
        <v>65</v>
      </c>
      <c r="C89" s="4" t="s">
        <v>109</v>
      </c>
      <c r="D89" s="4" t="s">
        <v>231</v>
      </c>
      <c r="E89" s="22">
        <v>1079325</v>
      </c>
      <c r="F89" s="22">
        <v>325</v>
      </c>
      <c r="G89" s="22">
        <v>464</v>
      </c>
      <c r="H89" s="25">
        <v>42.76923076923076</v>
      </c>
      <c r="I89" s="22">
        <v>461619</v>
      </c>
      <c r="J89" s="25">
        <v>67.90000000000001</v>
      </c>
    </row>
    <row r="90" spans="1:10">
      <c r="A90" s="4" t="s">
        <v>704</v>
      </c>
      <c r="B90" s="4" t="s">
        <v>70</v>
      </c>
      <c r="C90" s="4" t="s">
        <v>113</v>
      </c>
      <c r="D90" s="4" t="s">
        <v>231</v>
      </c>
      <c r="E90" s="22">
        <v>1200000</v>
      </c>
      <c r="F90" s="22">
        <v>117</v>
      </c>
      <c r="G90" s="22">
        <v>166</v>
      </c>
      <c r="H90" s="25">
        <v>41.88034188034189</v>
      </c>
      <c r="I90" s="22">
        <v>500437</v>
      </c>
      <c r="J90" s="25">
        <v>-51.9</v>
      </c>
    </row>
    <row r="91" spans="1:10">
      <c r="A91" s="4" t="s">
        <v>697</v>
      </c>
      <c r="B91" s="4" t="s">
        <v>68</v>
      </c>
      <c r="C91" s="4" t="s">
        <v>79</v>
      </c>
      <c r="D91" s="4" t="s">
        <v>231</v>
      </c>
      <c r="E91" s="22">
        <v>1200000</v>
      </c>
      <c r="F91" s="22">
        <v>136</v>
      </c>
      <c r="G91" s="22">
        <v>192</v>
      </c>
      <c r="H91" s="25">
        <v>41.1764705882353</v>
      </c>
      <c r="I91" s="22">
        <v>492688</v>
      </c>
      <c r="J91" s="25">
        <v>-1.6</v>
      </c>
    </row>
    <row r="92" spans="1:10">
      <c r="A92" s="4" t="s">
        <v>697</v>
      </c>
      <c r="B92" s="4" t="s">
        <v>68</v>
      </c>
      <c r="C92" s="4" t="s">
        <v>79</v>
      </c>
      <c r="D92" s="4" t="s">
        <v>231</v>
      </c>
      <c r="E92" s="22">
        <v>1200000</v>
      </c>
      <c r="F92" s="22">
        <v>136</v>
      </c>
      <c r="G92" s="22">
        <v>192</v>
      </c>
      <c r="H92" s="25">
        <v>41.1764705882353</v>
      </c>
      <c r="I92" s="22">
        <v>492688</v>
      </c>
      <c r="J92" s="25">
        <v>-1.6</v>
      </c>
    </row>
    <row r="93" spans="1:10">
      <c r="A93" s="4" t="s">
        <v>608</v>
      </c>
      <c r="B93" s="4" t="s">
        <v>66</v>
      </c>
      <c r="C93" s="4" t="s">
        <v>82</v>
      </c>
      <c r="D93" s="4" t="s">
        <v>231</v>
      </c>
      <c r="E93" s="22">
        <v>1699000</v>
      </c>
      <c r="F93" s="22">
        <v>123</v>
      </c>
      <c r="G93" s="22">
        <v>168</v>
      </c>
      <c r="H93" s="25">
        <v>36.58536585365854</v>
      </c>
      <c r="I93" s="22">
        <v>621090</v>
      </c>
      <c r="J93" s="25">
        <v>-31</v>
      </c>
    </row>
    <row r="94" spans="1:10">
      <c r="A94" s="4" t="s">
        <v>1032</v>
      </c>
      <c r="B94" s="4" t="s">
        <v>67</v>
      </c>
      <c r="C94" s="4" t="s">
        <v>83</v>
      </c>
      <c r="D94" s="4" t="s">
        <v>901</v>
      </c>
      <c r="E94" s="22">
        <v>1750000</v>
      </c>
      <c r="F94" s="22">
        <v>104</v>
      </c>
      <c r="G94" s="22">
        <v>142</v>
      </c>
      <c r="H94" s="25">
        <v>36.53846153846154</v>
      </c>
      <c r="I94" s="22">
        <v>641250</v>
      </c>
      <c r="J94" s="25">
        <v>-33.1</v>
      </c>
    </row>
    <row r="95" spans="1:10">
      <c r="A95" s="4" t="s">
        <v>630</v>
      </c>
      <c r="B95" s="4" t="s">
        <v>66</v>
      </c>
      <c r="C95" s="4" t="s">
        <v>120</v>
      </c>
      <c r="D95" s="4" t="s">
        <v>231</v>
      </c>
      <c r="E95" s="22">
        <v>1500000</v>
      </c>
      <c r="F95" s="22">
        <v>233</v>
      </c>
      <c r="G95" s="22">
        <v>315</v>
      </c>
      <c r="H95" s="25">
        <v>35.1931330472103</v>
      </c>
      <c r="I95" s="22">
        <v>528080</v>
      </c>
      <c r="J95" s="25">
        <v>30.5</v>
      </c>
    </row>
    <row r="96" spans="1:10">
      <c r="A96" s="4" t="s">
        <v>416</v>
      </c>
      <c r="B96" s="4" t="s">
        <v>65</v>
      </c>
      <c r="C96" s="4" t="s">
        <v>78</v>
      </c>
      <c r="D96" s="4" t="s">
        <v>231</v>
      </c>
      <c r="E96" s="22">
        <v>2850000</v>
      </c>
      <c r="F96" s="22">
        <v>197</v>
      </c>
      <c r="G96" s="22">
        <v>266</v>
      </c>
      <c r="H96" s="25">
        <v>35.0253807106599</v>
      </c>
      <c r="I96" s="22">
        <v>999879</v>
      </c>
      <c r="J96" s="25">
        <v>1.6</v>
      </c>
    </row>
    <row r="97" spans="1:10">
      <c r="A97" s="4" t="s">
        <v>1033</v>
      </c>
      <c r="B97" s="4" t="s">
        <v>71</v>
      </c>
      <c r="C97" s="4" t="s">
        <v>76</v>
      </c>
      <c r="D97" s="4" t="s">
        <v>901</v>
      </c>
      <c r="E97" s="22">
        <v>6000000</v>
      </c>
      <c r="F97" s="22">
        <v>280</v>
      </c>
      <c r="G97" s="22">
        <v>373</v>
      </c>
      <c r="H97" s="25">
        <v>33.21428571428571</v>
      </c>
      <c r="I97" s="22">
        <v>1994850</v>
      </c>
      <c r="J97" s="25">
        <v>-10.6</v>
      </c>
    </row>
    <row r="98" spans="1:10">
      <c r="A98" s="4" t="s">
        <v>673</v>
      </c>
      <c r="B98" s="4" t="s">
        <v>66</v>
      </c>
      <c r="C98" s="4" t="s">
        <v>83</v>
      </c>
      <c r="D98" s="4" t="s">
        <v>231</v>
      </c>
      <c r="E98" s="22">
        <v>1300000</v>
      </c>
      <c r="F98" s="22">
        <v>115</v>
      </c>
      <c r="G98" s="22">
        <v>153</v>
      </c>
      <c r="H98" s="25">
        <v>33.04347826086958</v>
      </c>
      <c r="I98" s="22">
        <v>429400</v>
      </c>
      <c r="J98" s="25">
        <v>-35.5</v>
      </c>
    </row>
    <row r="99" spans="1:10">
      <c r="A99" s="4" t="s">
        <v>822</v>
      </c>
      <c r="B99" s="4" t="s">
        <v>65</v>
      </c>
      <c r="C99" s="4" t="s">
        <v>110</v>
      </c>
      <c r="D99" s="4" t="s">
        <v>231</v>
      </c>
      <c r="E99" s="22">
        <v>824250</v>
      </c>
      <c r="F99" s="22">
        <v>526</v>
      </c>
      <c r="G99" s="22">
        <v>695</v>
      </c>
      <c r="H99" s="25">
        <v>32.12927756653991</v>
      </c>
      <c r="I99" s="22">
        <v>264992</v>
      </c>
      <c r="J99" s="25">
        <v>171.5</v>
      </c>
    </row>
    <row r="100" spans="1:10">
      <c r="A100" s="4" t="s">
        <v>742</v>
      </c>
      <c r="B100" s="4" t="s">
        <v>70</v>
      </c>
      <c r="C100" s="4" t="s">
        <v>743</v>
      </c>
      <c r="D100" s="4" t="s">
        <v>901</v>
      </c>
      <c r="E100" s="22">
        <v>1050000</v>
      </c>
      <c r="F100" s="22">
        <v>156</v>
      </c>
      <c r="G100" s="22">
        <v>206</v>
      </c>
      <c r="H100" s="25">
        <v>32.05128205128205</v>
      </c>
      <c r="I100" s="22">
        <v>337550</v>
      </c>
      <c r="J100" s="25">
        <v>-36.4</v>
      </c>
    </row>
    <row r="101" spans="1:10">
      <c r="A101" s="4" t="s">
        <v>742</v>
      </c>
      <c r="B101" s="4" t="s">
        <v>70</v>
      </c>
      <c r="C101" s="4" t="s">
        <v>743</v>
      </c>
      <c r="D101" s="4" t="s">
        <v>901</v>
      </c>
      <c r="E101" s="22">
        <v>1050000</v>
      </c>
      <c r="F101" s="22">
        <v>156</v>
      </c>
      <c r="G101" s="22">
        <v>206</v>
      </c>
      <c r="H101" s="25">
        <v>32.05128205128205</v>
      </c>
      <c r="I101" s="22">
        <v>337550</v>
      </c>
      <c r="J101" s="25">
        <v>-36.4</v>
      </c>
    </row>
    <row r="102" spans="1:10">
      <c r="A102" s="4" t="s">
        <v>742</v>
      </c>
      <c r="B102" s="4" t="s">
        <v>70</v>
      </c>
      <c r="C102" s="4" t="s">
        <v>743</v>
      </c>
      <c r="D102" s="4" t="s">
        <v>231</v>
      </c>
      <c r="E102" s="22">
        <v>1050000</v>
      </c>
      <c r="F102" s="22">
        <v>156</v>
      </c>
      <c r="G102" s="22">
        <v>206</v>
      </c>
      <c r="H102" s="25">
        <v>32.05128205128205</v>
      </c>
      <c r="I102" s="22">
        <v>337550</v>
      </c>
      <c r="J102" s="25">
        <v>-36.4</v>
      </c>
    </row>
    <row r="103" spans="1:10">
      <c r="A103" s="4" t="s">
        <v>315</v>
      </c>
      <c r="B103" s="4" t="s">
        <v>71</v>
      </c>
      <c r="C103" s="4" t="s">
        <v>108</v>
      </c>
      <c r="D103" s="4" t="s">
        <v>231</v>
      </c>
      <c r="E103" s="22">
        <v>4200000</v>
      </c>
      <c r="F103" s="22">
        <v>210</v>
      </c>
      <c r="G103" s="22">
        <v>277</v>
      </c>
      <c r="H103" s="25">
        <v>31.9047619047619</v>
      </c>
      <c r="I103" s="22">
        <v>1340268</v>
      </c>
      <c r="J103" s="25">
        <v>-32.9</v>
      </c>
    </row>
    <row r="104" spans="1:10">
      <c r="A104" s="4" t="s">
        <v>830</v>
      </c>
      <c r="B104" s="4" t="s">
        <v>69</v>
      </c>
      <c r="C104" s="4" t="s">
        <v>835</v>
      </c>
      <c r="D104" s="4" t="s">
        <v>231</v>
      </c>
      <c r="E104" s="22">
        <v>750000</v>
      </c>
      <c r="F104" s="22">
        <v>113</v>
      </c>
      <c r="G104" s="22">
        <v>149</v>
      </c>
      <c r="H104" s="25">
        <v>31.85840707964602</v>
      </c>
      <c r="I104" s="22">
        <v>238464</v>
      </c>
      <c r="J104" s="25">
        <v>-43</v>
      </c>
    </row>
    <row r="105" spans="1:10">
      <c r="A105" s="4" t="s">
        <v>830</v>
      </c>
      <c r="B105" s="4" t="s">
        <v>69</v>
      </c>
      <c r="C105" s="4" t="s">
        <v>831</v>
      </c>
      <c r="D105" s="4" t="s">
        <v>231</v>
      </c>
      <c r="E105" s="22">
        <v>750000</v>
      </c>
      <c r="F105" s="22">
        <v>113</v>
      </c>
      <c r="G105" s="22">
        <v>149</v>
      </c>
      <c r="H105" s="25">
        <v>31.85840707964602</v>
      </c>
      <c r="I105" s="22">
        <v>238464</v>
      </c>
      <c r="J105" s="25">
        <v>-43</v>
      </c>
    </row>
    <row r="106" spans="1:10">
      <c r="A106" s="4" t="s">
        <v>495</v>
      </c>
      <c r="B106" s="4" t="s">
        <v>73</v>
      </c>
      <c r="C106" s="4" t="s">
        <v>78</v>
      </c>
      <c r="D106" s="4" t="s">
        <v>901</v>
      </c>
      <c r="E106" s="22">
        <v>1999000</v>
      </c>
      <c r="F106" s="22">
        <v>313</v>
      </c>
      <c r="G106" s="22">
        <v>412</v>
      </c>
      <c r="H106" s="25">
        <v>31.62939297124601</v>
      </c>
      <c r="I106" s="22">
        <v>631422</v>
      </c>
      <c r="J106" s="25">
        <v>49</v>
      </c>
    </row>
    <row r="107" spans="1:10">
      <c r="A107" s="4" t="s">
        <v>1034</v>
      </c>
      <c r="B107" s="4" t="s">
        <v>68</v>
      </c>
      <c r="C107" s="4" t="s">
        <v>81</v>
      </c>
      <c r="D107" s="4" t="s">
        <v>901</v>
      </c>
      <c r="E107" s="22">
        <v>1150000</v>
      </c>
      <c r="F107" s="22">
        <v>138</v>
      </c>
      <c r="G107" s="22">
        <v>181</v>
      </c>
      <c r="H107" s="25">
        <v>31.15942028985508</v>
      </c>
      <c r="I107" s="22">
        <v>357545</v>
      </c>
      <c r="J107" s="25">
        <v>-0.3</v>
      </c>
    </row>
    <row r="108" spans="1:10">
      <c r="A108" s="4" t="s">
        <v>724</v>
      </c>
      <c r="B108" s="4" t="s">
        <v>66</v>
      </c>
      <c r="C108" s="4" t="s">
        <v>83</v>
      </c>
      <c r="D108" s="4" t="s">
        <v>231</v>
      </c>
      <c r="E108" s="22">
        <v>1039000</v>
      </c>
      <c r="F108" s="22">
        <v>154</v>
      </c>
      <c r="G108" s="22">
        <v>201</v>
      </c>
      <c r="H108" s="25">
        <v>30.51948051948052</v>
      </c>
      <c r="I108" s="22">
        <v>317250</v>
      </c>
      <c r="J108" s="25">
        <v>-13.7</v>
      </c>
    </row>
    <row r="109" spans="1:10">
      <c r="A109" s="4" t="s">
        <v>499</v>
      </c>
      <c r="B109" s="4" t="s">
        <v>66</v>
      </c>
      <c r="C109" s="4" t="s">
        <v>113</v>
      </c>
      <c r="D109" s="4" t="s">
        <v>231</v>
      </c>
      <c r="E109" s="22">
        <v>2179449</v>
      </c>
      <c r="F109" s="22">
        <v>165</v>
      </c>
      <c r="G109" s="22">
        <v>215</v>
      </c>
      <c r="H109" s="25">
        <v>30.3030303030303</v>
      </c>
      <c r="I109" s="22">
        <v>661000</v>
      </c>
      <c r="J109" s="25">
        <v>-7.6</v>
      </c>
    </row>
    <row r="110" spans="1:10">
      <c r="A110" s="4" t="s">
        <v>583</v>
      </c>
      <c r="B110" s="4" t="s">
        <v>66</v>
      </c>
      <c r="C110" s="4" t="s">
        <v>79</v>
      </c>
      <c r="D110" s="4" t="s">
        <v>231</v>
      </c>
      <c r="E110" s="22">
        <v>1800000</v>
      </c>
      <c r="F110" s="22">
        <v>196</v>
      </c>
      <c r="G110" s="22">
        <v>253</v>
      </c>
      <c r="H110" s="25">
        <v>29.08163265306123</v>
      </c>
      <c r="I110" s="22">
        <v>522519</v>
      </c>
      <c r="J110" s="25">
        <v>10</v>
      </c>
    </row>
    <row r="111" spans="1:10">
      <c r="A111" s="4" t="s">
        <v>597</v>
      </c>
      <c r="B111" s="4" t="s">
        <v>65</v>
      </c>
      <c r="C111" s="4" t="s">
        <v>79</v>
      </c>
      <c r="D111" s="4" t="s">
        <v>231</v>
      </c>
      <c r="E111" s="22">
        <v>1700000</v>
      </c>
      <c r="F111" s="22">
        <v>227</v>
      </c>
      <c r="G111" s="22">
        <v>291</v>
      </c>
      <c r="H111" s="25">
        <v>28.19383259911894</v>
      </c>
      <c r="I111" s="22">
        <v>479808</v>
      </c>
      <c r="J111" s="25">
        <v>17.1</v>
      </c>
    </row>
    <row r="112" spans="1:10">
      <c r="A112" s="4" t="s">
        <v>481</v>
      </c>
      <c r="B112" s="4" t="s">
        <v>65</v>
      </c>
      <c r="C112" s="4" t="s">
        <v>110</v>
      </c>
      <c r="D112" s="4" t="s">
        <v>231</v>
      </c>
      <c r="E112" s="22">
        <v>2295000</v>
      </c>
      <c r="F112" s="22">
        <v>175</v>
      </c>
      <c r="G112" s="22">
        <v>223</v>
      </c>
      <c r="H112" s="25">
        <v>27.42857142857142</v>
      </c>
      <c r="I112" s="22">
        <v>629136</v>
      </c>
      <c r="J112" s="25">
        <v>-9.6</v>
      </c>
    </row>
    <row r="113" spans="1:10">
      <c r="A113" s="4" t="s">
        <v>1035</v>
      </c>
      <c r="B113" s="4" t="s">
        <v>65</v>
      </c>
      <c r="C113" s="4" t="s">
        <v>116</v>
      </c>
      <c r="D113" s="4" t="s">
        <v>896</v>
      </c>
      <c r="E113" s="22">
        <v>2900000</v>
      </c>
      <c r="F113" s="22">
        <v>135</v>
      </c>
      <c r="G113" s="22">
        <v>172</v>
      </c>
      <c r="H113" s="25">
        <v>27.40740740740741</v>
      </c>
      <c r="I113" s="22">
        <v>793650</v>
      </c>
      <c r="J113" s="25">
        <v>-30.2</v>
      </c>
    </row>
    <row r="114" spans="1:10">
      <c r="A114" s="4" t="s">
        <v>1036</v>
      </c>
      <c r="B114" s="4" t="s">
        <v>68</v>
      </c>
      <c r="C114" s="4" t="s">
        <v>83</v>
      </c>
      <c r="D114" s="4" t="s">
        <v>901</v>
      </c>
      <c r="E114" s="22">
        <v>675000</v>
      </c>
      <c r="F114" s="22">
        <v>144</v>
      </c>
      <c r="G114" s="22">
        <v>181</v>
      </c>
      <c r="H114" s="25">
        <v>25.69444444444444</v>
      </c>
      <c r="I114" s="22">
        <v>173160</v>
      </c>
      <c r="J114" s="25">
        <v>4</v>
      </c>
    </row>
    <row r="115" spans="1:10">
      <c r="A115" s="4" t="s">
        <v>1037</v>
      </c>
      <c r="B115" s="4" t="s">
        <v>66</v>
      </c>
      <c r="C115" s="4" t="s">
        <v>797</v>
      </c>
      <c r="D115" s="4" t="s">
        <v>901</v>
      </c>
      <c r="E115" s="22">
        <v>1999000</v>
      </c>
      <c r="F115" s="22">
        <v>199</v>
      </c>
      <c r="G115" s="22">
        <v>249</v>
      </c>
      <c r="H115" s="25">
        <v>25.12562814070352</v>
      </c>
      <c r="I115" s="22">
        <v>503050</v>
      </c>
      <c r="J115" s="25">
        <v>11.4</v>
      </c>
    </row>
    <row r="116" spans="1:10">
      <c r="A116" s="4" t="s">
        <v>456</v>
      </c>
      <c r="B116" s="4" t="s">
        <v>65</v>
      </c>
      <c r="C116" s="4" t="s">
        <v>111</v>
      </c>
      <c r="D116" s="4" t="s">
        <v>231</v>
      </c>
      <c r="E116" s="22">
        <v>2500000</v>
      </c>
      <c r="F116" s="22">
        <v>167</v>
      </c>
      <c r="G116" s="22">
        <v>208</v>
      </c>
      <c r="H116" s="25">
        <v>24.55089820359282</v>
      </c>
      <c r="I116" s="22">
        <v>615123</v>
      </c>
      <c r="J116" s="25">
        <v>-13.9</v>
      </c>
    </row>
    <row r="117" spans="1:10">
      <c r="A117" s="4" t="s">
        <v>638</v>
      </c>
      <c r="B117" s="4" t="s">
        <v>66</v>
      </c>
      <c r="C117" s="4" t="s">
        <v>83</v>
      </c>
      <c r="D117" s="4" t="s">
        <v>231</v>
      </c>
      <c r="E117" s="22">
        <v>1425000</v>
      </c>
      <c r="F117" s="22">
        <v>120</v>
      </c>
      <c r="G117" s="22">
        <v>149</v>
      </c>
      <c r="H117" s="25">
        <v>24.16666666666667</v>
      </c>
      <c r="I117" s="22">
        <v>344085</v>
      </c>
      <c r="J117" s="25">
        <v>-32.7</v>
      </c>
    </row>
    <row r="118" spans="1:10">
      <c r="A118" s="4" t="s">
        <v>724</v>
      </c>
      <c r="B118" s="4" t="s">
        <v>66</v>
      </c>
      <c r="C118" s="4" t="s">
        <v>83</v>
      </c>
      <c r="D118" s="4" t="s">
        <v>231</v>
      </c>
      <c r="E118" s="22">
        <v>1095000</v>
      </c>
      <c r="F118" s="22">
        <v>162</v>
      </c>
      <c r="G118" s="22">
        <v>201</v>
      </c>
      <c r="H118" s="25">
        <v>24.07407407407407</v>
      </c>
      <c r="I118" s="22">
        <v>263250</v>
      </c>
      <c r="J118" s="25">
        <v>-9.1</v>
      </c>
    </row>
    <row r="119" spans="1:10">
      <c r="A119" s="4" t="s">
        <v>315</v>
      </c>
      <c r="B119" s="4" t="s">
        <v>71</v>
      </c>
      <c r="C119" s="4" t="s">
        <v>108</v>
      </c>
      <c r="D119" s="4" t="s">
        <v>231</v>
      </c>
      <c r="E119" s="22">
        <v>4500000</v>
      </c>
      <c r="F119" s="22">
        <v>225</v>
      </c>
      <c r="G119" s="22">
        <v>277</v>
      </c>
      <c r="H119" s="25">
        <v>23.1111111111111</v>
      </c>
      <c r="I119" s="22">
        <v>1040208</v>
      </c>
      <c r="J119" s="25">
        <v>-28.1</v>
      </c>
    </row>
    <row r="120" spans="1:10">
      <c r="A120" s="4" t="s">
        <v>734</v>
      </c>
      <c r="B120" s="4" t="s">
        <v>68</v>
      </c>
      <c r="C120" s="4" t="s">
        <v>80</v>
      </c>
      <c r="D120" s="4" t="s">
        <v>231</v>
      </c>
      <c r="E120" s="22">
        <v>1090000</v>
      </c>
      <c r="F120" s="22">
        <v>174</v>
      </c>
      <c r="G120" s="22">
        <v>214</v>
      </c>
      <c r="H120" s="25">
        <v>22.98850574712643</v>
      </c>
      <c r="I120" s="22">
        <v>250000</v>
      </c>
      <c r="J120" s="25">
        <v>25.8</v>
      </c>
    </row>
    <row r="121" spans="1:10">
      <c r="A121" s="4" t="s">
        <v>558</v>
      </c>
      <c r="B121" s="4" t="s">
        <v>66</v>
      </c>
      <c r="C121" s="4" t="s">
        <v>82</v>
      </c>
      <c r="D121" s="4" t="s">
        <v>231</v>
      </c>
      <c r="E121" s="22">
        <v>1895000</v>
      </c>
      <c r="F121" s="22">
        <v>137</v>
      </c>
      <c r="G121" s="22">
        <v>168</v>
      </c>
      <c r="H121" s="25">
        <v>22.62773722627738</v>
      </c>
      <c r="I121" s="22">
        <v>427862</v>
      </c>
      <c r="J121" s="25">
        <v>-23.1</v>
      </c>
    </row>
    <row r="122" spans="1:10">
      <c r="A122" s="4" t="s">
        <v>540</v>
      </c>
      <c r="B122" s="4" t="s">
        <v>66</v>
      </c>
      <c r="C122" s="4" t="s">
        <v>113</v>
      </c>
      <c r="D122" s="4" t="s">
        <v>259</v>
      </c>
      <c r="E122" s="22">
        <v>1950000</v>
      </c>
      <c r="F122" s="22">
        <v>229</v>
      </c>
      <c r="G122" s="22">
        <v>272</v>
      </c>
      <c r="H122" s="25">
        <v>18.77729257641922</v>
      </c>
      <c r="I122" s="22">
        <v>366274</v>
      </c>
      <c r="J122" s="25">
        <v>28.3</v>
      </c>
    </row>
    <row r="123" spans="1:10">
      <c r="A123" s="4" t="s">
        <v>1038</v>
      </c>
      <c r="B123" s="4" t="s">
        <v>66</v>
      </c>
      <c r="C123" s="4" t="s">
        <v>83</v>
      </c>
      <c r="D123" s="4" t="s">
        <v>901</v>
      </c>
      <c r="E123" s="22">
        <v>1399990</v>
      </c>
      <c r="F123" s="22">
        <v>138</v>
      </c>
      <c r="G123" s="22">
        <v>162</v>
      </c>
      <c r="H123" s="25">
        <v>17.3913043478261</v>
      </c>
      <c r="I123" s="22">
        <v>243000</v>
      </c>
      <c r="J123" s="25">
        <v>-22.5</v>
      </c>
    </row>
    <row r="124" spans="1:10">
      <c r="A124" s="4" t="s">
        <v>716</v>
      </c>
      <c r="B124" s="4" t="s">
        <v>69</v>
      </c>
      <c r="C124" s="4" t="s">
        <v>76</v>
      </c>
      <c r="D124" s="4" t="s">
        <v>231</v>
      </c>
      <c r="E124" s="22">
        <v>1195000</v>
      </c>
      <c r="F124" s="22">
        <v>177</v>
      </c>
      <c r="G124" s="22">
        <v>206</v>
      </c>
      <c r="H124" s="25">
        <v>16.38418079096045</v>
      </c>
      <c r="I124" s="22">
        <v>195721</v>
      </c>
      <c r="J124" s="25">
        <v>-10.9</v>
      </c>
    </row>
    <row r="125" spans="1:10">
      <c r="A125" s="4" t="s">
        <v>351</v>
      </c>
      <c r="B125" s="4" t="s">
        <v>65</v>
      </c>
      <c r="C125" s="4" t="s">
        <v>79</v>
      </c>
      <c r="D125" s="4" t="s">
        <v>231</v>
      </c>
      <c r="E125" s="22">
        <v>3600000</v>
      </c>
      <c r="F125" s="22">
        <v>120</v>
      </c>
      <c r="G125" s="22">
        <v>139</v>
      </c>
      <c r="H125" s="25">
        <v>15.83333333333334</v>
      </c>
      <c r="I125" s="22">
        <v>571767</v>
      </c>
      <c r="J125" s="25">
        <v>-38.2</v>
      </c>
    </row>
    <row r="126" spans="1:10">
      <c r="A126" s="4" t="s">
        <v>724</v>
      </c>
      <c r="B126" s="4" t="s">
        <v>66</v>
      </c>
      <c r="C126" s="4" t="s">
        <v>83</v>
      </c>
      <c r="D126" s="4" t="s">
        <v>231</v>
      </c>
      <c r="E126" s="22">
        <v>1175000</v>
      </c>
      <c r="F126" s="22">
        <v>174</v>
      </c>
      <c r="G126" s="22">
        <v>201</v>
      </c>
      <c r="H126" s="25">
        <v>15.51724137931034</v>
      </c>
      <c r="I126" s="22">
        <v>182250</v>
      </c>
      <c r="J126" s="25">
        <v>-2.4</v>
      </c>
    </row>
    <row r="127" spans="1:10">
      <c r="A127" s="4" t="s">
        <v>1039</v>
      </c>
      <c r="B127" s="4" t="s">
        <v>66</v>
      </c>
      <c r="C127" s="4" t="s">
        <v>113</v>
      </c>
      <c r="D127" s="4" t="s">
        <v>901</v>
      </c>
      <c r="E127" s="22">
        <v>2499999</v>
      </c>
      <c r="F127" s="22">
        <v>185</v>
      </c>
      <c r="G127" s="22">
        <v>212</v>
      </c>
      <c r="H127" s="25">
        <v>14.5945945945946</v>
      </c>
      <c r="I127" s="22">
        <v>364770</v>
      </c>
      <c r="J127" s="25">
        <v>3.7</v>
      </c>
    </row>
    <row r="128" spans="1:10">
      <c r="A128" s="4" t="s">
        <v>693</v>
      </c>
      <c r="B128" s="4" t="s">
        <v>68</v>
      </c>
      <c r="C128" s="4" t="s">
        <v>81</v>
      </c>
      <c r="D128" s="4" t="s">
        <v>231</v>
      </c>
      <c r="E128" s="22">
        <v>1250000</v>
      </c>
      <c r="F128" s="22">
        <v>169</v>
      </c>
      <c r="G128" s="22">
        <v>192</v>
      </c>
      <c r="H128" s="25">
        <v>13.6094674556213</v>
      </c>
      <c r="I128" s="22">
        <v>170039</v>
      </c>
      <c r="J128" s="25">
        <v>21.9</v>
      </c>
    </row>
    <row r="129" spans="1:10">
      <c r="A129" s="4" t="s">
        <v>440</v>
      </c>
      <c r="B129" s="4" t="s">
        <v>66</v>
      </c>
      <c r="C129" s="4" t="s">
        <v>110</v>
      </c>
      <c r="D129" s="4" t="s">
        <v>231</v>
      </c>
      <c r="E129" s="22">
        <v>2734375</v>
      </c>
      <c r="F129" s="22">
        <v>175</v>
      </c>
      <c r="G129" s="22">
        <v>197</v>
      </c>
      <c r="H129" s="25">
        <v>12.57142857142857</v>
      </c>
      <c r="I129" s="22">
        <v>343750</v>
      </c>
      <c r="J129" s="25">
        <v>-1.9</v>
      </c>
    </row>
    <row r="130" spans="1:10">
      <c r="A130" s="4" t="s">
        <v>468</v>
      </c>
      <c r="B130" s="4" t="s">
        <v>65</v>
      </c>
      <c r="C130" s="4" t="s">
        <v>469</v>
      </c>
      <c r="D130" s="4" t="s">
        <v>259</v>
      </c>
      <c r="E130" s="22">
        <v>2499000</v>
      </c>
      <c r="F130" s="22">
        <v>209</v>
      </c>
      <c r="G130" s="22">
        <v>235</v>
      </c>
      <c r="H130" s="25">
        <v>12.44019138755981</v>
      </c>
      <c r="I130" s="22">
        <v>310700</v>
      </c>
      <c r="J130" s="25">
        <v>8</v>
      </c>
    </row>
    <row r="131" spans="1:10">
      <c r="A131" s="4" t="s">
        <v>523</v>
      </c>
      <c r="B131" s="4" t="s">
        <v>66</v>
      </c>
      <c r="C131" s="4" t="s">
        <v>79</v>
      </c>
      <c r="D131" s="4" t="s">
        <v>231</v>
      </c>
      <c r="E131" s="22">
        <v>2000000</v>
      </c>
      <c r="F131" s="22">
        <v>234</v>
      </c>
      <c r="G131" s="22">
        <v>263</v>
      </c>
      <c r="H131" s="25">
        <v>12.39316239316239</v>
      </c>
      <c r="I131" s="22">
        <v>247660</v>
      </c>
      <c r="J131" s="25">
        <v>31.3</v>
      </c>
    </row>
    <row r="132" spans="1:10">
      <c r="A132" s="4" t="s">
        <v>270</v>
      </c>
      <c r="B132" s="4" t="s">
        <v>71</v>
      </c>
      <c r="C132" s="4" t="s">
        <v>108</v>
      </c>
      <c r="D132" s="4" t="s">
        <v>231</v>
      </c>
      <c r="E132" s="22">
        <v>6000000</v>
      </c>
      <c r="F132" s="22">
        <v>201</v>
      </c>
      <c r="G132" s="22">
        <v>224</v>
      </c>
      <c r="H132" s="25">
        <v>11.44278606965175</v>
      </c>
      <c r="I132" s="22">
        <v>686895</v>
      </c>
      <c r="J132" s="25">
        <v>-35.8</v>
      </c>
    </row>
    <row r="133" spans="1:10">
      <c r="A133" s="4" t="s">
        <v>788</v>
      </c>
      <c r="B133" s="4" t="s">
        <v>69</v>
      </c>
      <c r="C133" s="4" t="s">
        <v>81</v>
      </c>
      <c r="D133" s="4" t="s">
        <v>901</v>
      </c>
      <c r="E133" s="22">
        <v>799000</v>
      </c>
      <c r="F133" s="22">
        <v>117</v>
      </c>
      <c r="G133" s="22">
        <v>130</v>
      </c>
      <c r="H133" s="25">
        <v>11.11111111111112</v>
      </c>
      <c r="I133" s="22">
        <v>88920</v>
      </c>
      <c r="J133" s="25">
        <v>-41.2</v>
      </c>
    </row>
    <row r="134" spans="1:10">
      <c r="A134" s="4" t="s">
        <v>503</v>
      </c>
      <c r="B134" s="4" t="s">
        <v>66</v>
      </c>
      <c r="C134" s="4" t="s">
        <v>82</v>
      </c>
      <c r="D134" s="4" t="s">
        <v>231</v>
      </c>
      <c r="E134" s="22">
        <v>2100000</v>
      </c>
      <c r="F134" s="22">
        <v>150</v>
      </c>
      <c r="G134" s="22">
        <v>166</v>
      </c>
      <c r="H134" s="25">
        <v>10.66666666666667</v>
      </c>
      <c r="I134" s="22">
        <v>224000</v>
      </c>
      <c r="J134" s="25">
        <v>-15.9</v>
      </c>
    </row>
    <row r="135" spans="1:10">
      <c r="A135" s="4" t="s">
        <v>720</v>
      </c>
      <c r="B135" s="4" t="s">
        <v>65</v>
      </c>
      <c r="C135" s="4" t="s">
        <v>117</v>
      </c>
      <c r="D135" s="4" t="s">
        <v>231</v>
      </c>
      <c r="E135" s="22">
        <v>1180000</v>
      </c>
      <c r="F135" s="22">
        <v>520</v>
      </c>
      <c r="G135" s="22">
        <v>570</v>
      </c>
      <c r="H135" s="25">
        <v>9.615384615384626</v>
      </c>
      <c r="I135" s="22">
        <v>113400</v>
      </c>
      <c r="J135" s="25">
        <v>168.7</v>
      </c>
    </row>
    <row r="136" spans="1:10">
      <c r="A136" s="4" t="s">
        <v>1040</v>
      </c>
      <c r="B136" s="4" t="s">
        <v>68</v>
      </c>
      <c r="C136" s="4" t="s">
        <v>76</v>
      </c>
      <c r="D136" s="4" t="s">
        <v>901</v>
      </c>
      <c r="E136" s="22">
        <v>4250000</v>
      </c>
      <c r="F136" s="22">
        <v>126</v>
      </c>
      <c r="G136" s="22">
        <v>136</v>
      </c>
      <c r="H136" s="25">
        <v>7.936507936507931</v>
      </c>
      <c r="I136" s="22">
        <v>337230</v>
      </c>
      <c r="J136" s="25">
        <v>-9.1</v>
      </c>
    </row>
    <row r="137" spans="1:10">
      <c r="A137" s="4" t="s">
        <v>436</v>
      </c>
      <c r="B137" s="4" t="s">
        <v>67</v>
      </c>
      <c r="C137" s="4" t="s">
        <v>82</v>
      </c>
      <c r="D137" s="4" t="s">
        <v>901</v>
      </c>
      <c r="E137" s="22">
        <v>1799000</v>
      </c>
      <c r="F137" s="22">
        <v>257</v>
      </c>
      <c r="G137" s="22">
        <v>277</v>
      </c>
      <c r="H137" s="25">
        <v>7.78210116731517</v>
      </c>
      <c r="I137" s="22">
        <v>140000</v>
      </c>
      <c r="J137" s="25">
        <v>65.8</v>
      </c>
    </row>
    <row r="138" spans="1:10">
      <c r="A138" s="4" t="s">
        <v>377</v>
      </c>
      <c r="B138" s="4" t="s">
        <v>67</v>
      </c>
      <c r="C138" s="4" t="s">
        <v>80</v>
      </c>
      <c r="D138" s="4" t="s">
        <v>378</v>
      </c>
      <c r="E138" s="22">
        <v>3395000</v>
      </c>
      <c r="F138" s="22">
        <v>163</v>
      </c>
      <c r="G138" s="22">
        <v>175</v>
      </c>
      <c r="H138" s="25">
        <v>7.361963190184051</v>
      </c>
      <c r="I138" s="22">
        <v>249924</v>
      </c>
      <c r="J138" s="25">
        <v>5.1</v>
      </c>
    </row>
    <row r="139" spans="1:10">
      <c r="A139" s="4" t="s">
        <v>939</v>
      </c>
      <c r="B139" s="4" t="s">
        <v>65</v>
      </c>
      <c r="C139" s="4" t="s">
        <v>108</v>
      </c>
      <c r="D139" s="4" t="s">
        <v>901</v>
      </c>
      <c r="E139" s="22">
        <v>2100000</v>
      </c>
      <c r="F139" s="22">
        <v>280</v>
      </c>
      <c r="G139" s="22">
        <v>300</v>
      </c>
      <c r="H139" s="25">
        <v>7.14285714285714</v>
      </c>
      <c r="I139" s="22">
        <v>150060</v>
      </c>
      <c r="J139" s="25">
        <v>44.6</v>
      </c>
    </row>
    <row r="140" spans="1:10">
      <c r="A140" s="4" t="s">
        <v>826</v>
      </c>
      <c r="B140" s="4" t="s">
        <v>68</v>
      </c>
      <c r="C140" s="4" t="s">
        <v>83</v>
      </c>
      <c r="D140" s="4" t="s">
        <v>259</v>
      </c>
      <c r="E140" s="22">
        <v>775000</v>
      </c>
      <c r="F140" s="22">
        <v>174</v>
      </c>
      <c r="G140" s="22">
        <v>186</v>
      </c>
      <c r="H140" s="25">
        <v>6.896551724137923</v>
      </c>
      <c r="I140" s="22">
        <v>53556</v>
      </c>
      <c r="J140" s="25">
        <v>25.2</v>
      </c>
    </row>
    <row r="141" spans="1:10">
      <c r="A141" s="4" t="s">
        <v>972</v>
      </c>
      <c r="B141" s="4" t="s">
        <v>70</v>
      </c>
      <c r="C141" s="4" t="s">
        <v>116</v>
      </c>
      <c r="D141" s="4" t="s">
        <v>901</v>
      </c>
      <c r="E141" s="22">
        <v>710000</v>
      </c>
      <c r="F141" s="22">
        <v>387</v>
      </c>
      <c r="G141" s="22">
        <v>413</v>
      </c>
      <c r="H141" s="25">
        <v>6.718346253229979</v>
      </c>
      <c r="I141" s="22">
        <v>47658</v>
      </c>
      <c r="J141" s="25">
        <v>58.4</v>
      </c>
    </row>
    <row r="142" spans="1:10">
      <c r="A142" s="4" t="s">
        <v>473</v>
      </c>
      <c r="B142" s="4" t="s">
        <v>65</v>
      </c>
      <c r="C142" s="4" t="s">
        <v>109</v>
      </c>
      <c r="D142" s="4" t="s">
        <v>231</v>
      </c>
      <c r="E142" s="22">
        <v>2475000</v>
      </c>
      <c r="F142" s="22">
        <v>238</v>
      </c>
      <c r="G142" s="22">
        <v>252</v>
      </c>
      <c r="H142" s="25">
        <v>5.882352941176472</v>
      </c>
      <c r="I142" s="22">
        <v>145600</v>
      </c>
      <c r="J142" s="25">
        <v>22.9</v>
      </c>
    </row>
    <row r="143" spans="1:10">
      <c r="A143" s="4" t="s">
        <v>377</v>
      </c>
      <c r="B143" s="4" t="s">
        <v>67</v>
      </c>
      <c r="C143" s="4" t="s">
        <v>80</v>
      </c>
      <c r="D143" s="4" t="s">
        <v>901</v>
      </c>
      <c r="E143" s="22">
        <v>3495000</v>
      </c>
      <c r="F143" s="22">
        <v>168</v>
      </c>
      <c r="G143" s="22">
        <v>175</v>
      </c>
      <c r="H143" s="25">
        <v>4.166666666666674</v>
      </c>
      <c r="I143" s="22">
        <v>145789</v>
      </c>
      <c r="J143" s="25">
        <v>8.199999999999999</v>
      </c>
    </row>
    <row r="144" spans="1:10">
      <c r="A144" s="4" t="s">
        <v>382</v>
      </c>
      <c r="B144" s="4" t="s">
        <v>65</v>
      </c>
      <c r="C144" s="4" t="s">
        <v>110</v>
      </c>
      <c r="D144" s="4" t="s">
        <v>231</v>
      </c>
      <c r="E144" s="22">
        <v>3368750</v>
      </c>
      <c r="F144" s="22">
        <v>175</v>
      </c>
      <c r="G144" s="22">
        <v>182</v>
      </c>
      <c r="H144" s="25">
        <v>4.000000000000004</v>
      </c>
      <c r="I144" s="22">
        <v>134750</v>
      </c>
      <c r="J144" s="25">
        <v>-9.6</v>
      </c>
    </row>
    <row r="145" spans="1:10">
      <c r="A145" s="4" t="s">
        <v>957</v>
      </c>
      <c r="B145" s="4" t="s">
        <v>66</v>
      </c>
      <c r="C145" s="4" t="s">
        <v>82</v>
      </c>
      <c r="D145" s="4" t="s">
        <v>901</v>
      </c>
      <c r="E145" s="22">
        <v>1749000</v>
      </c>
      <c r="F145" s="22">
        <v>217</v>
      </c>
      <c r="G145" s="22">
        <v>223</v>
      </c>
      <c r="H145" s="25">
        <v>2.764976958525356</v>
      </c>
      <c r="I145" s="22">
        <v>48450</v>
      </c>
      <c r="J145" s="25">
        <v>21.4</v>
      </c>
    </row>
    <row r="146" spans="1:10">
      <c r="A146" s="4" t="s">
        <v>473</v>
      </c>
      <c r="B146" s="4" t="s">
        <v>66</v>
      </c>
      <c r="C146" s="4" t="s">
        <v>109</v>
      </c>
      <c r="D146" s="4" t="s">
        <v>901</v>
      </c>
      <c r="E146" s="22">
        <v>2475000</v>
      </c>
      <c r="F146" s="22">
        <v>238</v>
      </c>
      <c r="G146" s="22">
        <v>244</v>
      </c>
      <c r="H146" s="25">
        <v>2.521008403361336</v>
      </c>
      <c r="I146" s="22">
        <v>62400</v>
      </c>
      <c r="J146" s="25">
        <v>33.4</v>
      </c>
    </row>
    <row r="147" spans="1:10">
      <c r="A147" s="4" t="s">
        <v>562</v>
      </c>
      <c r="B147" s="4" t="s">
        <v>65</v>
      </c>
      <c r="C147" s="4" t="s">
        <v>79</v>
      </c>
      <c r="D147" s="4" t="s">
        <v>259</v>
      </c>
      <c r="E147" s="22">
        <v>1890000</v>
      </c>
      <c r="F147" s="22">
        <v>334</v>
      </c>
      <c r="G147" s="22">
        <v>340</v>
      </c>
      <c r="H147" s="25">
        <v>1.796407185628746</v>
      </c>
      <c r="I147" s="22">
        <v>33984</v>
      </c>
      <c r="J147" s="25">
        <v>72.40000000000001</v>
      </c>
    </row>
    <row r="148" spans="1:10">
      <c r="A148" s="4" t="s">
        <v>532</v>
      </c>
      <c r="B148" s="4" t="s">
        <v>70</v>
      </c>
      <c r="C148" s="4" t="s">
        <v>109</v>
      </c>
      <c r="D148" s="4" t="s">
        <v>231</v>
      </c>
      <c r="E148" s="22">
        <v>1990000</v>
      </c>
      <c r="F148" s="22">
        <v>133</v>
      </c>
      <c r="G148" s="22">
        <v>135</v>
      </c>
      <c r="H148" s="25">
        <v>1.503759398496252</v>
      </c>
      <c r="I148" s="22">
        <v>30000</v>
      </c>
      <c r="J148" s="25">
        <v>-45.7</v>
      </c>
    </row>
    <row r="149" spans="1:10">
      <c r="A149" s="4" t="s">
        <v>386</v>
      </c>
      <c r="B149" s="4" t="s">
        <v>66</v>
      </c>
      <c r="C149" s="4" t="s">
        <v>109</v>
      </c>
      <c r="D149" s="4" t="s">
        <v>231</v>
      </c>
      <c r="E149" s="22">
        <v>2850000</v>
      </c>
      <c r="F149" s="22">
        <v>209</v>
      </c>
      <c r="G149" s="22">
        <v>211</v>
      </c>
      <c r="H149" s="25">
        <v>0.9569377990430672</v>
      </c>
      <c r="I149" s="22">
        <v>27300</v>
      </c>
      <c r="J149" s="25">
        <v>17</v>
      </c>
    </row>
    <row r="150" spans="1:10">
      <c r="A150" s="4" t="s">
        <v>1041</v>
      </c>
      <c r="B150" s="4" t="s">
        <v>65</v>
      </c>
      <c r="C150" s="4" t="s">
        <v>81</v>
      </c>
      <c r="D150" s="4" t="s">
        <v>901</v>
      </c>
      <c r="E150" s="22">
        <v>2695000</v>
      </c>
      <c r="F150" s="22">
        <v>192</v>
      </c>
      <c r="G150" s="22">
        <v>192</v>
      </c>
      <c r="H150" s="25">
        <v>0</v>
      </c>
      <c r="I150" s="22">
        <v>0</v>
      </c>
      <c r="J150" s="25">
        <v>-0.6</v>
      </c>
    </row>
    <row r="151" spans="1:10">
      <c r="A151" s="4" t="s">
        <v>511</v>
      </c>
      <c r="B151" s="4" t="s">
        <v>70</v>
      </c>
      <c r="C151" s="4" t="s">
        <v>79</v>
      </c>
      <c r="D151" s="4" t="s">
        <v>231</v>
      </c>
      <c r="E151" s="22">
        <v>2050000</v>
      </c>
      <c r="F151" s="22">
        <v>123</v>
      </c>
      <c r="G151" s="22">
        <v>123</v>
      </c>
      <c r="H151" s="25">
        <v>0</v>
      </c>
      <c r="I151" s="22">
        <v>0</v>
      </c>
      <c r="J151" s="25">
        <v>-49.9</v>
      </c>
    </row>
    <row r="152" spans="1:10">
      <c r="A152" s="4" t="s">
        <v>965</v>
      </c>
      <c r="B152" s="4" t="s">
        <v>72</v>
      </c>
      <c r="C152" s="4" t="s">
        <v>76</v>
      </c>
      <c r="D152" s="4" t="s">
        <v>901</v>
      </c>
      <c r="E152" s="22">
        <v>995000</v>
      </c>
      <c r="F152" s="22">
        <v>829</v>
      </c>
      <c r="G152" s="22">
        <v>822</v>
      </c>
      <c r="H152" s="25">
        <v>-0.8443908323281013</v>
      </c>
      <c r="I152" s="22">
        <v>-8400</v>
      </c>
      <c r="J152" s="25">
        <v>126.8</v>
      </c>
    </row>
    <row r="153" spans="1:10">
      <c r="A153" s="4" t="s">
        <v>452</v>
      </c>
      <c r="B153" s="4" t="s">
        <v>65</v>
      </c>
      <c r="C153" s="4" t="s">
        <v>78</v>
      </c>
      <c r="D153" s="4" t="s">
        <v>231</v>
      </c>
      <c r="E153" s="22">
        <v>1900000</v>
      </c>
      <c r="F153" s="22">
        <v>607</v>
      </c>
      <c r="G153" s="22">
        <v>601</v>
      </c>
      <c r="H153" s="25">
        <v>-0.9884678747940745</v>
      </c>
      <c r="I153" s="22">
        <v>-18780</v>
      </c>
      <c r="J153" s="25">
        <v>213.5</v>
      </c>
    </row>
    <row r="154" spans="1:10">
      <c r="A154" s="4" t="s">
        <v>950</v>
      </c>
      <c r="B154" s="4" t="s">
        <v>68</v>
      </c>
      <c r="C154" s="4" t="s">
        <v>78</v>
      </c>
      <c r="D154" s="4" t="s">
        <v>896</v>
      </c>
      <c r="E154" s="22">
        <v>1900000</v>
      </c>
      <c r="F154" s="22">
        <v>298</v>
      </c>
      <c r="G154" s="22">
        <v>295</v>
      </c>
      <c r="H154" s="25">
        <v>-1.006711409395977</v>
      </c>
      <c r="I154" s="22">
        <v>-19155</v>
      </c>
      <c r="J154" s="25">
        <v>114.6</v>
      </c>
    </row>
    <row r="155" spans="1:10">
      <c r="A155" s="4" t="s">
        <v>788</v>
      </c>
      <c r="B155" s="4" t="s">
        <v>69</v>
      </c>
      <c r="C155" s="4" t="s">
        <v>81</v>
      </c>
      <c r="D155" s="4" t="s">
        <v>231</v>
      </c>
      <c r="E155" s="22">
        <v>899999</v>
      </c>
      <c r="F155" s="22">
        <v>132</v>
      </c>
      <c r="G155" s="22">
        <v>130</v>
      </c>
      <c r="H155" s="25">
        <v>-1.515151515151514</v>
      </c>
      <c r="I155" s="22">
        <v>-13680</v>
      </c>
      <c r="J155" s="25">
        <v>-33.8</v>
      </c>
    </row>
    <row r="156" spans="1:10">
      <c r="A156" s="4" t="s">
        <v>653</v>
      </c>
      <c r="B156" s="4" t="s">
        <v>65</v>
      </c>
      <c r="C156" s="4" t="s">
        <v>83</v>
      </c>
      <c r="D156" s="4" t="s">
        <v>231</v>
      </c>
      <c r="E156" s="22">
        <v>1399000</v>
      </c>
      <c r="F156" s="22">
        <v>225</v>
      </c>
      <c r="G156" s="22">
        <v>217</v>
      </c>
      <c r="H156" s="25">
        <v>-3.555555555555556</v>
      </c>
      <c r="I156" s="22">
        <v>-49800</v>
      </c>
      <c r="J156" s="25">
        <v>16.1</v>
      </c>
    </row>
    <row r="157" spans="1:10">
      <c r="A157" s="4" t="s">
        <v>935</v>
      </c>
      <c r="B157" s="4" t="s">
        <v>66</v>
      </c>
      <c r="C157" s="4" t="s">
        <v>110</v>
      </c>
      <c r="D157" s="4" t="s">
        <v>901</v>
      </c>
      <c r="E157" s="22">
        <v>2149000</v>
      </c>
      <c r="F157" s="22">
        <v>324</v>
      </c>
      <c r="G157" s="22">
        <v>310</v>
      </c>
      <c r="H157" s="25">
        <v>-4.320987654320985</v>
      </c>
      <c r="I157" s="22">
        <v>-92862</v>
      </c>
      <c r="J157" s="25">
        <v>81.59999999999999</v>
      </c>
    </row>
    <row r="158" spans="1:10">
      <c r="A158" s="4" t="s">
        <v>1042</v>
      </c>
      <c r="B158" s="4" t="s">
        <v>70</v>
      </c>
      <c r="C158" s="4" t="s">
        <v>78</v>
      </c>
      <c r="D158" s="4" t="s">
        <v>901</v>
      </c>
      <c r="E158" s="22">
        <v>1999000</v>
      </c>
      <c r="F158" s="22">
        <v>247</v>
      </c>
      <c r="G158" s="22">
        <v>235</v>
      </c>
      <c r="H158" s="25">
        <v>-4.858299595141702</v>
      </c>
      <c r="I158" s="22">
        <v>-97296</v>
      </c>
      <c r="J158" s="25">
        <v>0.8</v>
      </c>
    </row>
    <row r="159" spans="1:10">
      <c r="A159" s="4" t="s">
        <v>495</v>
      </c>
      <c r="B159" s="4" t="s">
        <v>73</v>
      </c>
      <c r="C159" s="4" t="s">
        <v>118</v>
      </c>
      <c r="D159" s="4" t="s">
        <v>378</v>
      </c>
      <c r="E159" s="22">
        <v>2198672</v>
      </c>
      <c r="F159" s="22">
        <v>345</v>
      </c>
      <c r="G159" s="22">
        <v>328</v>
      </c>
      <c r="H159" s="25">
        <v>-4.927536231884055</v>
      </c>
      <c r="I159" s="22">
        <v>-108426</v>
      </c>
      <c r="J159" s="25">
        <v>63.9</v>
      </c>
    </row>
    <row r="160" spans="1:10">
      <c r="A160" s="4" t="s">
        <v>291</v>
      </c>
      <c r="B160" s="4" t="s">
        <v>66</v>
      </c>
      <c r="C160" s="4" t="s">
        <v>76</v>
      </c>
      <c r="D160" s="4" t="s">
        <v>231</v>
      </c>
      <c r="E160" s="22">
        <v>5295000</v>
      </c>
      <c r="F160" s="22">
        <v>264</v>
      </c>
      <c r="G160" s="22">
        <v>241</v>
      </c>
      <c r="H160" s="25">
        <v>-8.712121212121215</v>
      </c>
      <c r="I160" s="22">
        <v>-460460</v>
      </c>
      <c r="J160" s="25">
        <v>48.2</v>
      </c>
    </row>
    <row r="161" spans="1:10">
      <c r="A161" s="4" t="s">
        <v>697</v>
      </c>
      <c r="B161" s="4" t="s">
        <v>69</v>
      </c>
      <c r="C161" s="4" t="s">
        <v>79</v>
      </c>
      <c r="D161" s="4" t="s">
        <v>259</v>
      </c>
      <c r="E161" s="22">
        <v>1200000</v>
      </c>
      <c r="F161" s="22">
        <v>136</v>
      </c>
      <c r="G161" s="22">
        <v>124</v>
      </c>
      <c r="H161" s="25">
        <v>-8.823529411764708</v>
      </c>
      <c r="I161" s="22">
        <v>-105576</v>
      </c>
      <c r="J161" s="25">
        <v>-31.4</v>
      </c>
    </row>
    <row r="162" spans="1:10">
      <c r="A162" s="4" t="s">
        <v>406</v>
      </c>
      <c r="B162" s="4" t="s">
        <v>67</v>
      </c>
      <c r="C162" s="4" t="s">
        <v>82</v>
      </c>
      <c r="D162" s="4" t="s">
        <v>259</v>
      </c>
      <c r="E162" s="22">
        <v>2975000</v>
      </c>
      <c r="F162" s="22">
        <v>213</v>
      </c>
      <c r="G162" s="22">
        <v>192</v>
      </c>
      <c r="H162" s="25">
        <v>-9.859154929577462</v>
      </c>
      <c r="I162" s="22">
        <v>-292971</v>
      </c>
      <c r="J162" s="25">
        <v>37.5</v>
      </c>
    </row>
    <row r="163" spans="1:10">
      <c r="A163" s="4" t="s">
        <v>1043</v>
      </c>
      <c r="B163" s="4" t="s">
        <v>71</v>
      </c>
      <c r="C163" s="4" t="s">
        <v>79</v>
      </c>
      <c r="D163" s="4" t="s">
        <v>901</v>
      </c>
      <c r="E163" s="22">
        <v>7995000</v>
      </c>
      <c r="F163" s="22">
        <v>220</v>
      </c>
      <c r="G163" s="22">
        <v>195</v>
      </c>
      <c r="H163" s="25">
        <v>-11.36363636363637</v>
      </c>
      <c r="I163" s="22">
        <v>-910175</v>
      </c>
      <c r="J163" s="25">
        <v>-29.8</v>
      </c>
    </row>
    <row r="164" spans="1:10">
      <c r="A164" s="4" t="s">
        <v>1044</v>
      </c>
      <c r="B164" s="4" t="s">
        <v>66</v>
      </c>
      <c r="C164" s="4" t="s">
        <v>82</v>
      </c>
      <c r="D164" s="4" t="s">
        <v>901</v>
      </c>
      <c r="E164" s="22">
        <v>2940000</v>
      </c>
      <c r="F164" s="22">
        <v>168</v>
      </c>
      <c r="G164" s="22">
        <v>148</v>
      </c>
      <c r="H164" s="25">
        <v>-11.90476190476191</v>
      </c>
      <c r="I164" s="22">
        <v>-350000</v>
      </c>
      <c r="J164" s="25">
        <v>-5.8</v>
      </c>
    </row>
    <row r="165" spans="1:10">
      <c r="A165" s="4" t="s">
        <v>394</v>
      </c>
      <c r="B165" s="4" t="s">
        <v>70</v>
      </c>
      <c r="C165" s="4" t="s">
        <v>79</v>
      </c>
      <c r="D165" s="4" t="s">
        <v>259</v>
      </c>
      <c r="E165" s="22">
        <v>3200000</v>
      </c>
      <c r="F165" s="22">
        <v>98</v>
      </c>
      <c r="G165" s="22">
        <v>86</v>
      </c>
      <c r="H165" s="25">
        <v>-12.24489795918368</v>
      </c>
      <c r="I165" s="22">
        <v>-392892</v>
      </c>
      <c r="J165" s="25">
        <v>-60</v>
      </c>
    </row>
    <row r="166" spans="1:10">
      <c r="A166" s="4" t="s">
        <v>916</v>
      </c>
      <c r="B166" s="4" t="s">
        <v>74</v>
      </c>
      <c r="C166" s="4" t="s">
        <v>79</v>
      </c>
      <c r="D166" s="4" t="s">
        <v>901</v>
      </c>
      <c r="E166" s="22">
        <v>3995000</v>
      </c>
      <c r="F166" s="22">
        <v>197</v>
      </c>
      <c r="G166" s="22">
        <v>172</v>
      </c>
      <c r="H166" s="25">
        <v>-12.69035532994924</v>
      </c>
      <c r="I166" s="22">
        <v>-506250</v>
      </c>
      <c r="J166" s="25">
        <v>13</v>
      </c>
    </row>
    <row r="167" spans="1:10">
      <c r="A167" s="4" t="s">
        <v>747</v>
      </c>
      <c r="B167" s="4" t="s">
        <v>65</v>
      </c>
      <c r="C167" s="4" t="s">
        <v>81</v>
      </c>
      <c r="D167" s="4" t="s">
        <v>231</v>
      </c>
      <c r="E167" s="22">
        <v>1049000</v>
      </c>
      <c r="F167" s="22">
        <v>743</v>
      </c>
      <c r="G167" s="22">
        <v>646</v>
      </c>
      <c r="H167" s="25">
        <v>-13.05518169582772</v>
      </c>
      <c r="I167" s="22">
        <v>-136964</v>
      </c>
      <c r="J167" s="25">
        <v>283.7</v>
      </c>
    </row>
    <row r="168" spans="1:10">
      <c r="A168" s="4" t="s">
        <v>341</v>
      </c>
      <c r="B168" s="4" t="s">
        <v>65</v>
      </c>
      <c r="C168" s="4" t="s">
        <v>108</v>
      </c>
      <c r="D168" s="4" t="s">
        <v>231</v>
      </c>
      <c r="E168" s="22">
        <v>3600000</v>
      </c>
      <c r="F168" s="22">
        <v>240</v>
      </c>
      <c r="G168" s="22">
        <v>208</v>
      </c>
      <c r="H168" s="25">
        <v>-13.33333333333333</v>
      </c>
      <c r="I168" s="22">
        <v>-480000</v>
      </c>
      <c r="J168" s="25">
        <v>24</v>
      </c>
    </row>
    <row r="169" spans="1:10">
      <c r="A169" s="4" t="s">
        <v>928</v>
      </c>
      <c r="B169" s="4" t="s">
        <v>66</v>
      </c>
      <c r="C169" s="4" t="s">
        <v>81</v>
      </c>
      <c r="D169" s="4" t="s">
        <v>901</v>
      </c>
      <c r="E169" s="22">
        <v>2500000</v>
      </c>
      <c r="F169" s="22">
        <v>261</v>
      </c>
      <c r="G169" s="22">
        <v>226</v>
      </c>
      <c r="H169" s="25">
        <v>-13.40996168582376</v>
      </c>
      <c r="I169" s="22">
        <v>-334810</v>
      </c>
      <c r="J169" s="25">
        <v>46.5</v>
      </c>
    </row>
    <row r="170" spans="1:10">
      <c r="A170" s="4" t="s">
        <v>386</v>
      </c>
      <c r="B170" s="4" t="s">
        <v>66</v>
      </c>
      <c r="C170" s="4" t="s">
        <v>109</v>
      </c>
      <c r="D170" s="4" t="s">
        <v>231</v>
      </c>
      <c r="E170" s="22">
        <v>3349000</v>
      </c>
      <c r="F170" s="22">
        <v>245</v>
      </c>
      <c r="G170" s="22">
        <v>211</v>
      </c>
      <c r="H170" s="25">
        <v>-13.87755102040816</v>
      </c>
      <c r="I170" s="22">
        <v>-464100</v>
      </c>
      <c r="J170" s="25">
        <v>37.5</v>
      </c>
    </row>
    <row r="171" spans="1:10">
      <c r="A171" s="4" t="s">
        <v>402</v>
      </c>
      <c r="B171" s="4" t="s">
        <v>66</v>
      </c>
      <c r="C171" s="4" t="s">
        <v>82</v>
      </c>
      <c r="D171" s="4" t="s">
        <v>259</v>
      </c>
      <c r="E171" s="22">
        <v>2999990</v>
      </c>
      <c r="F171" s="22">
        <v>171</v>
      </c>
      <c r="G171" s="22">
        <v>147</v>
      </c>
      <c r="H171" s="25">
        <v>-14.03508771929824</v>
      </c>
      <c r="I171" s="22">
        <v>-420000</v>
      </c>
      <c r="J171" s="25">
        <v>-3.9</v>
      </c>
    </row>
    <row r="172" spans="1:10">
      <c r="A172" s="4" t="s">
        <v>299</v>
      </c>
      <c r="B172" s="4" t="s">
        <v>65</v>
      </c>
      <c r="C172" s="4" t="s">
        <v>77</v>
      </c>
      <c r="D172" s="4" t="s">
        <v>231</v>
      </c>
      <c r="E172" s="22">
        <v>5000000</v>
      </c>
      <c r="F172" s="22">
        <v>314</v>
      </c>
      <c r="G172" s="22">
        <v>265</v>
      </c>
      <c r="H172" s="25">
        <v>-15.60509554140127</v>
      </c>
      <c r="I172" s="22">
        <v>-780913</v>
      </c>
      <c r="J172" s="25">
        <v>62.1</v>
      </c>
    </row>
    <row r="173" spans="1:10">
      <c r="A173" s="4" t="s">
        <v>914</v>
      </c>
      <c r="B173" s="4" t="s">
        <v>66</v>
      </c>
      <c r="C173" s="4" t="s">
        <v>910</v>
      </c>
      <c r="D173" s="4" t="s">
        <v>901</v>
      </c>
      <c r="E173" s="22">
        <v>4000000</v>
      </c>
      <c r="F173" s="22">
        <v>212</v>
      </c>
      <c r="G173" s="22">
        <v>178</v>
      </c>
      <c r="H173" s="25">
        <v>-16.0377358490566</v>
      </c>
      <c r="I173" s="22">
        <v>-642532</v>
      </c>
      <c r="J173" s="25">
        <v>18.6</v>
      </c>
    </row>
    <row r="174" spans="1:10">
      <c r="A174" s="4" t="s">
        <v>909</v>
      </c>
      <c r="B174" s="4" t="s">
        <v>66</v>
      </c>
      <c r="C174" s="4" t="s">
        <v>910</v>
      </c>
      <c r="D174" s="4" t="s">
        <v>901</v>
      </c>
      <c r="E174" s="22">
        <v>4000000</v>
      </c>
      <c r="F174" s="22">
        <v>212</v>
      </c>
      <c r="G174" s="22">
        <v>178</v>
      </c>
      <c r="H174" s="25">
        <v>-16.0377358490566</v>
      </c>
      <c r="I174" s="22">
        <v>-642532</v>
      </c>
      <c r="J174" s="25">
        <v>18.6</v>
      </c>
    </row>
    <row r="175" spans="1:10">
      <c r="A175" s="4" t="s">
        <v>905</v>
      </c>
      <c r="B175" s="4" t="s">
        <v>65</v>
      </c>
      <c r="C175" s="4" t="s">
        <v>78</v>
      </c>
      <c r="D175" s="4" t="s">
        <v>901</v>
      </c>
      <c r="E175" s="22">
        <v>4900000</v>
      </c>
      <c r="F175" s="22">
        <v>302</v>
      </c>
      <c r="G175" s="22">
        <v>250</v>
      </c>
      <c r="H175" s="25">
        <v>-17.21854304635762</v>
      </c>
      <c r="I175" s="22">
        <v>-845000</v>
      </c>
      <c r="J175" s="25">
        <v>55.8</v>
      </c>
    </row>
    <row r="176" spans="1:10">
      <c r="A176" s="4" t="s">
        <v>341</v>
      </c>
      <c r="B176" s="4" t="s">
        <v>65</v>
      </c>
      <c r="C176" s="4" t="s">
        <v>108</v>
      </c>
      <c r="D176" s="4" t="s">
        <v>231</v>
      </c>
      <c r="E176" s="22">
        <v>3800000</v>
      </c>
      <c r="F176" s="22">
        <v>253</v>
      </c>
      <c r="G176" s="22">
        <v>208</v>
      </c>
      <c r="H176" s="25">
        <v>-17.78656126482213</v>
      </c>
      <c r="I176" s="22">
        <v>-675000</v>
      </c>
      <c r="J176" s="25">
        <v>30.9</v>
      </c>
    </row>
    <row r="177" spans="1:10">
      <c r="A177" s="4" t="s">
        <v>359</v>
      </c>
      <c r="B177" s="4" t="s">
        <v>65</v>
      </c>
      <c r="C177" s="4" t="s">
        <v>109</v>
      </c>
      <c r="D177" s="4" t="s">
        <v>231</v>
      </c>
      <c r="E177" s="22">
        <v>3520180</v>
      </c>
      <c r="F177" s="22">
        <v>284</v>
      </c>
      <c r="G177" s="22">
        <v>230</v>
      </c>
      <c r="H177" s="25">
        <v>-19.01408450704225</v>
      </c>
      <c r="I177" s="22">
        <v>-669492</v>
      </c>
      <c r="J177" s="25">
        <v>46.7</v>
      </c>
    </row>
    <row r="178" spans="1:10">
      <c r="A178" s="4" t="s">
        <v>333</v>
      </c>
      <c r="B178" s="4" t="s">
        <v>67</v>
      </c>
      <c r="C178" s="4" t="s">
        <v>79</v>
      </c>
      <c r="D178" s="4" t="s">
        <v>231</v>
      </c>
      <c r="E178" s="22">
        <v>3900000</v>
      </c>
      <c r="F178" s="22">
        <v>300</v>
      </c>
      <c r="G178" s="22">
        <v>242</v>
      </c>
      <c r="H178" s="25">
        <v>-19.33333333333334</v>
      </c>
      <c r="I178" s="22">
        <v>-754000</v>
      </c>
      <c r="J178" s="25">
        <v>93.5</v>
      </c>
    </row>
    <row r="179" spans="1:10">
      <c r="A179" s="4" t="s">
        <v>319</v>
      </c>
      <c r="B179" s="4" t="s">
        <v>65</v>
      </c>
      <c r="C179" s="4" t="s">
        <v>78</v>
      </c>
      <c r="D179" s="4" t="s">
        <v>259</v>
      </c>
      <c r="E179" s="22">
        <v>4250000</v>
      </c>
      <c r="F179" s="22">
        <v>381</v>
      </c>
      <c r="G179" s="22">
        <v>306</v>
      </c>
      <c r="H179" s="25">
        <v>-19.68503937007874</v>
      </c>
      <c r="I179" s="22">
        <v>-836700</v>
      </c>
      <c r="J179" s="25">
        <v>96.8</v>
      </c>
    </row>
    <row r="180" spans="1:10">
      <c r="A180" s="4" t="s">
        <v>665</v>
      </c>
      <c r="B180" s="4" t="s">
        <v>69</v>
      </c>
      <c r="C180" s="4" t="s">
        <v>81</v>
      </c>
      <c r="D180" s="4" t="s">
        <v>231</v>
      </c>
      <c r="E180" s="22">
        <v>1350000</v>
      </c>
      <c r="F180" s="22">
        <v>129</v>
      </c>
      <c r="G180" s="22">
        <v>103</v>
      </c>
      <c r="H180" s="25">
        <v>-20.15503875968993</v>
      </c>
      <c r="I180" s="22">
        <v>-273000</v>
      </c>
      <c r="J180" s="25">
        <v>-35.3</v>
      </c>
    </row>
    <row r="181" spans="1:10">
      <c r="A181" s="4" t="s">
        <v>649</v>
      </c>
      <c r="B181" s="4" t="s">
        <v>68</v>
      </c>
      <c r="C181" s="4" t="s">
        <v>120</v>
      </c>
      <c r="D181" s="4" t="s">
        <v>231</v>
      </c>
      <c r="E181" s="22">
        <v>1400000</v>
      </c>
      <c r="F181" s="22">
        <v>415</v>
      </c>
      <c r="G181" s="22">
        <v>330</v>
      </c>
      <c r="H181" s="25">
        <v>-20.48192771084337</v>
      </c>
      <c r="I181" s="22">
        <v>-286875</v>
      </c>
      <c r="J181" s="25">
        <v>199.1</v>
      </c>
    </row>
    <row r="182" spans="1:10">
      <c r="A182" s="4" t="s">
        <v>428</v>
      </c>
      <c r="B182" s="4" t="s">
        <v>72</v>
      </c>
      <c r="C182" s="4" t="s">
        <v>78</v>
      </c>
      <c r="D182" s="4" t="s">
        <v>231</v>
      </c>
      <c r="E182" s="22">
        <v>2750000</v>
      </c>
      <c r="F182" s="22">
        <v>345</v>
      </c>
      <c r="G182" s="22">
        <v>272</v>
      </c>
      <c r="H182" s="25">
        <v>-21.15942028985507</v>
      </c>
      <c r="I182" s="22">
        <v>-581080</v>
      </c>
      <c r="J182" s="25">
        <v>-5.5</v>
      </c>
    </row>
    <row r="183" spans="1:10">
      <c r="A183" s="4" t="s">
        <v>337</v>
      </c>
      <c r="B183" s="4" t="s">
        <v>65</v>
      </c>
      <c r="C183" s="4" t="s">
        <v>83</v>
      </c>
      <c r="D183" s="4" t="s">
        <v>231</v>
      </c>
      <c r="E183" s="22">
        <v>3400000</v>
      </c>
      <c r="F183" s="22">
        <v>127</v>
      </c>
      <c r="G183" s="22">
        <v>100</v>
      </c>
      <c r="H183" s="25">
        <v>-21.25984251968503</v>
      </c>
      <c r="I183" s="22">
        <v>-724572</v>
      </c>
      <c r="J183" s="25">
        <v>-34.6</v>
      </c>
    </row>
    <row r="184" spans="1:10">
      <c r="A184" s="4" t="s">
        <v>477</v>
      </c>
      <c r="B184" s="4" t="s">
        <v>67</v>
      </c>
      <c r="C184" s="4" t="s">
        <v>83</v>
      </c>
      <c r="D184" s="4" t="s">
        <v>231</v>
      </c>
      <c r="E184" s="22">
        <v>2400000</v>
      </c>
      <c r="F184" s="22">
        <v>237</v>
      </c>
      <c r="G184" s="22">
        <v>186</v>
      </c>
      <c r="H184" s="25">
        <v>-21.51898734177216</v>
      </c>
      <c r="I184" s="22">
        <v>-516375</v>
      </c>
      <c r="J184" s="25">
        <v>52.9</v>
      </c>
    </row>
    <row r="185" spans="1:10">
      <c r="A185" s="4" t="s">
        <v>460</v>
      </c>
      <c r="B185" s="4" t="s">
        <v>74</v>
      </c>
      <c r="C185" s="4" t="s">
        <v>79</v>
      </c>
      <c r="D185" s="4" t="s">
        <v>231</v>
      </c>
      <c r="E185" s="22">
        <v>2500000</v>
      </c>
      <c r="F185" s="22">
        <v>441</v>
      </c>
      <c r="G185" s="22">
        <v>340</v>
      </c>
      <c r="H185" s="25">
        <v>-22.90249433106576</v>
      </c>
      <c r="I185" s="22">
        <v>-572064</v>
      </c>
      <c r="J185" s="25">
        <v>152.9</v>
      </c>
    </row>
    <row r="186" spans="1:10">
      <c r="A186" s="4" t="s">
        <v>900</v>
      </c>
      <c r="B186" s="4" t="s">
        <v>65</v>
      </c>
      <c r="C186" s="4" t="s">
        <v>78</v>
      </c>
      <c r="D186" s="4" t="s">
        <v>901</v>
      </c>
      <c r="E186" s="22">
        <v>4900000</v>
      </c>
      <c r="F186" s="22">
        <v>362</v>
      </c>
      <c r="G186" s="22">
        <v>276</v>
      </c>
      <c r="H186" s="25">
        <v>-23.75690607734806</v>
      </c>
      <c r="I186" s="22">
        <v>-1163150</v>
      </c>
      <c r="J186" s="25">
        <v>87.09999999999999</v>
      </c>
    </row>
    <row r="187" spans="1:10">
      <c r="A187" s="4" t="s">
        <v>548</v>
      </c>
      <c r="B187" s="4" t="s">
        <v>69</v>
      </c>
      <c r="C187" s="4" t="s">
        <v>78</v>
      </c>
      <c r="D187" s="4" t="s">
        <v>231</v>
      </c>
      <c r="E187" s="22">
        <v>1950000</v>
      </c>
      <c r="F187" s="22">
        <v>202</v>
      </c>
      <c r="G187" s="22">
        <v>154</v>
      </c>
      <c r="H187" s="25">
        <v>-23.76237623762376</v>
      </c>
      <c r="I187" s="22">
        <v>-463296</v>
      </c>
      <c r="J187" s="25">
        <v>1.7</v>
      </c>
    </row>
    <row r="188" spans="1:10">
      <c r="A188" s="4" t="s">
        <v>448</v>
      </c>
      <c r="B188" s="4" t="s">
        <v>65</v>
      </c>
      <c r="C188" s="4" t="s">
        <v>79</v>
      </c>
      <c r="D188" s="4" t="s">
        <v>231</v>
      </c>
      <c r="E188" s="22">
        <v>2649000</v>
      </c>
      <c r="F188" s="22">
        <v>423</v>
      </c>
      <c r="G188" s="22">
        <v>322</v>
      </c>
      <c r="H188" s="25">
        <v>-23.87706855791962</v>
      </c>
      <c r="I188" s="22">
        <v>-631856</v>
      </c>
      <c r="J188" s="25">
        <v>118.7</v>
      </c>
    </row>
    <row r="189" spans="1:10">
      <c r="A189" s="4" t="s">
        <v>1045</v>
      </c>
      <c r="B189" s="4" t="s">
        <v>69</v>
      </c>
      <c r="C189" s="4" t="s">
        <v>81</v>
      </c>
      <c r="D189" s="4" t="s">
        <v>896</v>
      </c>
      <c r="E189" s="22">
        <v>1995000</v>
      </c>
      <c r="F189" s="22">
        <v>92</v>
      </c>
      <c r="G189" s="22">
        <v>70</v>
      </c>
      <c r="H189" s="25">
        <v>-23.91304347826086</v>
      </c>
      <c r="I189" s="22">
        <v>-479358</v>
      </c>
      <c r="J189" s="25">
        <v>-53.9</v>
      </c>
    </row>
    <row r="190" spans="1:10">
      <c r="A190" s="4" t="s">
        <v>373</v>
      </c>
      <c r="B190" s="4" t="s">
        <v>65</v>
      </c>
      <c r="C190" s="4" t="s">
        <v>80</v>
      </c>
      <c r="D190" s="4" t="s">
        <v>231</v>
      </c>
      <c r="E190" s="22">
        <v>3395000</v>
      </c>
      <c r="F190" s="22">
        <v>275</v>
      </c>
      <c r="G190" s="22">
        <v>208</v>
      </c>
      <c r="H190" s="25">
        <v>-24.36363636363637</v>
      </c>
      <c r="I190" s="22">
        <v>-828321</v>
      </c>
      <c r="J190" s="25">
        <v>41.8</v>
      </c>
    </row>
    <row r="191" spans="1:10">
      <c r="A191" s="4" t="s">
        <v>452</v>
      </c>
      <c r="B191" s="4" t="s">
        <v>65</v>
      </c>
      <c r="C191" s="4" t="s">
        <v>78</v>
      </c>
      <c r="D191" s="4" t="s">
        <v>259</v>
      </c>
      <c r="E191" s="22">
        <v>2500000</v>
      </c>
      <c r="F191" s="22">
        <v>799</v>
      </c>
      <c r="G191" s="22">
        <v>601</v>
      </c>
      <c r="H191" s="25">
        <v>-24.78097622027534</v>
      </c>
      <c r="I191" s="22">
        <v>-619740</v>
      </c>
      <c r="J191" s="25">
        <v>312.6</v>
      </c>
    </row>
    <row r="192" spans="1:10">
      <c r="A192" s="4" t="s">
        <v>355</v>
      </c>
      <c r="B192" s="4" t="s">
        <v>70</v>
      </c>
      <c r="C192" s="4" t="s">
        <v>76</v>
      </c>
      <c r="D192" s="4" t="s">
        <v>259</v>
      </c>
      <c r="E192" s="22">
        <v>3495000</v>
      </c>
      <c r="F192" s="22">
        <v>288</v>
      </c>
      <c r="G192" s="22">
        <v>212</v>
      </c>
      <c r="H192" s="25">
        <v>-26.38888888888889</v>
      </c>
      <c r="I192" s="22">
        <v>-923400</v>
      </c>
      <c r="J192" s="25">
        <v>17.6</v>
      </c>
    </row>
    <row r="193" spans="1:10">
      <c r="A193" s="4" t="s">
        <v>920</v>
      </c>
      <c r="B193" s="4" t="s">
        <v>66</v>
      </c>
      <c r="C193" s="4" t="s">
        <v>77</v>
      </c>
      <c r="D193" s="4" t="s">
        <v>901</v>
      </c>
      <c r="E193" s="22">
        <v>3749000</v>
      </c>
      <c r="F193" s="22">
        <v>555</v>
      </c>
      <c r="G193" s="22">
        <v>408</v>
      </c>
      <c r="H193" s="25">
        <v>-26.48648648648648</v>
      </c>
      <c r="I193" s="22">
        <v>-992250</v>
      </c>
      <c r="J193" s="25">
        <v>211.3</v>
      </c>
    </row>
    <row r="194" spans="1:10">
      <c r="A194" s="4" t="s">
        <v>424</v>
      </c>
      <c r="B194" s="4" t="s">
        <v>66</v>
      </c>
      <c r="C194" s="4" t="s">
        <v>111</v>
      </c>
      <c r="D194" s="4" t="s">
        <v>259</v>
      </c>
      <c r="E194" s="22">
        <v>2750000</v>
      </c>
      <c r="F194" s="22">
        <v>440</v>
      </c>
      <c r="G194" s="22">
        <v>320</v>
      </c>
      <c r="H194" s="25">
        <v>-27.27272727272727</v>
      </c>
      <c r="I194" s="22">
        <v>-750000</v>
      </c>
      <c r="J194" s="25">
        <v>146.6</v>
      </c>
    </row>
    <row r="195" spans="1:10">
      <c r="A195" s="4" t="s">
        <v>895</v>
      </c>
      <c r="B195" s="4" t="s">
        <v>65</v>
      </c>
      <c r="C195" s="4" t="s">
        <v>76</v>
      </c>
      <c r="D195" s="4" t="s">
        <v>896</v>
      </c>
      <c r="E195" s="22">
        <v>10500000</v>
      </c>
      <c r="F195" s="22">
        <v>219</v>
      </c>
      <c r="G195" s="22">
        <v>157</v>
      </c>
      <c r="H195" s="25">
        <v>-28.31050228310502</v>
      </c>
      <c r="I195" s="22">
        <v>-2972900</v>
      </c>
      <c r="J195" s="25">
        <v>13.1</v>
      </c>
    </row>
    <row r="196" spans="1:10">
      <c r="A196" s="4" t="s">
        <v>355</v>
      </c>
      <c r="B196" s="4" t="s">
        <v>70</v>
      </c>
      <c r="C196" s="4" t="s">
        <v>76</v>
      </c>
      <c r="D196" s="4" t="s">
        <v>231</v>
      </c>
      <c r="E196" s="22">
        <v>3595000</v>
      </c>
      <c r="F196" s="22">
        <v>296</v>
      </c>
      <c r="G196" s="22">
        <v>212</v>
      </c>
      <c r="H196" s="25">
        <v>-28.37837837837838</v>
      </c>
      <c r="I196" s="22">
        <v>-1020600</v>
      </c>
      <c r="J196" s="25">
        <v>21</v>
      </c>
    </row>
    <row r="197" spans="1:10">
      <c r="A197" s="4" t="s">
        <v>398</v>
      </c>
      <c r="B197" s="4" t="s">
        <v>66</v>
      </c>
      <c r="C197" s="4" t="s">
        <v>82</v>
      </c>
      <c r="D197" s="4" t="s">
        <v>231</v>
      </c>
      <c r="E197" s="22">
        <v>3000000</v>
      </c>
      <c r="F197" s="22">
        <v>261</v>
      </c>
      <c r="G197" s="22">
        <v>185</v>
      </c>
      <c r="H197" s="25">
        <v>-29.11877394636015</v>
      </c>
      <c r="I197" s="22">
        <v>-874000</v>
      </c>
      <c r="J197" s="25">
        <v>46.2</v>
      </c>
    </row>
    <row r="198" spans="1:10">
      <c r="A198" s="4" t="s">
        <v>436</v>
      </c>
      <c r="B198" s="4" t="s">
        <v>67</v>
      </c>
      <c r="C198" s="4" t="s">
        <v>82</v>
      </c>
      <c r="D198" s="4" t="s">
        <v>231</v>
      </c>
      <c r="E198" s="22">
        <v>2750000</v>
      </c>
      <c r="F198" s="22">
        <v>393</v>
      </c>
      <c r="G198" s="22">
        <v>277</v>
      </c>
      <c r="H198" s="25">
        <v>-29.51653944020356</v>
      </c>
      <c r="I198" s="22">
        <v>-812000</v>
      </c>
      <c r="J198" s="25">
        <v>153.4</v>
      </c>
    </row>
    <row r="199" spans="1:10">
      <c r="A199" s="4" t="s">
        <v>527</v>
      </c>
      <c r="B199" s="4" t="s">
        <v>72</v>
      </c>
      <c r="C199" s="4" t="s">
        <v>528</v>
      </c>
      <c r="D199" s="4" t="s">
        <v>231</v>
      </c>
      <c r="E199" s="22">
        <v>1998500</v>
      </c>
      <c r="F199" s="22">
        <v>384</v>
      </c>
      <c r="G199" s="22">
        <v>270</v>
      </c>
      <c r="H199" s="25">
        <v>-29.6875</v>
      </c>
      <c r="I199" s="22">
        <v>-592800</v>
      </c>
      <c r="J199" s="25">
        <v>5.1</v>
      </c>
    </row>
    <row r="200" spans="1:10">
      <c r="A200" s="4" t="s">
        <v>485</v>
      </c>
      <c r="B200" s="4" t="s">
        <v>68</v>
      </c>
      <c r="C200" s="4" t="s">
        <v>83</v>
      </c>
      <c r="D200" s="4" t="s">
        <v>231</v>
      </c>
      <c r="E200" s="22">
        <v>2200000</v>
      </c>
      <c r="F200" s="22">
        <v>130</v>
      </c>
      <c r="G200" s="22">
        <v>91</v>
      </c>
      <c r="H200" s="25">
        <v>-30</v>
      </c>
      <c r="I200" s="22">
        <v>-658125</v>
      </c>
      <c r="J200" s="25">
        <v>-6</v>
      </c>
    </row>
    <row r="201" spans="1:10">
      <c r="A201" s="4" t="s">
        <v>390</v>
      </c>
      <c r="B201" s="4" t="s">
        <v>65</v>
      </c>
      <c r="C201" s="4" t="s">
        <v>110</v>
      </c>
      <c r="D201" s="4" t="s">
        <v>259</v>
      </c>
      <c r="E201" s="22">
        <v>3250000</v>
      </c>
      <c r="F201" s="22">
        <v>433</v>
      </c>
      <c r="G201" s="22">
        <v>301</v>
      </c>
      <c r="H201" s="25">
        <v>-30.48498845265589</v>
      </c>
      <c r="I201" s="22">
        <v>-990000</v>
      </c>
      <c r="J201" s="25">
        <v>123.8</v>
      </c>
    </row>
    <row r="202" spans="1:10">
      <c r="A202" s="4" t="s">
        <v>241</v>
      </c>
      <c r="B202" s="4" t="s">
        <v>67</v>
      </c>
      <c r="C202" s="4" t="s">
        <v>117</v>
      </c>
      <c r="D202" s="4" t="s">
        <v>231</v>
      </c>
      <c r="E202" s="22">
        <v>8700000</v>
      </c>
      <c r="F202" s="22">
        <v>178</v>
      </c>
      <c r="G202" s="22">
        <v>123</v>
      </c>
      <c r="H202" s="25">
        <v>-30.89887640449438</v>
      </c>
      <c r="I202" s="22">
        <v>-2694560</v>
      </c>
      <c r="J202" s="25">
        <v>14.5</v>
      </c>
    </row>
    <row r="203" spans="1:10">
      <c r="A203" s="4" t="s">
        <v>311</v>
      </c>
      <c r="B203" s="4" t="s">
        <v>65</v>
      </c>
      <c r="C203" s="4" t="s">
        <v>108</v>
      </c>
      <c r="D203" s="4" t="s">
        <v>231</v>
      </c>
      <c r="E203" s="22">
        <v>4500000</v>
      </c>
      <c r="F203" s="22">
        <v>303</v>
      </c>
      <c r="G203" s="22">
        <v>209</v>
      </c>
      <c r="H203" s="25">
        <v>-31.02310231023102</v>
      </c>
      <c r="I203" s="22">
        <v>-1396840</v>
      </c>
      <c r="J203" s="25">
        <v>56.4</v>
      </c>
    </row>
    <row r="204" spans="1:10">
      <c r="A204" s="4" t="s">
        <v>485</v>
      </c>
      <c r="B204" s="4" t="s">
        <v>68</v>
      </c>
      <c r="C204" s="4" t="s">
        <v>83</v>
      </c>
      <c r="D204" s="4" t="s">
        <v>231</v>
      </c>
      <c r="E204" s="22">
        <v>2225000</v>
      </c>
      <c r="F204" s="22">
        <v>132</v>
      </c>
      <c r="G204" s="22">
        <v>91</v>
      </c>
      <c r="H204" s="25">
        <v>-31.06060606060606</v>
      </c>
      <c r="I204" s="22">
        <v>-691875</v>
      </c>
      <c r="J204" s="25">
        <v>-4.9</v>
      </c>
    </row>
    <row r="205" spans="1:10">
      <c r="A205" s="4" t="s">
        <v>924</v>
      </c>
      <c r="B205" s="4" t="s">
        <v>68</v>
      </c>
      <c r="C205" s="4" t="s">
        <v>79</v>
      </c>
      <c r="D205" s="4" t="s">
        <v>901</v>
      </c>
      <c r="E205" s="22">
        <v>2800000</v>
      </c>
      <c r="F205" s="22">
        <v>238</v>
      </c>
      <c r="G205" s="22">
        <v>164</v>
      </c>
      <c r="H205" s="25">
        <v>-31.09243697478992</v>
      </c>
      <c r="I205" s="22">
        <v>-870314</v>
      </c>
      <c r="J205" s="25">
        <v>71.7</v>
      </c>
    </row>
    <row r="206" spans="1:10">
      <c r="A206" s="4" t="s">
        <v>337</v>
      </c>
      <c r="B206" s="4" t="s">
        <v>70</v>
      </c>
      <c r="C206" s="4" t="s">
        <v>118</v>
      </c>
      <c r="D206" s="4" t="s">
        <v>231</v>
      </c>
      <c r="E206" s="22">
        <v>3900000</v>
      </c>
      <c r="F206" s="22">
        <v>145</v>
      </c>
      <c r="G206" s="22">
        <v>99</v>
      </c>
      <c r="H206" s="25">
        <v>-31.72413793103448</v>
      </c>
      <c r="I206" s="22">
        <v>-1234456</v>
      </c>
      <c r="J206" s="25">
        <v>-40.6</v>
      </c>
    </row>
    <row r="207" spans="1:10">
      <c r="A207" s="4" t="s">
        <v>491</v>
      </c>
      <c r="B207" s="4" t="s">
        <v>68</v>
      </c>
      <c r="C207" s="4" t="s">
        <v>118</v>
      </c>
      <c r="D207" s="4" t="s">
        <v>378</v>
      </c>
      <c r="E207" s="22">
        <v>2198672</v>
      </c>
      <c r="F207" s="22">
        <v>345</v>
      </c>
      <c r="G207" s="22">
        <v>235</v>
      </c>
      <c r="H207" s="25">
        <v>-31.88405797101449</v>
      </c>
      <c r="I207" s="22">
        <v>-701580</v>
      </c>
      <c r="J207" s="25">
        <v>148.6</v>
      </c>
    </row>
    <row r="208" spans="1:10">
      <c r="A208" s="4" t="s">
        <v>283</v>
      </c>
      <c r="B208" s="4" t="s">
        <v>66</v>
      </c>
      <c r="C208" s="4" t="s">
        <v>279</v>
      </c>
      <c r="D208" s="4" t="s">
        <v>231</v>
      </c>
      <c r="E208" s="22">
        <v>5800888</v>
      </c>
      <c r="F208" s="22">
        <v>220</v>
      </c>
      <c r="G208" s="22">
        <v>149</v>
      </c>
      <c r="H208" s="25">
        <v>-32.27272727272727</v>
      </c>
      <c r="I208" s="22">
        <v>-1874329</v>
      </c>
      <c r="J208" s="25">
        <v>23.2</v>
      </c>
    </row>
    <row r="209" spans="1:10">
      <c r="A209" s="4" t="s">
        <v>345</v>
      </c>
      <c r="B209" s="4" t="s">
        <v>70</v>
      </c>
      <c r="C209" s="4" t="s">
        <v>79</v>
      </c>
      <c r="D209" s="4" t="s">
        <v>231</v>
      </c>
      <c r="E209" s="22">
        <v>3650000</v>
      </c>
      <c r="F209" s="22">
        <v>148</v>
      </c>
      <c r="G209" s="22">
        <v>100</v>
      </c>
      <c r="H209" s="25">
        <v>-32.43243243243244</v>
      </c>
      <c r="I209" s="22">
        <v>-1186800</v>
      </c>
      <c r="J209" s="25">
        <v>-39.6</v>
      </c>
    </row>
    <row r="210" spans="1:10">
      <c r="A210" s="4" t="s">
        <v>961</v>
      </c>
      <c r="B210" s="4" t="s">
        <v>68</v>
      </c>
      <c r="C210" s="4" t="s">
        <v>59</v>
      </c>
      <c r="D210" s="4" t="s">
        <v>901</v>
      </c>
      <c r="E210" s="22">
        <v>1040000</v>
      </c>
      <c r="F210" s="22">
        <v>200</v>
      </c>
      <c r="G210" s="22">
        <v>135</v>
      </c>
      <c r="H210" s="25">
        <v>-32.49999999999999</v>
      </c>
      <c r="I210" s="22">
        <v>-338000</v>
      </c>
      <c r="J210" s="25">
        <v>44.2</v>
      </c>
    </row>
    <row r="211" spans="1:10">
      <c r="A211" s="4" t="s">
        <v>245</v>
      </c>
      <c r="B211" s="4" t="s">
        <v>71</v>
      </c>
      <c r="C211" s="4" t="s">
        <v>246</v>
      </c>
      <c r="D211" s="4" t="s">
        <v>231</v>
      </c>
      <c r="E211" s="22">
        <v>8000000</v>
      </c>
      <c r="F211" s="22">
        <v>442</v>
      </c>
      <c r="G211" s="22">
        <v>293</v>
      </c>
      <c r="H211" s="25">
        <v>-33.71040723981901</v>
      </c>
      <c r="I211" s="22">
        <v>-2698390</v>
      </c>
      <c r="J211" s="25">
        <v>41.2</v>
      </c>
    </row>
    <row r="212" spans="1:10">
      <c r="A212" s="4" t="s">
        <v>278</v>
      </c>
      <c r="B212" s="4" t="s">
        <v>66</v>
      </c>
      <c r="C212" s="4" t="s">
        <v>279</v>
      </c>
      <c r="D212" s="4" t="s">
        <v>231</v>
      </c>
      <c r="E212" s="22">
        <v>5999999</v>
      </c>
      <c r="F212" s="22">
        <v>227</v>
      </c>
      <c r="G212" s="22">
        <v>149</v>
      </c>
      <c r="H212" s="25">
        <v>-34.36123348017621</v>
      </c>
      <c r="I212" s="22">
        <v>-2059122</v>
      </c>
      <c r="J212" s="25">
        <v>27.4</v>
      </c>
    </row>
    <row r="213" spans="1:10">
      <c r="A213" s="4" t="s">
        <v>236</v>
      </c>
      <c r="B213" s="4" t="s">
        <v>71</v>
      </c>
      <c r="C213" s="4" t="s">
        <v>79</v>
      </c>
      <c r="D213" s="4" t="s">
        <v>231</v>
      </c>
      <c r="E213" s="22">
        <v>9600000</v>
      </c>
      <c r="F213" s="22">
        <v>347</v>
      </c>
      <c r="G213" s="22">
        <v>226</v>
      </c>
      <c r="H213" s="25">
        <v>-34.87031700288185</v>
      </c>
      <c r="I213" s="22">
        <v>-3351216</v>
      </c>
      <c r="J213" s="25">
        <v>10.8</v>
      </c>
    </row>
    <row r="214" spans="1:10">
      <c r="A214" s="4" t="s">
        <v>325</v>
      </c>
      <c r="B214" s="4" t="s">
        <v>68</v>
      </c>
      <c r="C214" s="4" t="s">
        <v>110</v>
      </c>
      <c r="D214" s="4" t="s">
        <v>231</v>
      </c>
      <c r="E214" s="22">
        <v>4000000</v>
      </c>
      <c r="F214" s="22">
        <v>209</v>
      </c>
      <c r="G214" s="22">
        <v>131</v>
      </c>
      <c r="H214" s="25">
        <v>-37.32057416267942</v>
      </c>
      <c r="I214" s="22">
        <v>-1491750</v>
      </c>
      <c r="J214" s="25">
        <v>50.8</v>
      </c>
    </row>
    <row r="215" spans="1:10">
      <c r="A215" s="4" t="s">
        <v>287</v>
      </c>
      <c r="B215" s="4" t="s">
        <v>66</v>
      </c>
      <c r="C215" s="4" t="s">
        <v>109</v>
      </c>
      <c r="D215" s="4" t="s">
        <v>231</v>
      </c>
      <c r="E215" s="22">
        <v>5450000</v>
      </c>
      <c r="F215" s="22">
        <v>282</v>
      </c>
      <c r="G215" s="22">
        <v>176</v>
      </c>
      <c r="H215" s="25">
        <v>-37.5886524822695</v>
      </c>
      <c r="I215" s="22">
        <v>-2045588</v>
      </c>
      <c r="J215" s="25">
        <v>58.3</v>
      </c>
    </row>
    <row r="216" spans="1:10">
      <c r="A216" s="4" t="s">
        <v>464</v>
      </c>
      <c r="B216" s="4" t="s">
        <v>72</v>
      </c>
      <c r="C216" s="4" t="s">
        <v>120</v>
      </c>
      <c r="D216" s="4" t="s">
        <v>259</v>
      </c>
      <c r="E216" s="22">
        <v>2499999</v>
      </c>
      <c r="F216" s="22">
        <v>392</v>
      </c>
      <c r="G216" s="22">
        <v>243</v>
      </c>
      <c r="H216" s="25">
        <v>-38.01020408163265</v>
      </c>
      <c r="I216" s="22">
        <v>-949875</v>
      </c>
      <c r="J216" s="25">
        <v>7.3</v>
      </c>
    </row>
    <row r="217" spans="1:10">
      <c r="A217" s="4" t="s">
        <v>329</v>
      </c>
      <c r="B217" s="4" t="s">
        <v>65</v>
      </c>
      <c r="C217" s="4" t="s">
        <v>83</v>
      </c>
      <c r="D217" s="4" t="s">
        <v>231</v>
      </c>
      <c r="E217" s="22">
        <v>3995000</v>
      </c>
      <c r="F217" s="22">
        <v>177</v>
      </c>
      <c r="G217" s="22">
        <v>109</v>
      </c>
      <c r="H217" s="25">
        <v>-38.4180790960452</v>
      </c>
      <c r="I217" s="22">
        <v>-1538840</v>
      </c>
      <c r="J217" s="25">
        <v>-8.800000000000001</v>
      </c>
    </row>
    <row r="218" spans="1:10">
      <c r="A218" s="4" t="s">
        <v>266</v>
      </c>
      <c r="B218" s="4" t="s">
        <v>65</v>
      </c>
      <c r="C218" s="4" t="s">
        <v>109</v>
      </c>
      <c r="D218" s="4" t="s">
        <v>231</v>
      </c>
      <c r="E218" s="22">
        <v>6500000</v>
      </c>
      <c r="F218" s="22">
        <v>260</v>
      </c>
      <c r="G218" s="22">
        <v>159</v>
      </c>
      <c r="H218" s="25">
        <v>-38.84615384615384</v>
      </c>
      <c r="I218" s="22">
        <v>-2525000</v>
      </c>
      <c r="J218" s="25">
        <v>34.3</v>
      </c>
    </row>
    <row r="219" spans="1:10">
      <c r="A219" s="4" t="s">
        <v>460</v>
      </c>
      <c r="B219" s="4" t="s">
        <v>68</v>
      </c>
      <c r="C219" s="4" t="s">
        <v>79</v>
      </c>
      <c r="D219" s="4" t="s">
        <v>901</v>
      </c>
      <c r="E219" s="22">
        <v>2299000</v>
      </c>
      <c r="F219" s="22">
        <v>406</v>
      </c>
      <c r="G219" s="22">
        <v>244</v>
      </c>
      <c r="H219" s="25">
        <v>-39.90147783251231</v>
      </c>
      <c r="I219" s="22">
        <v>-917568</v>
      </c>
      <c r="J219" s="25">
        <v>192.7</v>
      </c>
    </row>
    <row r="220" spans="1:10">
      <c r="A220" s="4" t="s">
        <v>307</v>
      </c>
      <c r="B220" s="4" t="s">
        <v>65</v>
      </c>
      <c r="C220" s="4" t="s">
        <v>59</v>
      </c>
      <c r="D220" s="4" t="s">
        <v>231</v>
      </c>
      <c r="E220" s="22">
        <v>4500000</v>
      </c>
      <c r="F220" s="22">
        <v>99</v>
      </c>
      <c r="G220" s="22">
        <v>59</v>
      </c>
      <c r="H220" s="25">
        <v>-40.40404040404041</v>
      </c>
      <c r="I220" s="22">
        <v>-1822720</v>
      </c>
      <c r="J220" s="25">
        <v>-49</v>
      </c>
    </row>
    <row r="221" spans="1:10">
      <c r="A221" s="4" t="s">
        <v>1046</v>
      </c>
      <c r="B221" s="4" t="s">
        <v>67</v>
      </c>
      <c r="C221" s="4" t="s">
        <v>119</v>
      </c>
      <c r="D221" s="4" t="s">
        <v>259</v>
      </c>
      <c r="E221" s="22">
        <v>5500000</v>
      </c>
      <c r="F221" s="22">
        <v>466</v>
      </c>
      <c r="G221" s="22">
        <v>264</v>
      </c>
      <c r="H221" s="25">
        <v>-43.34763948497854</v>
      </c>
      <c r="I221" s="22">
        <v>-2383600</v>
      </c>
      <c r="J221" s="25">
        <v>200.6</v>
      </c>
    </row>
    <row r="222" spans="1:10">
      <c r="A222" s="4" t="s">
        <v>1047</v>
      </c>
      <c r="B222" s="4" t="s">
        <v>66</v>
      </c>
      <c r="C222" s="4" t="s">
        <v>120</v>
      </c>
      <c r="D222" s="4" t="s">
        <v>231</v>
      </c>
      <c r="E222" s="22">
        <v>4500000</v>
      </c>
      <c r="F222" s="22">
        <v>444</v>
      </c>
      <c r="G222" s="22">
        <v>249</v>
      </c>
      <c r="H222" s="25">
        <v>-43.91891891891891</v>
      </c>
      <c r="I222" s="22">
        <v>-1974570</v>
      </c>
      <c r="J222" s="25">
        <v>149.1</v>
      </c>
    </row>
    <row r="223" spans="1:10">
      <c r="A223" s="4" t="s">
        <v>303</v>
      </c>
      <c r="B223" s="4" t="s">
        <v>65</v>
      </c>
      <c r="C223" s="4" t="s">
        <v>81</v>
      </c>
      <c r="D223" s="4" t="s">
        <v>231</v>
      </c>
      <c r="E223" s="22">
        <v>4600000</v>
      </c>
      <c r="F223" s="22">
        <v>362</v>
      </c>
      <c r="G223" s="22">
        <v>202</v>
      </c>
      <c r="H223" s="25">
        <v>-44.19889502762431</v>
      </c>
      <c r="I223" s="22">
        <v>-2034400</v>
      </c>
      <c r="J223" s="25">
        <v>86.90000000000001</v>
      </c>
    </row>
    <row r="224" spans="1:10">
      <c r="A224" s="4" t="s">
        <v>1048</v>
      </c>
      <c r="B224" s="4" t="s">
        <v>66</v>
      </c>
      <c r="C224" s="4" t="s">
        <v>109</v>
      </c>
      <c r="D224" s="4" t="s">
        <v>231</v>
      </c>
      <c r="E224" s="22">
        <v>4490000</v>
      </c>
      <c r="F224" s="22">
        <v>449</v>
      </c>
      <c r="G224" s="22">
        <v>250</v>
      </c>
      <c r="H224" s="25">
        <v>-44.32071269487751</v>
      </c>
      <c r="I224" s="22">
        <v>-1990000</v>
      </c>
      <c r="J224" s="25">
        <v>151.6</v>
      </c>
    </row>
    <row r="225" spans="1:10">
      <c r="A225" s="4" t="s">
        <v>299</v>
      </c>
      <c r="B225" s="4" t="s">
        <v>65</v>
      </c>
      <c r="C225" s="4" t="s">
        <v>77</v>
      </c>
      <c r="D225" s="4" t="s">
        <v>901</v>
      </c>
      <c r="E225" s="22">
        <v>5000000</v>
      </c>
      <c r="F225" s="22">
        <v>784</v>
      </c>
      <c r="G225" s="22">
        <v>432</v>
      </c>
      <c r="H225" s="25">
        <v>-44.89795918367348</v>
      </c>
      <c r="I225" s="22">
        <v>-2244000</v>
      </c>
      <c r="J225" s="25">
        <v>305.1</v>
      </c>
    </row>
    <row r="226" spans="1:10">
      <c r="A226" s="4" t="s">
        <v>753</v>
      </c>
      <c r="B226" s="4" t="s">
        <v>69</v>
      </c>
      <c r="C226" s="4" t="s">
        <v>81</v>
      </c>
      <c r="D226" s="4" t="s">
        <v>901</v>
      </c>
      <c r="E226" s="22">
        <v>990000</v>
      </c>
      <c r="F226" s="22">
        <v>412</v>
      </c>
      <c r="G226" s="22">
        <v>227</v>
      </c>
      <c r="H226" s="25">
        <v>-44.90291262135923</v>
      </c>
      <c r="I226" s="22">
        <v>-444000</v>
      </c>
      <c r="J226" s="25">
        <v>107.6</v>
      </c>
    </row>
    <row r="227" spans="1:10">
      <c r="A227" s="4" t="s">
        <v>753</v>
      </c>
      <c r="B227" s="4" t="s">
        <v>69</v>
      </c>
      <c r="C227" s="4" t="s">
        <v>81</v>
      </c>
      <c r="D227" s="4" t="s">
        <v>259</v>
      </c>
      <c r="E227" s="22">
        <v>1000000</v>
      </c>
      <c r="F227" s="22">
        <v>417</v>
      </c>
      <c r="G227" s="22">
        <v>227</v>
      </c>
      <c r="H227" s="25">
        <v>-45.56354916067147</v>
      </c>
      <c r="I227" s="22">
        <v>-456000</v>
      </c>
      <c r="J227" s="25">
        <v>109.7</v>
      </c>
    </row>
    <row r="228" spans="1:10">
      <c r="A228" s="4" t="s">
        <v>230</v>
      </c>
      <c r="B228" s="4" t="s">
        <v>65</v>
      </c>
      <c r="C228" s="4" t="s">
        <v>81</v>
      </c>
      <c r="D228" s="4" t="s">
        <v>231</v>
      </c>
      <c r="E228" s="22">
        <v>11900000</v>
      </c>
      <c r="F228" s="22">
        <v>132</v>
      </c>
      <c r="G228" s="22">
        <v>71</v>
      </c>
      <c r="H228" s="25">
        <v>-46.21212121212122</v>
      </c>
      <c r="I228" s="22">
        <v>-5501773</v>
      </c>
      <c r="J228" s="25">
        <v>-31.8</v>
      </c>
    </row>
    <row r="229" spans="1:10">
      <c r="A229" s="4" t="s">
        <v>753</v>
      </c>
      <c r="B229" s="4" t="s">
        <v>69</v>
      </c>
      <c r="C229" s="4" t="s">
        <v>81</v>
      </c>
      <c r="D229" s="4" t="s">
        <v>259</v>
      </c>
      <c r="E229" s="22">
        <v>1020000</v>
      </c>
      <c r="F229" s="22">
        <v>425</v>
      </c>
      <c r="G229" s="22">
        <v>227</v>
      </c>
      <c r="H229" s="25">
        <v>-46.58823529411765</v>
      </c>
      <c r="I229" s="22">
        <v>-475200</v>
      </c>
      <c r="J229" s="25">
        <v>113.9</v>
      </c>
    </row>
    <row r="230" spans="1:10">
      <c r="A230" s="4" t="s">
        <v>1049</v>
      </c>
      <c r="B230" s="4" t="s">
        <v>66</v>
      </c>
      <c r="C230" s="4" t="s">
        <v>59</v>
      </c>
      <c r="D230" s="4" t="s">
        <v>231</v>
      </c>
      <c r="E230" s="22">
        <v>1575000</v>
      </c>
      <c r="F230" s="22">
        <v>414</v>
      </c>
      <c r="G230" s="22">
        <v>216</v>
      </c>
      <c r="H230" s="25">
        <v>-47.82608695652174</v>
      </c>
      <c r="I230" s="22">
        <v>-752598</v>
      </c>
      <c r="J230" s="25">
        <v>132.2</v>
      </c>
    </row>
    <row r="231" spans="1:10">
      <c r="A231" s="4" t="s">
        <v>1050</v>
      </c>
      <c r="B231" s="4" t="s">
        <v>66</v>
      </c>
      <c r="C231" s="4" t="s">
        <v>109</v>
      </c>
      <c r="D231" s="4" t="s">
        <v>231</v>
      </c>
      <c r="E231" s="22">
        <v>4795000</v>
      </c>
      <c r="F231" s="22">
        <v>480</v>
      </c>
      <c r="G231" s="22">
        <v>250</v>
      </c>
      <c r="H231" s="25">
        <v>-47.91666666666666</v>
      </c>
      <c r="I231" s="22">
        <v>-2300000</v>
      </c>
      <c r="J231" s="25">
        <v>168.7</v>
      </c>
    </row>
    <row r="232" spans="1:10">
      <c r="A232" s="4" t="s">
        <v>1051</v>
      </c>
      <c r="B232" s="4" t="s">
        <v>65</v>
      </c>
      <c r="C232" s="4" t="s">
        <v>77</v>
      </c>
      <c r="D232" s="4" t="s">
        <v>231</v>
      </c>
      <c r="E232" s="22">
        <v>6000000</v>
      </c>
      <c r="F232" s="22">
        <v>738</v>
      </c>
      <c r="G232" s="22">
        <v>380</v>
      </c>
      <c r="H232" s="25">
        <v>-48.50948509485094</v>
      </c>
      <c r="I232" s="22">
        <v>-2909108</v>
      </c>
      <c r="J232" s="25">
        <v>281.4</v>
      </c>
    </row>
    <row r="233" spans="1:10">
      <c r="A233" s="4" t="s">
        <v>1051</v>
      </c>
      <c r="B233" s="4" t="s">
        <v>65</v>
      </c>
      <c r="C233" s="4" t="s">
        <v>77</v>
      </c>
      <c r="D233" s="4" t="s">
        <v>901</v>
      </c>
      <c r="E233" s="22">
        <v>6000000</v>
      </c>
      <c r="F233" s="22">
        <v>738</v>
      </c>
      <c r="G233" s="22">
        <v>379</v>
      </c>
      <c r="H233" s="25">
        <v>-48.6449864498645</v>
      </c>
      <c r="I233" s="22">
        <v>-2917234</v>
      </c>
      <c r="J233" s="25">
        <v>281.4</v>
      </c>
    </row>
    <row r="234" spans="1:10">
      <c r="A234" s="4" t="s">
        <v>689</v>
      </c>
      <c r="B234" s="4" t="s">
        <v>69</v>
      </c>
      <c r="C234" s="4" t="s">
        <v>81</v>
      </c>
      <c r="D234" s="4" t="s">
        <v>259</v>
      </c>
      <c r="E234" s="22">
        <v>1250000</v>
      </c>
      <c r="F234" s="22">
        <v>379</v>
      </c>
      <c r="G234" s="22">
        <v>192</v>
      </c>
      <c r="H234" s="25">
        <v>-49.34036939313984</v>
      </c>
      <c r="I234" s="22">
        <v>-617100</v>
      </c>
      <c r="J234" s="25">
        <v>90.59999999999999</v>
      </c>
    </row>
    <row r="235" spans="1:10">
      <c r="A235" s="4" t="s">
        <v>943</v>
      </c>
      <c r="B235" s="4" t="s">
        <v>69</v>
      </c>
      <c r="C235" s="4" t="s">
        <v>81</v>
      </c>
      <c r="D235" s="4" t="s">
        <v>901</v>
      </c>
      <c r="E235" s="22">
        <v>2100000</v>
      </c>
      <c r="F235" s="22">
        <v>226</v>
      </c>
      <c r="G235" s="22">
        <v>110</v>
      </c>
      <c r="H235" s="25">
        <v>-51.32743362831859</v>
      </c>
      <c r="I235" s="22">
        <v>-1077524</v>
      </c>
      <c r="J235" s="25">
        <v>13.8</v>
      </c>
    </row>
    <row r="236" spans="1:10">
      <c r="A236" s="4" t="s">
        <v>250</v>
      </c>
      <c r="B236" s="4" t="s">
        <v>66</v>
      </c>
      <c r="C236" s="4" t="s">
        <v>82</v>
      </c>
      <c r="D236" s="4" t="s">
        <v>231</v>
      </c>
      <c r="E236" s="22">
        <v>7950000</v>
      </c>
      <c r="F236" s="22">
        <v>204</v>
      </c>
      <c r="G236" s="22">
        <v>97</v>
      </c>
      <c r="H236" s="25">
        <v>-52.45098039215686</v>
      </c>
      <c r="I236" s="22">
        <v>-4173000</v>
      </c>
      <c r="J236" s="25">
        <v>14.2</v>
      </c>
    </row>
    <row r="237" spans="1:10">
      <c r="A237" s="4" t="s">
        <v>1052</v>
      </c>
      <c r="B237" s="4" t="s">
        <v>65</v>
      </c>
      <c r="C237" s="4" t="s">
        <v>107</v>
      </c>
      <c r="D237" s="4" t="s">
        <v>231</v>
      </c>
      <c r="E237" s="22">
        <v>2500000</v>
      </c>
      <c r="F237" s="22">
        <v>1352</v>
      </c>
      <c r="G237" s="22">
        <v>633</v>
      </c>
      <c r="H237" s="25">
        <v>-53.18047337278107</v>
      </c>
      <c r="I237" s="22">
        <v>-1329431</v>
      </c>
      <c r="J237" s="25">
        <v>598.4</v>
      </c>
    </row>
    <row r="238" spans="1:10">
      <c r="A238" s="4" t="s">
        <v>444</v>
      </c>
      <c r="B238" s="4" t="s">
        <v>70</v>
      </c>
      <c r="C238" s="4" t="s">
        <v>82</v>
      </c>
      <c r="D238" s="4" t="s">
        <v>231</v>
      </c>
      <c r="E238" s="22">
        <v>2650000</v>
      </c>
      <c r="F238" s="22">
        <v>337</v>
      </c>
      <c r="G238" s="22">
        <v>152</v>
      </c>
      <c r="H238" s="25">
        <v>-54.89614243323442</v>
      </c>
      <c r="I238" s="22">
        <v>-1456875</v>
      </c>
      <c r="J238" s="25">
        <v>37.6</v>
      </c>
    </row>
    <row r="239" spans="1:10">
      <c r="A239" s="4" t="s">
        <v>363</v>
      </c>
      <c r="B239" s="4" t="s">
        <v>69</v>
      </c>
      <c r="C239" s="4" t="s">
        <v>364</v>
      </c>
      <c r="D239" s="4" t="s">
        <v>231</v>
      </c>
      <c r="E239" s="22">
        <v>3500000</v>
      </c>
      <c r="F239" s="22">
        <v>197</v>
      </c>
      <c r="G239" s="22">
        <v>88</v>
      </c>
      <c r="H239" s="25">
        <v>-55.32994923857868</v>
      </c>
      <c r="I239" s="22">
        <v>-1933660</v>
      </c>
      <c r="J239" s="25">
        <v>-0.7</v>
      </c>
    </row>
    <row r="240" spans="1:10">
      <c r="A240" s="4" t="s">
        <v>258</v>
      </c>
      <c r="B240" s="4" t="s">
        <v>70</v>
      </c>
      <c r="C240" s="4" t="s">
        <v>76</v>
      </c>
      <c r="D240" s="4" t="s">
        <v>259</v>
      </c>
      <c r="E240" s="22">
        <v>7000000</v>
      </c>
      <c r="F240" s="22">
        <v>415</v>
      </c>
      <c r="G240" s="22">
        <v>177</v>
      </c>
      <c r="H240" s="25">
        <v>-57.34939759036144</v>
      </c>
      <c r="I240" s="22">
        <v>-4016250</v>
      </c>
      <c r="J240" s="25">
        <v>69.59999999999999</v>
      </c>
    </row>
    <row r="241" spans="1:10">
      <c r="A241" s="4" t="s">
        <v>519</v>
      </c>
      <c r="B241" s="4" t="s">
        <v>69</v>
      </c>
      <c r="C241" s="4" t="s">
        <v>81</v>
      </c>
      <c r="D241" s="4" t="s">
        <v>231</v>
      </c>
      <c r="E241" s="22">
        <v>1700000</v>
      </c>
      <c r="F241" s="22">
        <v>392</v>
      </c>
      <c r="G241" s="22">
        <v>166</v>
      </c>
      <c r="H241" s="25">
        <v>-57.65306122448979</v>
      </c>
      <c r="I241" s="22">
        <v>-980840</v>
      </c>
      <c r="J241" s="25">
        <v>97.09999999999999</v>
      </c>
    </row>
    <row r="242" spans="1:10">
      <c r="A242" s="4" t="s">
        <v>519</v>
      </c>
      <c r="B242" s="4" t="s">
        <v>69</v>
      </c>
      <c r="C242" s="4" t="s">
        <v>81</v>
      </c>
      <c r="D242" s="4" t="s">
        <v>259</v>
      </c>
      <c r="E242" s="22">
        <v>1740000</v>
      </c>
      <c r="F242" s="22">
        <v>383</v>
      </c>
      <c r="G242" s="22">
        <v>162</v>
      </c>
      <c r="H242" s="25">
        <v>-57.70234986945169</v>
      </c>
      <c r="I242" s="22">
        <v>-1003340</v>
      </c>
      <c r="J242" s="25">
        <v>92.90000000000001</v>
      </c>
    </row>
    <row r="243" spans="1:10">
      <c r="A243" s="4" t="s">
        <v>1053</v>
      </c>
      <c r="B243" s="4" t="s">
        <v>73</v>
      </c>
      <c r="C243" s="4" t="s">
        <v>110</v>
      </c>
      <c r="D243" s="4" t="s">
        <v>231</v>
      </c>
      <c r="E243" s="22">
        <v>5000000</v>
      </c>
      <c r="F243" s="22">
        <v>875</v>
      </c>
      <c r="G243" s="22">
        <v>347</v>
      </c>
      <c r="H243" s="25">
        <v>-60.34285714285714</v>
      </c>
      <c r="I243" s="22">
        <v>-3017520</v>
      </c>
      <c r="J243" s="25">
        <v>316</v>
      </c>
    </row>
    <row r="244" spans="1:10">
      <c r="A244" s="4" t="s">
        <v>254</v>
      </c>
      <c r="B244" s="4" t="s">
        <v>68</v>
      </c>
      <c r="C244" s="4" t="s">
        <v>118</v>
      </c>
      <c r="D244" s="4" t="s">
        <v>231</v>
      </c>
      <c r="E244" s="22">
        <v>7600000</v>
      </c>
      <c r="F244" s="22">
        <v>286</v>
      </c>
      <c r="G244" s="22">
        <v>110</v>
      </c>
      <c r="H244" s="25">
        <v>-61.53846153846154</v>
      </c>
      <c r="I244" s="22">
        <v>-4677376</v>
      </c>
      <c r="J244" s="25">
        <v>106.2</v>
      </c>
    </row>
    <row r="245" spans="1:10">
      <c r="A245" s="4" t="s">
        <v>1054</v>
      </c>
      <c r="B245" s="4" t="s">
        <v>65</v>
      </c>
      <c r="C245" s="4" t="s">
        <v>110</v>
      </c>
      <c r="D245" s="4" t="s">
        <v>896</v>
      </c>
      <c r="E245" s="22">
        <v>2400000</v>
      </c>
      <c r="F245" s="22">
        <v>2166</v>
      </c>
      <c r="G245" s="22">
        <v>831</v>
      </c>
      <c r="H245" s="25">
        <v>-61.63434903047091</v>
      </c>
      <c r="I245" s="22">
        <v>-1479180</v>
      </c>
      <c r="J245" s="25">
        <v>1018.8</v>
      </c>
    </row>
    <row r="246" spans="1:10">
      <c r="A246" s="4" t="s">
        <v>410</v>
      </c>
      <c r="B246" s="4" t="s">
        <v>69</v>
      </c>
      <c r="C246" s="4" t="s">
        <v>420</v>
      </c>
      <c r="D246" s="4" t="s">
        <v>378</v>
      </c>
      <c r="E246" s="22">
        <v>2800000</v>
      </c>
      <c r="F246" s="22">
        <v>373</v>
      </c>
      <c r="G246" s="22">
        <v>139</v>
      </c>
      <c r="H246" s="25">
        <v>-62.73458445040214</v>
      </c>
      <c r="I246" s="22">
        <v>-1756170</v>
      </c>
      <c r="J246" s="25">
        <v>87.8</v>
      </c>
    </row>
    <row r="247" spans="1:10">
      <c r="A247" s="4" t="s">
        <v>410</v>
      </c>
      <c r="B247" s="4" t="s">
        <v>69</v>
      </c>
      <c r="C247" s="4" t="s">
        <v>108</v>
      </c>
      <c r="D247" s="4" t="s">
        <v>231</v>
      </c>
      <c r="E247" s="22">
        <v>2850000</v>
      </c>
      <c r="F247" s="22">
        <v>380</v>
      </c>
      <c r="G247" s="22">
        <v>140</v>
      </c>
      <c r="H247" s="25">
        <v>-63.1578947368421</v>
      </c>
      <c r="I247" s="22">
        <v>-1801200</v>
      </c>
      <c r="J247" s="25">
        <v>91.09999999999999</v>
      </c>
    </row>
    <row r="248" spans="1:10">
      <c r="A248" s="4" t="s">
        <v>519</v>
      </c>
      <c r="B248" s="4" t="s">
        <v>69</v>
      </c>
      <c r="C248" s="4" t="s">
        <v>81</v>
      </c>
      <c r="D248" s="4" t="s">
        <v>231</v>
      </c>
      <c r="E248" s="22">
        <v>2043000</v>
      </c>
      <c r="F248" s="22">
        <v>450</v>
      </c>
      <c r="G248" s="22">
        <v>162</v>
      </c>
      <c r="H248" s="25">
        <v>-64</v>
      </c>
      <c r="I248" s="22">
        <v>-1307520</v>
      </c>
      <c r="J248" s="25">
        <v>126.5</v>
      </c>
    </row>
    <row r="249" spans="1:10">
      <c r="A249" s="4" t="s">
        <v>1055</v>
      </c>
      <c r="B249" s="4" t="s">
        <v>71</v>
      </c>
      <c r="C249" s="4" t="s">
        <v>107</v>
      </c>
      <c r="D249" s="4" t="s">
        <v>259</v>
      </c>
      <c r="E249" s="22">
        <v>12400000</v>
      </c>
      <c r="F249" s="22">
        <v>992</v>
      </c>
      <c r="G249" s="22">
        <v>356</v>
      </c>
      <c r="H249" s="25">
        <v>-64.11290322580645</v>
      </c>
      <c r="I249" s="22">
        <v>-7950000</v>
      </c>
      <c r="J249" s="25">
        <v>217</v>
      </c>
    </row>
    <row r="250" spans="1:10">
      <c r="A250" s="4" t="s">
        <v>274</v>
      </c>
      <c r="B250" s="4" t="s">
        <v>69</v>
      </c>
      <c r="C250" s="4" t="s">
        <v>112</v>
      </c>
      <c r="D250" s="4" t="s">
        <v>231</v>
      </c>
      <c r="E250" s="22">
        <v>5999999</v>
      </c>
      <c r="F250" s="22">
        <v>179</v>
      </c>
      <c r="G250" s="22">
        <v>63</v>
      </c>
      <c r="H250" s="25">
        <v>-64.80446927374301</v>
      </c>
      <c r="I250" s="22">
        <v>-3883912</v>
      </c>
      <c r="J250" s="25">
        <v>-9.800000000000001</v>
      </c>
    </row>
    <row r="251" spans="1:10">
      <c r="A251" s="4" t="s">
        <v>1052</v>
      </c>
      <c r="B251" s="4" t="s">
        <v>70</v>
      </c>
      <c r="C251" s="4" t="s">
        <v>111</v>
      </c>
      <c r="D251" s="4" t="s">
        <v>259</v>
      </c>
      <c r="E251" s="22">
        <v>2200000</v>
      </c>
      <c r="F251" s="22">
        <v>1190</v>
      </c>
      <c r="G251" s="22">
        <v>411</v>
      </c>
      <c r="H251" s="25">
        <v>-65.46218487394958</v>
      </c>
      <c r="I251" s="22">
        <v>-1440371</v>
      </c>
      <c r="J251" s="25">
        <v>386.6</v>
      </c>
    </row>
    <row r="252" spans="1:10">
      <c r="A252" s="4" t="s">
        <v>1056</v>
      </c>
      <c r="B252" s="4" t="s">
        <v>66</v>
      </c>
      <c r="C252" s="4" t="s">
        <v>107</v>
      </c>
      <c r="D252" s="4" t="s">
        <v>259</v>
      </c>
      <c r="E252" s="22">
        <v>10795000</v>
      </c>
      <c r="F252" s="22">
        <v>506</v>
      </c>
      <c r="G252" s="22">
        <v>168</v>
      </c>
      <c r="H252" s="25">
        <v>-66.798418972332</v>
      </c>
      <c r="I252" s="22">
        <v>-7204470</v>
      </c>
      <c r="J252" s="25">
        <v>183.8</v>
      </c>
    </row>
    <row r="253" spans="1:10">
      <c r="A253" s="4" t="s">
        <v>254</v>
      </c>
      <c r="B253" s="4" t="s">
        <v>68</v>
      </c>
      <c r="C253" s="4" t="s">
        <v>118</v>
      </c>
      <c r="D253" s="4" t="s">
        <v>231</v>
      </c>
      <c r="E253" s="22">
        <v>8900000</v>
      </c>
      <c r="F253" s="22">
        <v>335</v>
      </c>
      <c r="G253" s="22">
        <v>110</v>
      </c>
      <c r="H253" s="25">
        <v>-67.16417910447761</v>
      </c>
      <c r="I253" s="22">
        <v>-5979600</v>
      </c>
      <c r="J253" s="25">
        <v>141.5</v>
      </c>
    </row>
    <row r="254" spans="1:10">
      <c r="A254" s="4" t="s">
        <v>295</v>
      </c>
      <c r="B254" s="4" t="s">
        <v>72</v>
      </c>
      <c r="C254" s="4" t="s">
        <v>81</v>
      </c>
      <c r="D254" s="4" t="s">
        <v>231</v>
      </c>
      <c r="E254" s="22">
        <v>5000000</v>
      </c>
      <c r="F254" s="22">
        <v>577</v>
      </c>
      <c r="G254" s="22">
        <v>184</v>
      </c>
      <c r="H254" s="25">
        <v>-68.11091854419411</v>
      </c>
      <c r="I254" s="22">
        <v>-3404952</v>
      </c>
      <c r="J254" s="25">
        <v>57.9</v>
      </c>
    </row>
    <row r="255" spans="1:10">
      <c r="A255" s="4" t="s">
        <v>1057</v>
      </c>
      <c r="B255" s="4" t="s">
        <v>71</v>
      </c>
      <c r="C255" s="4" t="s">
        <v>107</v>
      </c>
      <c r="D255" s="4" t="s">
        <v>259</v>
      </c>
      <c r="E255" s="22">
        <v>14999000</v>
      </c>
      <c r="F255" s="22">
        <v>1112</v>
      </c>
      <c r="G255" s="22">
        <v>342</v>
      </c>
      <c r="H255" s="25">
        <v>-69.24460431654677</v>
      </c>
      <c r="I255" s="22">
        <v>-10381910</v>
      </c>
      <c r="J255" s="25">
        <v>255.5</v>
      </c>
    </row>
    <row r="256" spans="1:10">
      <c r="A256" s="4" t="s">
        <v>1058</v>
      </c>
      <c r="B256" s="4" t="s">
        <v>71</v>
      </c>
      <c r="C256" s="4" t="s">
        <v>107</v>
      </c>
      <c r="D256" s="4" t="s">
        <v>231</v>
      </c>
      <c r="E256" s="22">
        <v>14750000</v>
      </c>
      <c r="F256" s="22">
        <v>1137</v>
      </c>
      <c r="G256" s="22">
        <v>349</v>
      </c>
      <c r="H256" s="25">
        <v>-69.30518909410731</v>
      </c>
      <c r="I256" s="22">
        <v>-10225088</v>
      </c>
      <c r="J256" s="25">
        <v>263.2</v>
      </c>
    </row>
    <row r="257" spans="1:10">
      <c r="A257" s="4" t="s">
        <v>258</v>
      </c>
      <c r="B257" s="4" t="s">
        <v>70</v>
      </c>
      <c r="C257" s="4" t="s">
        <v>116</v>
      </c>
      <c r="D257" s="4" t="s">
        <v>259</v>
      </c>
      <c r="E257" s="22">
        <v>7000000</v>
      </c>
      <c r="F257" s="22">
        <v>415</v>
      </c>
      <c r="G257" s="22">
        <v>127</v>
      </c>
      <c r="H257" s="25">
        <v>-69.39759036144578</v>
      </c>
      <c r="I257" s="22">
        <v>-4860000</v>
      </c>
      <c r="J257" s="25">
        <v>69.59999999999999</v>
      </c>
    </row>
    <row r="258" spans="1:10">
      <c r="A258" s="4" t="s">
        <v>1059</v>
      </c>
      <c r="B258" s="4" t="s">
        <v>65</v>
      </c>
      <c r="C258" s="4" t="s">
        <v>835</v>
      </c>
      <c r="D258" s="4" t="s">
        <v>231</v>
      </c>
      <c r="E258" s="22">
        <v>13900000</v>
      </c>
      <c r="F258" s="22">
        <v>562</v>
      </c>
      <c r="G258" s="22">
        <v>159</v>
      </c>
      <c r="H258" s="25">
        <v>-71.70818505338079</v>
      </c>
      <c r="I258" s="22">
        <v>-9960145</v>
      </c>
      <c r="J258" s="25">
        <v>190.5</v>
      </c>
    </row>
    <row r="259" spans="1:10">
      <c r="A259" s="4" t="s">
        <v>1060</v>
      </c>
      <c r="B259" s="4" t="s">
        <v>71</v>
      </c>
      <c r="C259" s="4" t="s">
        <v>246</v>
      </c>
      <c r="D259" s="4" t="s">
        <v>231</v>
      </c>
      <c r="E259" s="22">
        <v>12000000</v>
      </c>
      <c r="F259" s="22">
        <v>1920</v>
      </c>
      <c r="G259" s="22">
        <v>515</v>
      </c>
      <c r="H259" s="25">
        <v>-73.17708333333333</v>
      </c>
      <c r="I259" s="22">
        <v>-8781250</v>
      </c>
      <c r="J259" s="25">
        <v>513.5</v>
      </c>
    </row>
    <row r="260" spans="1:10">
      <c r="A260" s="4" t="s">
        <v>1061</v>
      </c>
      <c r="B260" s="4" t="s">
        <v>68</v>
      </c>
      <c r="C260" s="4" t="s">
        <v>118</v>
      </c>
      <c r="D260" s="4" t="s">
        <v>231</v>
      </c>
      <c r="E260" s="22">
        <v>11250000</v>
      </c>
      <c r="F260" s="22">
        <v>653</v>
      </c>
      <c r="G260" s="22">
        <v>139</v>
      </c>
      <c r="H260" s="25">
        <v>-78.7136294027565</v>
      </c>
      <c r="I260" s="22">
        <v>-8851080</v>
      </c>
      <c r="J260" s="25">
        <v>371.1</v>
      </c>
    </row>
    <row r="261" spans="1:10">
      <c r="A261" s="4" t="s">
        <v>1062</v>
      </c>
      <c r="B261" s="4" t="s">
        <v>66</v>
      </c>
      <c r="C261" s="4" t="s">
        <v>59</v>
      </c>
      <c r="D261" s="4" t="s">
        <v>231</v>
      </c>
      <c r="E261" s="22">
        <v>6895000</v>
      </c>
      <c r="F261" s="22">
        <v>690</v>
      </c>
      <c r="G261" s="22">
        <v>129</v>
      </c>
      <c r="H261" s="25">
        <v>-81.30434782608695</v>
      </c>
      <c r="I261" s="22">
        <v>-5610000</v>
      </c>
      <c r="J261" s="25">
        <v>286.4</v>
      </c>
    </row>
    <row r="262" spans="1:10">
      <c r="A262" s="4" t="s">
        <v>1063</v>
      </c>
      <c r="B262" s="4" t="s">
        <v>65</v>
      </c>
      <c r="C262" s="4" t="s">
        <v>107</v>
      </c>
      <c r="D262" s="4" t="s">
        <v>231</v>
      </c>
      <c r="E262" s="22">
        <v>23000000</v>
      </c>
      <c r="F262" s="22">
        <v>812</v>
      </c>
      <c r="G262" s="22">
        <v>148</v>
      </c>
      <c r="H262" s="25">
        <v>-81.77339901477832</v>
      </c>
      <c r="I262" s="22">
        <v>-18805144</v>
      </c>
      <c r="J262" s="25">
        <v>319.5</v>
      </c>
    </row>
    <row r="263" spans="1:10">
      <c r="A263" s="4" t="s">
        <v>1064</v>
      </c>
      <c r="B263" s="4" t="s">
        <v>66</v>
      </c>
      <c r="C263" s="4" t="s">
        <v>83</v>
      </c>
      <c r="D263" s="4" t="s">
        <v>231</v>
      </c>
      <c r="E263" s="22">
        <v>5200000</v>
      </c>
      <c r="F263" s="22">
        <v>1932</v>
      </c>
      <c r="G263" s="22">
        <v>329</v>
      </c>
      <c r="H263" s="25">
        <v>-82.97101449275362</v>
      </c>
      <c r="I263" s="22">
        <v>-4313673</v>
      </c>
      <c r="J263" s="25">
        <v>983</v>
      </c>
    </row>
    <row r="264" spans="1:10">
      <c r="A264" s="4" t="s">
        <v>1065</v>
      </c>
      <c r="B264" s="4" t="s">
        <v>70</v>
      </c>
      <c r="C264" s="4" t="s">
        <v>59</v>
      </c>
      <c r="D264" s="4" t="s">
        <v>259</v>
      </c>
      <c r="E264" s="22">
        <v>7995000</v>
      </c>
      <c r="F264" s="22">
        <v>643</v>
      </c>
      <c r="G264" s="22">
        <v>77</v>
      </c>
      <c r="H264" s="25">
        <v>-88.02488335925351</v>
      </c>
      <c r="I264" s="22">
        <v>-7037078</v>
      </c>
      <c r="J264" s="25">
        <v>163</v>
      </c>
    </row>
    <row r="265" spans="1:10">
      <c r="A265" s="4" t="s">
        <v>1066</v>
      </c>
      <c r="B265" s="4" t="s">
        <v>69</v>
      </c>
      <c r="C265" s="4" t="s">
        <v>528</v>
      </c>
      <c r="D265" s="4" t="s">
        <v>259</v>
      </c>
      <c r="E265" s="22">
        <v>12500000</v>
      </c>
      <c r="F265" s="22">
        <v>805</v>
      </c>
      <c r="G265" s="22">
        <v>95</v>
      </c>
      <c r="H265" s="25">
        <v>-88.19875776397515</v>
      </c>
      <c r="I265" s="22">
        <v>-11029850</v>
      </c>
      <c r="J265" s="25">
        <v>305</v>
      </c>
    </row>
    <row r="266" spans="1:10">
      <c r="A266" s="4" t="s">
        <v>1067</v>
      </c>
      <c r="B266" s="4" t="s">
        <v>69</v>
      </c>
      <c r="C266" s="4" t="s">
        <v>108</v>
      </c>
      <c r="D266" s="4" t="s">
        <v>259</v>
      </c>
      <c r="E266" s="22">
        <v>21000000</v>
      </c>
      <c r="F266" s="22">
        <v>557</v>
      </c>
      <c r="G266" s="22">
        <v>59</v>
      </c>
      <c r="H266" s="25">
        <v>-89.40754039497307</v>
      </c>
      <c r="I266" s="22">
        <v>-18767130</v>
      </c>
      <c r="J266" s="25">
        <v>180.5</v>
      </c>
    </row>
  </sheetData>
  <autoFilter ref="A4:J266"/>
  <mergeCells count="1">
    <mergeCell ref="A2:J2"/>
  </mergeCells>
  <conditionalFormatting sqref="H5:H266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I5:I266">
    <cfRule type="cellIs" dxfId="0" priority="3" operator="greaterThan">
      <formula>0</formula>
    </cfRule>
    <cfRule type="cellIs" dxfId="1" priority="4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08"/>
  <sheetViews>
    <sheetView workbookViewId="0"/>
  </sheetViews>
  <sheetFormatPr defaultRowHeight="15"/>
  <cols>
    <col min="1" max="1" width="22.7109375" customWidth="1"/>
    <col min="2" max="9" width="12.7109375" customWidth="1"/>
  </cols>
  <sheetData>
    <row r="1" spans="1:8">
      <c r="A1" s="1" t="s">
        <v>1068</v>
      </c>
    </row>
    <row r="2" spans="1:8" ht="30" customHeight="1">
      <c r="A2" s="2" t="s">
        <v>1069</v>
      </c>
      <c r="B2" s="2"/>
      <c r="C2" s="2"/>
      <c r="D2" s="2"/>
      <c r="E2" s="2"/>
      <c r="F2" s="2"/>
      <c r="G2" s="2"/>
      <c r="H2" s="2"/>
    </row>
    <row r="4" spans="1:8">
      <c r="A4" s="1" t="s">
        <v>1070</v>
      </c>
    </row>
    <row r="5" spans="1:8">
      <c r="A5" s="20" t="s">
        <v>123</v>
      </c>
      <c r="B5" s="20" t="s">
        <v>1071</v>
      </c>
      <c r="C5" s="20" t="s">
        <v>1072</v>
      </c>
      <c r="D5" s="20" t="s">
        <v>1073</v>
      </c>
    </row>
    <row r="6" spans="1:8">
      <c r="A6" s="10" t="s">
        <v>65</v>
      </c>
      <c r="B6" s="21">
        <v>96</v>
      </c>
      <c r="C6" s="27">
        <v>29</v>
      </c>
      <c r="D6" s="22">
        <v>194</v>
      </c>
    </row>
    <row r="7" spans="1:8">
      <c r="A7" s="10" t="s">
        <v>66</v>
      </c>
      <c r="B7" s="21">
        <v>90</v>
      </c>
      <c r="C7" s="27">
        <v>27.2</v>
      </c>
      <c r="D7" s="22">
        <v>178</v>
      </c>
    </row>
    <row r="8" spans="1:8">
      <c r="A8" s="10" t="s">
        <v>67</v>
      </c>
      <c r="B8" s="21">
        <v>34</v>
      </c>
      <c r="C8" s="27">
        <v>10.3</v>
      </c>
      <c r="D8" s="22">
        <v>150</v>
      </c>
    </row>
    <row r="9" spans="1:8">
      <c r="A9" s="10" t="s">
        <v>68</v>
      </c>
      <c r="B9" s="21">
        <v>33</v>
      </c>
      <c r="C9" s="27">
        <v>10</v>
      </c>
      <c r="D9" s="22">
        <v>136</v>
      </c>
    </row>
    <row r="10" spans="1:8">
      <c r="A10" s="10" t="s">
        <v>69</v>
      </c>
      <c r="B10" s="21">
        <v>29</v>
      </c>
      <c r="C10" s="27">
        <v>8.800000000000001</v>
      </c>
      <c r="D10" s="22">
        <v>197</v>
      </c>
    </row>
    <row r="11" spans="1:8">
      <c r="A11" s="10" t="s">
        <v>70</v>
      </c>
      <c r="B11" s="21">
        <v>25</v>
      </c>
      <c r="C11" s="27">
        <v>7.6</v>
      </c>
      <c r="D11" s="22">
        <v>247</v>
      </c>
    </row>
    <row r="12" spans="1:8">
      <c r="A12" s="10" t="s">
        <v>71</v>
      </c>
      <c r="B12" s="21">
        <v>11</v>
      </c>
      <c r="C12" s="27">
        <v>3.3</v>
      </c>
      <c r="D12" s="22">
        <v>347</v>
      </c>
    </row>
    <row r="13" spans="1:8">
      <c r="A13" s="10" t="s">
        <v>72</v>
      </c>
      <c r="B13" s="21">
        <v>8</v>
      </c>
      <c r="C13" s="27">
        <v>2.4</v>
      </c>
      <c r="D13" s="22">
        <v>364</v>
      </c>
    </row>
    <row r="14" spans="1:8">
      <c r="A14" s="10" t="s">
        <v>73</v>
      </c>
      <c r="B14" s="21">
        <v>3</v>
      </c>
      <c r="C14" s="27">
        <v>0.9</v>
      </c>
      <c r="D14" s="22">
        <v>345</v>
      </c>
    </row>
    <row r="15" spans="1:8">
      <c r="A15" s="10" t="s">
        <v>74</v>
      </c>
      <c r="B15" s="21">
        <v>2</v>
      </c>
      <c r="C15" s="27">
        <v>0.6</v>
      </c>
      <c r="D15" s="22">
        <v>319</v>
      </c>
    </row>
    <row r="18" spans="1:4">
      <c r="A18" s="1" t="s">
        <v>1074</v>
      </c>
    </row>
    <row r="19" spans="1:4">
      <c r="A19" s="20" t="s">
        <v>134</v>
      </c>
      <c r="B19" s="20" t="s">
        <v>1071</v>
      </c>
      <c r="C19" s="20" t="s">
        <v>1072</v>
      </c>
      <c r="D19" s="20" t="s">
        <v>1073</v>
      </c>
    </row>
    <row r="20" spans="1:4">
      <c r="A20" s="10" t="s">
        <v>94</v>
      </c>
      <c r="B20" s="21">
        <v>143</v>
      </c>
      <c r="C20" s="27">
        <v>43.2</v>
      </c>
      <c r="D20" s="22">
        <v>169</v>
      </c>
    </row>
    <row r="21" spans="1:4">
      <c r="A21" s="10" t="s">
        <v>95</v>
      </c>
      <c r="B21" s="21">
        <v>76</v>
      </c>
      <c r="C21" s="27">
        <v>23</v>
      </c>
      <c r="D21" s="22">
        <v>127</v>
      </c>
    </row>
    <row r="22" spans="1:4">
      <c r="A22" s="10" t="s">
        <v>96</v>
      </c>
      <c r="B22" s="21">
        <v>72</v>
      </c>
      <c r="C22" s="27">
        <v>21.8</v>
      </c>
      <c r="D22" s="22">
        <v>214</v>
      </c>
    </row>
    <row r="23" spans="1:4">
      <c r="A23" s="10" t="s">
        <v>97</v>
      </c>
      <c r="B23" s="21">
        <v>28</v>
      </c>
      <c r="C23" s="27">
        <v>8.5</v>
      </c>
      <c r="D23" s="22">
        <v>324</v>
      </c>
    </row>
    <row r="24" spans="1:4">
      <c r="A24" s="10" t="s">
        <v>98</v>
      </c>
      <c r="B24" s="21">
        <v>12</v>
      </c>
      <c r="C24" s="27">
        <v>3.6</v>
      </c>
      <c r="D24" s="22">
        <v>729</v>
      </c>
    </row>
    <row r="27" spans="1:4">
      <c r="A27" s="1" t="s">
        <v>1075</v>
      </c>
    </row>
    <row r="28" spans="1:4">
      <c r="A28" s="20" t="s">
        <v>135</v>
      </c>
      <c r="B28" s="20" t="s">
        <v>1071</v>
      </c>
      <c r="C28" s="20" t="s">
        <v>1072</v>
      </c>
      <c r="D28" s="20" t="s">
        <v>1073</v>
      </c>
    </row>
    <row r="29" spans="1:4">
      <c r="A29" s="10" t="s">
        <v>100</v>
      </c>
      <c r="B29" s="21">
        <v>135</v>
      </c>
      <c r="C29" s="27">
        <v>40.8</v>
      </c>
      <c r="D29" s="22">
        <v>171</v>
      </c>
    </row>
    <row r="30" spans="1:4">
      <c r="A30" s="10" t="s">
        <v>101</v>
      </c>
      <c r="B30" s="21">
        <v>119</v>
      </c>
      <c r="C30" s="27">
        <v>36</v>
      </c>
      <c r="D30" s="22">
        <v>170</v>
      </c>
    </row>
    <row r="31" spans="1:4">
      <c r="A31" s="10" t="s">
        <v>102</v>
      </c>
      <c r="B31" s="21">
        <v>31</v>
      </c>
      <c r="C31" s="27">
        <v>9.4</v>
      </c>
      <c r="D31" s="22">
        <v>424</v>
      </c>
    </row>
    <row r="32" spans="1:4">
      <c r="A32" s="10" t="s">
        <v>103</v>
      </c>
      <c r="B32" s="21">
        <v>28</v>
      </c>
      <c r="C32" s="27">
        <v>8.5</v>
      </c>
      <c r="D32" s="22">
        <v>180</v>
      </c>
    </row>
    <row r="33" spans="1:7">
      <c r="A33" s="10" t="s">
        <v>104</v>
      </c>
      <c r="B33" s="21">
        <v>17</v>
      </c>
      <c r="C33" s="27">
        <v>5.1</v>
      </c>
      <c r="D33" s="22">
        <v>379</v>
      </c>
    </row>
    <row r="34" spans="1:7">
      <c r="A34" s="10" t="s">
        <v>105</v>
      </c>
      <c r="B34" s="21">
        <v>1</v>
      </c>
      <c r="C34" s="27">
        <v>0.3</v>
      </c>
      <c r="D34" s="22">
        <v>132</v>
      </c>
    </row>
    <row r="37" spans="1:7">
      <c r="A37" s="1" t="s">
        <v>1076</v>
      </c>
    </row>
    <row r="38" spans="1:7">
      <c r="A38" s="3" t="s">
        <v>1071</v>
      </c>
      <c r="B38" s="20" t="s">
        <v>95</v>
      </c>
      <c r="C38" s="20" t="s">
        <v>94</v>
      </c>
      <c r="D38" s="20" t="s">
        <v>96</v>
      </c>
      <c r="E38" s="20" t="s">
        <v>97</v>
      </c>
      <c r="F38" s="20" t="s">
        <v>98</v>
      </c>
      <c r="G38" s="20" t="s">
        <v>1077</v>
      </c>
    </row>
    <row r="39" spans="1:7">
      <c r="A39" s="10" t="s">
        <v>66</v>
      </c>
      <c r="B39" s="21">
        <v>8</v>
      </c>
      <c r="C39" s="21">
        <v>52</v>
      </c>
      <c r="D39" s="21">
        <v>21</v>
      </c>
      <c r="E39" s="21">
        <v>8</v>
      </c>
      <c r="F39" s="21">
        <v>1</v>
      </c>
      <c r="G39" s="21">
        <v>90</v>
      </c>
    </row>
    <row r="40" spans="1:7">
      <c r="A40" s="10" t="s">
        <v>69</v>
      </c>
      <c r="B40" s="21">
        <v>11</v>
      </c>
      <c r="C40" s="21">
        <v>12</v>
      </c>
      <c r="D40" s="21">
        <v>3</v>
      </c>
      <c r="E40" s="21">
        <v>1</v>
      </c>
      <c r="F40" s="21">
        <v>2</v>
      </c>
      <c r="G40" s="21">
        <v>29</v>
      </c>
    </row>
    <row r="41" spans="1:7">
      <c r="A41" s="10" t="s">
        <v>70</v>
      </c>
      <c r="B41" s="21">
        <v>5</v>
      </c>
      <c r="C41" s="21">
        <v>11</v>
      </c>
      <c r="D41" s="21">
        <v>6</v>
      </c>
      <c r="E41" s="21">
        <v>3</v>
      </c>
      <c r="F41" s="21">
        <v>0</v>
      </c>
      <c r="G41" s="21">
        <v>25</v>
      </c>
    </row>
    <row r="42" spans="1:7">
      <c r="A42" s="10" t="s">
        <v>67</v>
      </c>
      <c r="B42" s="21">
        <v>8</v>
      </c>
      <c r="C42" s="21">
        <v>17</v>
      </c>
      <c r="D42" s="21">
        <v>7</v>
      </c>
      <c r="E42" s="21">
        <v>2</v>
      </c>
      <c r="F42" s="21">
        <v>0</v>
      </c>
      <c r="G42" s="21">
        <v>34</v>
      </c>
    </row>
    <row r="43" spans="1:7">
      <c r="A43" s="10" t="s">
        <v>68</v>
      </c>
      <c r="B43" s="21">
        <v>12</v>
      </c>
      <c r="C43" s="21">
        <v>14</v>
      </c>
      <c r="D43" s="21">
        <v>4</v>
      </c>
      <c r="E43" s="21">
        <v>2</v>
      </c>
      <c r="F43" s="21">
        <v>1</v>
      </c>
      <c r="G43" s="21">
        <v>33</v>
      </c>
    </row>
    <row r="44" spans="1:7">
      <c r="A44" s="10" t="s">
        <v>71</v>
      </c>
      <c r="B44" s="21">
        <v>0</v>
      </c>
      <c r="C44" s="21">
        <v>0</v>
      </c>
      <c r="D44" s="21">
        <v>2</v>
      </c>
      <c r="E44" s="21">
        <v>5</v>
      </c>
      <c r="F44" s="21">
        <v>4</v>
      </c>
      <c r="G44" s="21">
        <v>11</v>
      </c>
    </row>
    <row r="45" spans="1:7">
      <c r="A45" s="10" t="s">
        <v>72</v>
      </c>
      <c r="B45" s="21">
        <v>2</v>
      </c>
      <c r="C45" s="21">
        <v>4</v>
      </c>
      <c r="D45" s="21">
        <v>1</v>
      </c>
      <c r="E45" s="21">
        <v>1</v>
      </c>
      <c r="F45" s="21">
        <v>0</v>
      </c>
      <c r="G45" s="21">
        <v>8</v>
      </c>
    </row>
    <row r="46" spans="1:7">
      <c r="A46" s="10" t="s">
        <v>73</v>
      </c>
      <c r="B46" s="21">
        <v>0</v>
      </c>
      <c r="C46" s="21">
        <v>2</v>
      </c>
      <c r="D46" s="21">
        <v>0</v>
      </c>
      <c r="E46" s="21">
        <v>1</v>
      </c>
      <c r="F46" s="21">
        <v>0</v>
      </c>
      <c r="G46" s="21">
        <v>3</v>
      </c>
    </row>
    <row r="47" spans="1:7">
      <c r="A47" s="10" t="s">
        <v>74</v>
      </c>
      <c r="B47" s="21">
        <v>0</v>
      </c>
      <c r="C47" s="21">
        <v>0</v>
      </c>
      <c r="D47" s="21">
        <v>2</v>
      </c>
      <c r="E47" s="21">
        <v>0</v>
      </c>
      <c r="F47" s="21">
        <v>0</v>
      </c>
      <c r="G47" s="21">
        <v>2</v>
      </c>
    </row>
    <row r="48" spans="1:7">
      <c r="A48" s="10" t="s">
        <v>65</v>
      </c>
      <c r="B48" s="21">
        <v>30</v>
      </c>
      <c r="C48" s="21">
        <v>31</v>
      </c>
      <c r="D48" s="21">
        <v>26</v>
      </c>
      <c r="E48" s="21">
        <v>5</v>
      </c>
      <c r="F48" s="21">
        <v>4</v>
      </c>
      <c r="G48" s="21">
        <v>96</v>
      </c>
    </row>
    <row r="50" spans="1:8">
      <c r="A50" s="3" t="s">
        <v>1078</v>
      </c>
      <c r="B50" s="20" t="s">
        <v>95</v>
      </c>
      <c r="C50" s="20" t="s">
        <v>94</v>
      </c>
      <c r="D50" s="20" t="s">
        <v>96</v>
      </c>
      <c r="E50" s="20" t="s">
        <v>97</v>
      </c>
      <c r="F50" s="20" t="s">
        <v>98</v>
      </c>
    </row>
    <row r="51" spans="1:8">
      <c r="A51" s="10" t="s">
        <v>66</v>
      </c>
      <c r="B51" s="27">
        <v>8.9</v>
      </c>
      <c r="C51" s="27">
        <v>57.8</v>
      </c>
      <c r="D51" s="27">
        <v>23.3</v>
      </c>
      <c r="E51" s="27">
        <v>8.9</v>
      </c>
      <c r="F51" s="27">
        <v>1.1</v>
      </c>
    </row>
    <row r="52" spans="1:8">
      <c r="A52" s="10" t="s">
        <v>69</v>
      </c>
      <c r="B52" s="27">
        <v>37.9</v>
      </c>
      <c r="C52" s="27">
        <v>41.4</v>
      </c>
      <c r="D52" s="27">
        <v>10.3</v>
      </c>
      <c r="E52" s="27">
        <v>3.4</v>
      </c>
      <c r="F52" s="27">
        <v>6.9</v>
      </c>
    </row>
    <row r="53" spans="1:8">
      <c r="A53" s="10" t="s">
        <v>70</v>
      </c>
      <c r="B53" s="27">
        <v>20</v>
      </c>
      <c r="C53" s="27">
        <v>44</v>
      </c>
      <c r="D53" s="27">
        <v>24</v>
      </c>
      <c r="E53" s="27">
        <v>12</v>
      </c>
      <c r="F53" s="27">
        <v>0</v>
      </c>
    </row>
    <row r="54" spans="1:8">
      <c r="A54" s="10" t="s">
        <v>67</v>
      </c>
      <c r="B54" s="27">
        <v>23.5</v>
      </c>
      <c r="C54" s="27">
        <v>50</v>
      </c>
      <c r="D54" s="27">
        <v>20.6</v>
      </c>
      <c r="E54" s="27">
        <v>5.9</v>
      </c>
      <c r="F54" s="27">
        <v>0</v>
      </c>
    </row>
    <row r="55" spans="1:8">
      <c r="A55" s="10" t="s">
        <v>68</v>
      </c>
      <c r="B55" s="27">
        <v>36.4</v>
      </c>
      <c r="C55" s="27">
        <v>42.4</v>
      </c>
      <c r="D55" s="27">
        <v>12.1</v>
      </c>
      <c r="E55" s="27">
        <v>6.1</v>
      </c>
      <c r="F55" s="27">
        <v>3</v>
      </c>
    </row>
    <row r="56" spans="1:8">
      <c r="A56" s="10" t="s">
        <v>71</v>
      </c>
      <c r="B56" s="27">
        <v>0</v>
      </c>
      <c r="C56" s="27">
        <v>0</v>
      </c>
      <c r="D56" s="27">
        <v>18.2</v>
      </c>
      <c r="E56" s="27">
        <v>45.5</v>
      </c>
      <c r="F56" s="27">
        <v>36.4</v>
      </c>
    </row>
    <row r="57" spans="1:8">
      <c r="A57" s="10" t="s">
        <v>72</v>
      </c>
      <c r="B57" s="27">
        <v>25</v>
      </c>
      <c r="C57" s="27">
        <v>50</v>
      </c>
      <c r="D57" s="27">
        <v>12.5</v>
      </c>
      <c r="E57" s="27">
        <v>12.5</v>
      </c>
      <c r="F57" s="27">
        <v>0</v>
      </c>
    </row>
    <row r="58" spans="1:8">
      <c r="A58" s="10" t="s">
        <v>73</v>
      </c>
      <c r="B58" s="27">
        <v>0</v>
      </c>
      <c r="C58" s="27">
        <v>66.7</v>
      </c>
      <c r="D58" s="27">
        <v>0</v>
      </c>
      <c r="E58" s="27">
        <v>33.3</v>
      </c>
      <c r="F58" s="27">
        <v>0</v>
      </c>
    </row>
    <row r="59" spans="1:8">
      <c r="A59" s="10" t="s">
        <v>74</v>
      </c>
      <c r="B59" s="27">
        <v>0</v>
      </c>
      <c r="C59" s="27">
        <v>0</v>
      </c>
      <c r="D59" s="27">
        <v>100</v>
      </c>
      <c r="E59" s="27">
        <v>0</v>
      </c>
      <c r="F59" s="27">
        <v>0</v>
      </c>
    </row>
    <row r="60" spans="1:8">
      <c r="A60" s="10" t="s">
        <v>65</v>
      </c>
      <c r="B60" s="27">
        <v>31.2</v>
      </c>
      <c r="C60" s="27">
        <v>32.3</v>
      </c>
      <c r="D60" s="27">
        <v>27.1</v>
      </c>
      <c r="E60" s="27">
        <v>5.2</v>
      </c>
      <c r="F60" s="27">
        <v>4.2</v>
      </c>
    </row>
    <row r="63" spans="1:8">
      <c r="A63" s="1" t="s">
        <v>1079</v>
      </c>
    </row>
    <row r="64" spans="1:8">
      <c r="A64" s="3" t="s">
        <v>1071</v>
      </c>
      <c r="B64" s="20" t="s">
        <v>102</v>
      </c>
      <c r="C64" s="20" t="s">
        <v>104</v>
      </c>
      <c r="D64" s="20" t="s">
        <v>101</v>
      </c>
      <c r="E64" s="20" t="s">
        <v>100</v>
      </c>
      <c r="F64" s="20" t="s">
        <v>103</v>
      </c>
      <c r="G64" s="20" t="s">
        <v>105</v>
      </c>
      <c r="H64" s="20" t="s">
        <v>1077</v>
      </c>
    </row>
    <row r="65" spans="1:8">
      <c r="A65" s="10" t="s">
        <v>66</v>
      </c>
      <c r="B65" s="21">
        <v>0</v>
      </c>
      <c r="C65" s="21">
        <v>3</v>
      </c>
      <c r="D65" s="21">
        <v>34</v>
      </c>
      <c r="E65" s="21">
        <v>48</v>
      </c>
      <c r="F65" s="21">
        <v>5</v>
      </c>
      <c r="G65" s="21">
        <v>0</v>
      </c>
      <c r="H65" s="21">
        <v>90</v>
      </c>
    </row>
    <row r="66" spans="1:8">
      <c r="A66" s="10" t="s">
        <v>69</v>
      </c>
      <c r="B66" s="21">
        <v>4</v>
      </c>
      <c r="C66" s="21">
        <v>4</v>
      </c>
      <c r="D66" s="21">
        <v>13</v>
      </c>
      <c r="E66" s="21">
        <v>6</v>
      </c>
      <c r="F66" s="21">
        <v>2</v>
      </c>
      <c r="G66" s="21">
        <v>0</v>
      </c>
      <c r="H66" s="21">
        <v>29</v>
      </c>
    </row>
    <row r="67" spans="1:8">
      <c r="A67" s="10" t="s">
        <v>70</v>
      </c>
      <c r="B67" s="21">
        <v>4</v>
      </c>
      <c r="C67" s="21">
        <v>1</v>
      </c>
      <c r="D67" s="21">
        <v>8</v>
      </c>
      <c r="E67" s="21">
        <v>10</v>
      </c>
      <c r="F67" s="21">
        <v>2</v>
      </c>
      <c r="G67" s="21">
        <v>0</v>
      </c>
      <c r="H67" s="21">
        <v>25</v>
      </c>
    </row>
    <row r="68" spans="1:8">
      <c r="A68" s="10" t="s">
        <v>67</v>
      </c>
      <c r="B68" s="21">
        <v>4</v>
      </c>
      <c r="C68" s="21">
        <v>0</v>
      </c>
      <c r="D68" s="21">
        <v>6</v>
      </c>
      <c r="E68" s="21">
        <v>21</v>
      </c>
      <c r="F68" s="21">
        <v>3</v>
      </c>
      <c r="G68" s="21">
        <v>0</v>
      </c>
      <c r="H68" s="21">
        <v>34</v>
      </c>
    </row>
    <row r="69" spans="1:8">
      <c r="A69" s="10" t="s">
        <v>68</v>
      </c>
      <c r="B69" s="21">
        <v>0</v>
      </c>
      <c r="C69" s="21">
        <v>4</v>
      </c>
      <c r="D69" s="21">
        <v>15</v>
      </c>
      <c r="E69" s="21">
        <v>10</v>
      </c>
      <c r="F69" s="21">
        <v>4</v>
      </c>
      <c r="G69" s="21">
        <v>0</v>
      </c>
      <c r="H69" s="21">
        <v>33</v>
      </c>
    </row>
    <row r="70" spans="1:8">
      <c r="A70" s="10" t="s">
        <v>71</v>
      </c>
      <c r="B70" s="21">
        <v>0</v>
      </c>
      <c r="C70" s="21">
        <v>0</v>
      </c>
      <c r="D70" s="21">
        <v>1</v>
      </c>
      <c r="E70" s="21">
        <v>7</v>
      </c>
      <c r="F70" s="21">
        <v>3</v>
      </c>
      <c r="G70" s="21">
        <v>0</v>
      </c>
      <c r="H70" s="21">
        <v>11</v>
      </c>
    </row>
    <row r="71" spans="1:8">
      <c r="A71" s="10" t="s">
        <v>72</v>
      </c>
      <c r="B71" s="21">
        <v>1</v>
      </c>
      <c r="C71" s="21">
        <v>0</v>
      </c>
      <c r="D71" s="21">
        <v>6</v>
      </c>
      <c r="E71" s="21">
        <v>1</v>
      </c>
      <c r="F71" s="21">
        <v>0</v>
      </c>
      <c r="G71" s="21">
        <v>0</v>
      </c>
      <c r="H71" s="21">
        <v>8</v>
      </c>
    </row>
    <row r="72" spans="1:8">
      <c r="A72" s="10" t="s">
        <v>73</v>
      </c>
      <c r="B72" s="21">
        <v>0</v>
      </c>
      <c r="C72" s="21">
        <v>0</v>
      </c>
      <c r="D72" s="21">
        <v>3</v>
      </c>
      <c r="E72" s="21">
        <v>0</v>
      </c>
      <c r="F72" s="21">
        <v>0</v>
      </c>
      <c r="G72" s="21">
        <v>0</v>
      </c>
      <c r="H72" s="21">
        <v>3</v>
      </c>
    </row>
    <row r="73" spans="1:8">
      <c r="A73" s="10" t="s">
        <v>74</v>
      </c>
      <c r="B73" s="21">
        <v>0</v>
      </c>
      <c r="C73" s="21">
        <v>0</v>
      </c>
      <c r="D73" s="21">
        <v>1</v>
      </c>
      <c r="E73" s="21">
        <v>1</v>
      </c>
      <c r="F73" s="21">
        <v>0</v>
      </c>
      <c r="G73" s="21">
        <v>0</v>
      </c>
      <c r="H73" s="21">
        <v>2</v>
      </c>
    </row>
    <row r="74" spans="1:8">
      <c r="A74" s="10" t="s">
        <v>65</v>
      </c>
      <c r="B74" s="21">
        <v>18</v>
      </c>
      <c r="C74" s="21">
        <v>5</v>
      </c>
      <c r="D74" s="21">
        <v>32</v>
      </c>
      <c r="E74" s="21">
        <v>31</v>
      </c>
      <c r="F74" s="21">
        <v>9</v>
      </c>
      <c r="G74" s="21">
        <v>1</v>
      </c>
      <c r="H74" s="21">
        <v>96</v>
      </c>
    </row>
    <row r="76" spans="1:8">
      <c r="A76" s="3" t="s">
        <v>1078</v>
      </c>
      <c r="B76" s="20" t="s">
        <v>102</v>
      </c>
      <c r="C76" s="20" t="s">
        <v>104</v>
      </c>
      <c r="D76" s="20" t="s">
        <v>101</v>
      </c>
      <c r="E76" s="20" t="s">
        <v>100</v>
      </c>
      <c r="F76" s="20" t="s">
        <v>103</v>
      </c>
      <c r="G76" s="20" t="s">
        <v>105</v>
      </c>
    </row>
    <row r="77" spans="1:8">
      <c r="A77" s="10" t="s">
        <v>66</v>
      </c>
      <c r="B77" s="27">
        <v>0</v>
      </c>
      <c r="C77" s="27">
        <v>3.3</v>
      </c>
      <c r="D77" s="27">
        <v>37.8</v>
      </c>
      <c r="E77" s="27">
        <v>53.3</v>
      </c>
      <c r="F77" s="27">
        <v>5.6</v>
      </c>
      <c r="G77" s="27">
        <v>0</v>
      </c>
    </row>
    <row r="78" spans="1:8">
      <c r="A78" s="10" t="s">
        <v>69</v>
      </c>
      <c r="B78" s="27">
        <v>13.8</v>
      </c>
      <c r="C78" s="27">
        <v>13.8</v>
      </c>
      <c r="D78" s="27">
        <v>44.8</v>
      </c>
      <c r="E78" s="27">
        <v>20.7</v>
      </c>
      <c r="F78" s="27">
        <v>6.9</v>
      </c>
      <c r="G78" s="27">
        <v>0</v>
      </c>
    </row>
    <row r="79" spans="1:8">
      <c r="A79" s="10" t="s">
        <v>70</v>
      </c>
      <c r="B79" s="27">
        <v>16</v>
      </c>
      <c r="C79" s="27">
        <v>4</v>
      </c>
      <c r="D79" s="27">
        <v>32</v>
      </c>
      <c r="E79" s="27">
        <v>40</v>
      </c>
      <c r="F79" s="27">
        <v>8</v>
      </c>
      <c r="G79" s="27">
        <v>0</v>
      </c>
    </row>
    <row r="80" spans="1:8">
      <c r="A80" s="10" t="s">
        <v>67</v>
      </c>
      <c r="B80" s="27">
        <v>11.8</v>
      </c>
      <c r="C80" s="27">
        <v>0</v>
      </c>
      <c r="D80" s="27">
        <v>17.6</v>
      </c>
      <c r="E80" s="27">
        <v>61.8</v>
      </c>
      <c r="F80" s="27">
        <v>8.800000000000001</v>
      </c>
      <c r="G80" s="27">
        <v>0</v>
      </c>
    </row>
    <row r="81" spans="1:8">
      <c r="A81" s="10" t="s">
        <v>68</v>
      </c>
      <c r="B81" s="27">
        <v>0</v>
      </c>
      <c r="C81" s="27">
        <v>12.1</v>
      </c>
      <c r="D81" s="27">
        <v>45.5</v>
      </c>
      <c r="E81" s="27">
        <v>30.3</v>
      </c>
      <c r="F81" s="27">
        <v>12.1</v>
      </c>
      <c r="G81" s="27">
        <v>0</v>
      </c>
    </row>
    <row r="82" spans="1:8">
      <c r="A82" s="10" t="s">
        <v>71</v>
      </c>
      <c r="B82" s="27">
        <v>0</v>
      </c>
      <c r="C82" s="27">
        <v>0</v>
      </c>
      <c r="D82" s="27">
        <v>9.1</v>
      </c>
      <c r="E82" s="27">
        <v>63.6</v>
      </c>
      <c r="F82" s="27">
        <v>27.3</v>
      </c>
      <c r="G82" s="27">
        <v>0</v>
      </c>
    </row>
    <row r="83" spans="1:8">
      <c r="A83" s="10" t="s">
        <v>72</v>
      </c>
      <c r="B83" s="27">
        <v>12.5</v>
      </c>
      <c r="C83" s="27">
        <v>0</v>
      </c>
      <c r="D83" s="27">
        <v>75</v>
      </c>
      <c r="E83" s="27">
        <v>12.5</v>
      </c>
      <c r="F83" s="27">
        <v>0</v>
      </c>
      <c r="G83" s="27">
        <v>0</v>
      </c>
    </row>
    <row r="84" spans="1:8">
      <c r="A84" s="10" t="s">
        <v>73</v>
      </c>
      <c r="B84" s="27">
        <v>0</v>
      </c>
      <c r="C84" s="27">
        <v>0</v>
      </c>
      <c r="D84" s="27">
        <v>100</v>
      </c>
      <c r="E84" s="27">
        <v>0</v>
      </c>
      <c r="F84" s="27">
        <v>0</v>
      </c>
      <c r="G84" s="27">
        <v>0</v>
      </c>
    </row>
    <row r="85" spans="1:8">
      <c r="A85" s="10" t="s">
        <v>74</v>
      </c>
      <c r="B85" s="27">
        <v>0</v>
      </c>
      <c r="C85" s="27">
        <v>0</v>
      </c>
      <c r="D85" s="27">
        <v>50</v>
      </c>
      <c r="E85" s="27">
        <v>50</v>
      </c>
      <c r="F85" s="27">
        <v>0</v>
      </c>
      <c r="G85" s="27">
        <v>0</v>
      </c>
    </row>
    <row r="86" spans="1:8">
      <c r="A86" s="10" t="s">
        <v>65</v>
      </c>
      <c r="B86" s="27">
        <v>18.8</v>
      </c>
      <c r="C86" s="27">
        <v>5.2</v>
      </c>
      <c r="D86" s="27">
        <v>33.3</v>
      </c>
      <c r="E86" s="27">
        <v>32.3</v>
      </c>
      <c r="F86" s="27">
        <v>9.4</v>
      </c>
      <c r="G86" s="27">
        <v>1</v>
      </c>
    </row>
    <row r="89" spans="1:8">
      <c r="A89" s="1" t="s">
        <v>1080</v>
      </c>
    </row>
    <row r="90" spans="1:8">
      <c r="A90" s="3" t="s">
        <v>1071</v>
      </c>
      <c r="B90" s="20" t="s">
        <v>102</v>
      </c>
      <c r="C90" s="20" t="s">
        <v>104</v>
      </c>
      <c r="D90" s="20" t="s">
        <v>101</v>
      </c>
      <c r="E90" s="20" t="s">
        <v>100</v>
      </c>
      <c r="F90" s="20" t="s">
        <v>103</v>
      </c>
      <c r="G90" s="20" t="s">
        <v>105</v>
      </c>
      <c r="H90" s="20" t="s">
        <v>1077</v>
      </c>
    </row>
    <row r="91" spans="1:8">
      <c r="A91" s="10" t="s">
        <v>95</v>
      </c>
      <c r="B91" s="21">
        <v>24</v>
      </c>
      <c r="C91" s="21">
        <v>4</v>
      </c>
      <c r="D91" s="21">
        <v>39</v>
      </c>
      <c r="E91" s="21">
        <v>9</v>
      </c>
      <c r="F91" s="21">
        <v>0</v>
      </c>
      <c r="G91" s="21">
        <v>0</v>
      </c>
      <c r="H91" s="21">
        <v>76</v>
      </c>
    </row>
    <row r="92" spans="1:8">
      <c r="A92" s="10" t="s">
        <v>94</v>
      </c>
      <c r="B92" s="21">
        <v>6</v>
      </c>
      <c r="C92" s="21">
        <v>11</v>
      </c>
      <c r="D92" s="21">
        <v>61</v>
      </c>
      <c r="E92" s="21">
        <v>63</v>
      </c>
      <c r="F92" s="21">
        <v>2</v>
      </c>
      <c r="G92" s="21">
        <v>0</v>
      </c>
      <c r="H92" s="21">
        <v>143</v>
      </c>
    </row>
    <row r="93" spans="1:8">
      <c r="A93" s="10" t="s">
        <v>96</v>
      </c>
      <c r="B93" s="21">
        <v>1</v>
      </c>
      <c r="C93" s="21">
        <v>1</v>
      </c>
      <c r="D93" s="21">
        <v>13</v>
      </c>
      <c r="E93" s="21">
        <v>46</v>
      </c>
      <c r="F93" s="21">
        <v>11</v>
      </c>
      <c r="G93" s="21">
        <v>0</v>
      </c>
      <c r="H93" s="21">
        <v>72</v>
      </c>
    </row>
    <row r="94" spans="1:8">
      <c r="A94" s="10" t="s">
        <v>97</v>
      </c>
      <c r="B94" s="21">
        <v>0</v>
      </c>
      <c r="C94" s="21">
        <v>1</v>
      </c>
      <c r="D94" s="21">
        <v>5</v>
      </c>
      <c r="E94" s="21">
        <v>10</v>
      </c>
      <c r="F94" s="21">
        <v>12</v>
      </c>
      <c r="G94" s="21">
        <v>0</v>
      </c>
      <c r="H94" s="21">
        <v>28</v>
      </c>
    </row>
    <row r="95" spans="1:8">
      <c r="A95" s="10" t="s">
        <v>98</v>
      </c>
      <c r="B95" s="21">
        <v>0</v>
      </c>
      <c r="C95" s="21">
        <v>0</v>
      </c>
      <c r="D95" s="21">
        <v>1</v>
      </c>
      <c r="E95" s="21">
        <v>7</v>
      </c>
      <c r="F95" s="21">
        <v>3</v>
      </c>
      <c r="G95" s="21">
        <v>1</v>
      </c>
      <c r="H95" s="21">
        <v>12</v>
      </c>
    </row>
    <row r="97" spans="1:7">
      <c r="A97" s="3" t="s">
        <v>1078</v>
      </c>
      <c r="B97" s="20" t="s">
        <v>102</v>
      </c>
      <c r="C97" s="20" t="s">
        <v>104</v>
      </c>
      <c r="D97" s="20" t="s">
        <v>101</v>
      </c>
      <c r="E97" s="20" t="s">
        <v>100</v>
      </c>
      <c r="F97" s="20" t="s">
        <v>103</v>
      </c>
      <c r="G97" s="20" t="s">
        <v>105</v>
      </c>
    </row>
    <row r="98" spans="1:7">
      <c r="A98" s="10" t="s">
        <v>95</v>
      </c>
      <c r="B98" s="27">
        <v>31.6</v>
      </c>
      <c r="C98" s="27">
        <v>5.3</v>
      </c>
      <c r="D98" s="27">
        <v>51.3</v>
      </c>
      <c r="E98" s="27">
        <v>11.8</v>
      </c>
      <c r="F98" s="27">
        <v>0</v>
      </c>
      <c r="G98" s="27">
        <v>0</v>
      </c>
    </row>
    <row r="99" spans="1:7">
      <c r="A99" s="10" t="s">
        <v>94</v>
      </c>
      <c r="B99" s="27">
        <v>4.2</v>
      </c>
      <c r="C99" s="27">
        <v>7.7</v>
      </c>
      <c r="D99" s="27">
        <v>42.7</v>
      </c>
      <c r="E99" s="27">
        <v>44.1</v>
      </c>
      <c r="F99" s="27">
        <v>1.4</v>
      </c>
      <c r="G99" s="27">
        <v>0</v>
      </c>
    </row>
    <row r="100" spans="1:7">
      <c r="A100" s="10" t="s">
        <v>96</v>
      </c>
      <c r="B100" s="27">
        <v>1.4</v>
      </c>
      <c r="C100" s="27">
        <v>1.4</v>
      </c>
      <c r="D100" s="27">
        <v>18.1</v>
      </c>
      <c r="E100" s="27">
        <v>63.9</v>
      </c>
      <c r="F100" s="27">
        <v>15.3</v>
      </c>
      <c r="G100" s="27">
        <v>0</v>
      </c>
    </row>
    <row r="101" spans="1:7">
      <c r="A101" s="10" t="s">
        <v>97</v>
      </c>
      <c r="B101" s="27">
        <v>0</v>
      </c>
      <c r="C101" s="27">
        <v>3.6</v>
      </c>
      <c r="D101" s="27">
        <v>17.9</v>
      </c>
      <c r="E101" s="27">
        <v>35.7</v>
      </c>
      <c r="F101" s="27">
        <v>42.9</v>
      </c>
      <c r="G101" s="27">
        <v>0</v>
      </c>
    </row>
    <row r="102" spans="1:7">
      <c r="A102" s="10" t="s">
        <v>98</v>
      </c>
      <c r="B102" s="27">
        <v>0</v>
      </c>
      <c r="C102" s="27">
        <v>0</v>
      </c>
      <c r="D102" s="27">
        <v>8.300000000000001</v>
      </c>
      <c r="E102" s="27">
        <v>58.3</v>
      </c>
      <c r="F102" s="27">
        <v>25</v>
      </c>
      <c r="G102" s="27">
        <v>8.300000000000001</v>
      </c>
    </row>
    <row r="105" spans="1:7">
      <c r="A105" s="1" t="s">
        <v>1081</v>
      </c>
    </row>
    <row r="106" spans="1:7">
      <c r="A106" s="20" t="s">
        <v>1082</v>
      </c>
      <c r="B106" s="20" t="s">
        <v>1071</v>
      </c>
      <c r="C106" s="20" t="s">
        <v>1072</v>
      </c>
      <c r="D106" s="20" t="s">
        <v>1073</v>
      </c>
    </row>
    <row r="107" spans="1:7">
      <c r="A107" s="10" t="s">
        <v>1083</v>
      </c>
      <c r="B107" s="21">
        <v>29</v>
      </c>
      <c r="C107" s="27">
        <v>96.7</v>
      </c>
      <c r="D107" s="22">
        <v>164</v>
      </c>
    </row>
    <row r="108" spans="1:7">
      <c r="A108" s="10" t="s">
        <v>1084</v>
      </c>
      <c r="B108" s="21">
        <v>1</v>
      </c>
      <c r="C108" s="27">
        <v>3.3</v>
      </c>
      <c r="D108" s="22">
        <v>180</v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L157"/>
  <sheetViews>
    <sheetView workbookViewId="0"/>
  </sheetViews>
  <sheetFormatPr defaultRowHeight="15"/>
  <cols>
    <col min="1" max="1" width="16.7109375" customWidth="1"/>
    <col min="2" max="12" width="12.7109375" customWidth="1"/>
  </cols>
  <sheetData>
    <row r="1" spans="1:12">
      <c r="A1" s="1" t="s">
        <v>1085</v>
      </c>
    </row>
    <row r="2" spans="1:12" ht="30" customHeight="1">
      <c r="A2" s="2" t="s">
        <v>1086</v>
      </c>
      <c r="B2" s="2"/>
      <c r="C2" s="2"/>
      <c r="D2" s="2"/>
      <c r="E2" s="2"/>
      <c r="F2" s="2"/>
      <c r="G2" s="2"/>
      <c r="H2" s="2"/>
      <c r="I2" s="2"/>
    </row>
    <row r="4" spans="1:12">
      <c r="A4" s="1" t="s">
        <v>1087</v>
      </c>
    </row>
    <row r="5" spans="1:12">
      <c r="A5" s="3" t="s">
        <v>1071</v>
      </c>
      <c r="B5" s="20" t="s">
        <v>66</v>
      </c>
      <c r="C5" s="20" t="s">
        <v>69</v>
      </c>
      <c r="D5" s="20" t="s">
        <v>70</v>
      </c>
      <c r="E5" s="20" t="s">
        <v>67</v>
      </c>
      <c r="F5" s="20" t="s">
        <v>68</v>
      </c>
      <c r="G5" s="20" t="s">
        <v>71</v>
      </c>
      <c r="H5" s="20" t="s">
        <v>72</v>
      </c>
      <c r="I5" s="20" t="s">
        <v>73</v>
      </c>
      <c r="J5" s="20" t="s">
        <v>74</v>
      </c>
      <c r="K5" s="20" t="s">
        <v>65</v>
      </c>
      <c r="L5" s="20" t="s">
        <v>1077</v>
      </c>
    </row>
    <row r="6" spans="1:12">
      <c r="A6" s="10" t="s">
        <v>59</v>
      </c>
      <c r="B6" s="21">
        <v>3</v>
      </c>
      <c r="C6" s="21">
        <v>1</v>
      </c>
      <c r="D6" s="21">
        <v>1</v>
      </c>
      <c r="E6" s="21">
        <v>0</v>
      </c>
      <c r="F6" s="21">
        <v>1</v>
      </c>
      <c r="G6" s="21">
        <v>0</v>
      </c>
      <c r="H6" s="21">
        <v>0</v>
      </c>
      <c r="I6" s="21">
        <v>0</v>
      </c>
      <c r="J6" s="21">
        <v>0</v>
      </c>
      <c r="K6" s="21">
        <v>6</v>
      </c>
      <c r="L6" s="21">
        <v>12</v>
      </c>
    </row>
    <row r="7" spans="1:12">
      <c r="A7" s="10" t="s">
        <v>107</v>
      </c>
      <c r="B7" s="21">
        <v>1</v>
      </c>
      <c r="C7" s="21">
        <v>0</v>
      </c>
      <c r="D7" s="21">
        <v>0</v>
      </c>
      <c r="E7" s="21">
        <v>0</v>
      </c>
      <c r="F7" s="21">
        <v>0</v>
      </c>
      <c r="G7" s="21">
        <v>3</v>
      </c>
      <c r="H7" s="21">
        <v>0</v>
      </c>
      <c r="I7" s="21">
        <v>0</v>
      </c>
      <c r="J7" s="21">
        <v>0</v>
      </c>
      <c r="K7" s="21">
        <v>2</v>
      </c>
      <c r="L7" s="21">
        <v>6</v>
      </c>
    </row>
    <row r="8" spans="1:12">
      <c r="A8" s="10" t="s">
        <v>108</v>
      </c>
      <c r="B8" s="21">
        <v>0</v>
      </c>
      <c r="C8" s="21">
        <v>2</v>
      </c>
      <c r="D8" s="21">
        <v>0</v>
      </c>
      <c r="E8" s="21">
        <v>0</v>
      </c>
      <c r="F8" s="21">
        <v>1</v>
      </c>
      <c r="G8" s="21">
        <v>3</v>
      </c>
      <c r="H8" s="21">
        <v>0</v>
      </c>
      <c r="I8" s="21">
        <v>0</v>
      </c>
      <c r="J8" s="21">
        <v>0</v>
      </c>
      <c r="K8" s="21">
        <v>4</v>
      </c>
      <c r="L8" s="21">
        <v>10</v>
      </c>
    </row>
    <row r="9" spans="1:12">
      <c r="A9" s="10" t="s">
        <v>109</v>
      </c>
      <c r="B9" s="21">
        <v>7</v>
      </c>
      <c r="C9" s="21">
        <v>2</v>
      </c>
      <c r="D9" s="21">
        <v>1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14</v>
      </c>
      <c r="L9" s="21">
        <v>24</v>
      </c>
    </row>
    <row r="10" spans="1:12">
      <c r="A10" s="10" t="s">
        <v>110</v>
      </c>
      <c r="B10" s="21">
        <v>6</v>
      </c>
      <c r="C10" s="21">
        <v>0</v>
      </c>
      <c r="D10" s="21">
        <v>0</v>
      </c>
      <c r="E10" s="21">
        <v>0</v>
      </c>
      <c r="F10" s="21">
        <v>1</v>
      </c>
      <c r="G10" s="21">
        <v>0</v>
      </c>
      <c r="H10" s="21">
        <v>0</v>
      </c>
      <c r="I10" s="21">
        <v>1</v>
      </c>
      <c r="J10" s="21">
        <v>0</v>
      </c>
      <c r="K10" s="21">
        <v>5</v>
      </c>
      <c r="L10" s="21">
        <v>13</v>
      </c>
    </row>
    <row r="11" spans="1:12">
      <c r="A11" s="10" t="s">
        <v>111</v>
      </c>
      <c r="B11" s="21">
        <v>4</v>
      </c>
      <c r="C11" s="21">
        <v>0</v>
      </c>
      <c r="D11" s="21">
        <v>1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2</v>
      </c>
      <c r="L11" s="21">
        <v>7</v>
      </c>
    </row>
    <row r="12" spans="1:12">
      <c r="A12" s="10" t="s">
        <v>112</v>
      </c>
      <c r="B12" s="21">
        <v>0</v>
      </c>
      <c r="C12" s="21">
        <v>1</v>
      </c>
      <c r="D12" s="21">
        <v>0</v>
      </c>
      <c r="E12" s="21">
        <v>3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4</v>
      </c>
    </row>
    <row r="13" spans="1:12">
      <c r="A13" s="10" t="s">
        <v>79</v>
      </c>
      <c r="B13" s="21">
        <v>13</v>
      </c>
      <c r="C13" s="21">
        <v>1</v>
      </c>
      <c r="D13" s="21">
        <v>5</v>
      </c>
      <c r="E13" s="21">
        <v>1</v>
      </c>
      <c r="F13" s="21">
        <v>4</v>
      </c>
      <c r="G13" s="21">
        <v>2</v>
      </c>
      <c r="H13" s="21">
        <v>0</v>
      </c>
      <c r="I13" s="21">
        <v>0</v>
      </c>
      <c r="J13" s="21">
        <v>2</v>
      </c>
      <c r="K13" s="21">
        <v>12</v>
      </c>
      <c r="L13" s="21">
        <v>40</v>
      </c>
    </row>
    <row r="14" spans="1:12">
      <c r="A14" s="10" t="s">
        <v>78</v>
      </c>
      <c r="B14" s="21">
        <v>5</v>
      </c>
      <c r="C14" s="21">
        <v>1</v>
      </c>
      <c r="D14" s="21">
        <v>1</v>
      </c>
      <c r="E14" s="21">
        <v>0</v>
      </c>
      <c r="F14" s="21">
        <v>1</v>
      </c>
      <c r="G14" s="21">
        <v>0</v>
      </c>
      <c r="H14" s="21">
        <v>2</v>
      </c>
      <c r="I14" s="21">
        <v>1</v>
      </c>
      <c r="J14" s="21">
        <v>0</v>
      </c>
      <c r="K14" s="21">
        <v>7</v>
      </c>
      <c r="L14" s="21">
        <v>18</v>
      </c>
    </row>
    <row r="15" spans="1:12">
      <c r="A15" s="10" t="s">
        <v>113</v>
      </c>
      <c r="B15" s="21">
        <v>5</v>
      </c>
      <c r="C15" s="21">
        <v>0</v>
      </c>
      <c r="D15" s="21">
        <v>1</v>
      </c>
      <c r="E15" s="21">
        <v>0</v>
      </c>
      <c r="F15" s="21">
        <v>1</v>
      </c>
      <c r="G15" s="21">
        <v>0</v>
      </c>
      <c r="H15" s="21">
        <v>0</v>
      </c>
      <c r="I15" s="21">
        <v>0</v>
      </c>
      <c r="J15" s="21">
        <v>0</v>
      </c>
      <c r="K15" s="21">
        <v>1</v>
      </c>
      <c r="L15" s="21">
        <v>8</v>
      </c>
    </row>
    <row r="16" spans="1:12">
      <c r="A16" s="10" t="s">
        <v>114</v>
      </c>
      <c r="B16" s="21">
        <v>0</v>
      </c>
      <c r="C16" s="21">
        <v>0</v>
      </c>
      <c r="D16" s="21">
        <v>0</v>
      </c>
      <c r="E16" s="21">
        <v>1</v>
      </c>
      <c r="F16" s="21">
        <v>0</v>
      </c>
      <c r="G16" s="21">
        <v>0</v>
      </c>
      <c r="H16" s="21">
        <v>1</v>
      </c>
      <c r="I16" s="21">
        <v>0</v>
      </c>
      <c r="J16" s="21">
        <v>0</v>
      </c>
      <c r="K16" s="21">
        <v>2</v>
      </c>
      <c r="L16" s="21">
        <v>4</v>
      </c>
    </row>
    <row r="17" spans="1:12">
      <c r="A17" s="10" t="s">
        <v>115</v>
      </c>
      <c r="B17" s="21">
        <v>1</v>
      </c>
      <c r="C17" s="21">
        <v>0</v>
      </c>
      <c r="D17" s="21">
        <v>0</v>
      </c>
      <c r="E17" s="21">
        <v>1</v>
      </c>
      <c r="F17" s="21">
        <v>2</v>
      </c>
      <c r="G17" s="21">
        <v>0</v>
      </c>
      <c r="H17" s="21">
        <v>0</v>
      </c>
      <c r="I17" s="21">
        <v>0</v>
      </c>
      <c r="J17" s="21">
        <v>0</v>
      </c>
      <c r="K17" s="21">
        <v>1</v>
      </c>
      <c r="L17" s="21">
        <v>5</v>
      </c>
    </row>
    <row r="18" spans="1:12">
      <c r="A18" s="10" t="s">
        <v>83</v>
      </c>
      <c r="B18" s="21">
        <v>7</v>
      </c>
      <c r="C18" s="21">
        <v>0</v>
      </c>
      <c r="D18" s="21">
        <v>0</v>
      </c>
      <c r="E18" s="21">
        <v>6</v>
      </c>
      <c r="F18" s="21">
        <v>5</v>
      </c>
      <c r="G18" s="21">
        <v>0</v>
      </c>
      <c r="H18" s="21">
        <v>0</v>
      </c>
      <c r="I18" s="21">
        <v>0</v>
      </c>
      <c r="J18" s="21">
        <v>0</v>
      </c>
      <c r="K18" s="21">
        <v>3</v>
      </c>
      <c r="L18" s="21">
        <v>21</v>
      </c>
    </row>
    <row r="19" spans="1:12">
      <c r="A19" s="10" t="s">
        <v>82</v>
      </c>
      <c r="B19" s="21">
        <v>12</v>
      </c>
      <c r="C19" s="21">
        <v>0</v>
      </c>
      <c r="D19" s="21">
        <v>1</v>
      </c>
      <c r="E19" s="21">
        <v>5</v>
      </c>
      <c r="F19" s="21">
        <v>1</v>
      </c>
      <c r="G19" s="21">
        <v>0</v>
      </c>
      <c r="H19" s="21">
        <v>0</v>
      </c>
      <c r="I19" s="21">
        <v>0</v>
      </c>
      <c r="J19" s="21">
        <v>0</v>
      </c>
      <c r="K19" s="21">
        <v>2</v>
      </c>
      <c r="L19" s="21">
        <v>21</v>
      </c>
    </row>
    <row r="20" spans="1:12">
      <c r="A20" s="10" t="s">
        <v>116</v>
      </c>
      <c r="B20" s="21">
        <v>0</v>
      </c>
      <c r="C20" s="21">
        <v>0</v>
      </c>
      <c r="D20" s="21">
        <v>2</v>
      </c>
      <c r="E20" s="21">
        <v>1</v>
      </c>
      <c r="F20" s="21">
        <v>1</v>
      </c>
      <c r="G20" s="21">
        <v>0</v>
      </c>
      <c r="H20" s="21">
        <v>0</v>
      </c>
      <c r="I20" s="21">
        <v>0</v>
      </c>
      <c r="J20" s="21">
        <v>0</v>
      </c>
      <c r="K20" s="21">
        <v>2</v>
      </c>
      <c r="L20" s="21">
        <v>6</v>
      </c>
    </row>
    <row r="21" spans="1:12">
      <c r="A21" s="10" t="s">
        <v>117</v>
      </c>
      <c r="B21" s="21">
        <v>1</v>
      </c>
      <c r="C21" s="21">
        <v>0</v>
      </c>
      <c r="D21" s="21">
        <v>0</v>
      </c>
      <c r="E21" s="21">
        <v>1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2</v>
      </c>
      <c r="L21" s="21">
        <v>4</v>
      </c>
    </row>
    <row r="22" spans="1:12">
      <c r="A22" s="10" t="s">
        <v>80</v>
      </c>
      <c r="B22" s="21">
        <v>1</v>
      </c>
      <c r="C22" s="21">
        <v>0</v>
      </c>
      <c r="D22" s="21">
        <v>0</v>
      </c>
      <c r="E22" s="21">
        <v>3</v>
      </c>
      <c r="F22" s="21">
        <v>1</v>
      </c>
      <c r="G22" s="21">
        <v>0</v>
      </c>
      <c r="H22" s="21">
        <v>0</v>
      </c>
      <c r="I22" s="21">
        <v>0</v>
      </c>
      <c r="J22" s="21">
        <v>0</v>
      </c>
      <c r="K22" s="21">
        <v>5</v>
      </c>
      <c r="L22" s="21">
        <v>10</v>
      </c>
    </row>
    <row r="23" spans="1:12">
      <c r="A23" s="10" t="s">
        <v>118</v>
      </c>
      <c r="B23" s="21">
        <v>0</v>
      </c>
      <c r="C23" s="21">
        <v>0</v>
      </c>
      <c r="D23" s="21">
        <v>1</v>
      </c>
      <c r="E23" s="21">
        <v>0</v>
      </c>
      <c r="F23" s="21">
        <v>6</v>
      </c>
      <c r="G23" s="21">
        <v>0</v>
      </c>
      <c r="H23" s="21">
        <v>0</v>
      </c>
      <c r="I23" s="21">
        <v>1</v>
      </c>
      <c r="J23" s="21">
        <v>0</v>
      </c>
      <c r="K23" s="21">
        <v>2</v>
      </c>
      <c r="L23" s="21">
        <v>10</v>
      </c>
    </row>
    <row r="24" spans="1:12">
      <c r="A24" s="10" t="s">
        <v>119</v>
      </c>
      <c r="B24" s="21">
        <v>0</v>
      </c>
      <c r="C24" s="21">
        <v>0</v>
      </c>
      <c r="D24" s="21">
        <v>0</v>
      </c>
      <c r="E24" s="21">
        <v>4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4</v>
      </c>
    </row>
    <row r="25" spans="1:12">
      <c r="A25" s="10" t="s">
        <v>76</v>
      </c>
      <c r="B25" s="21">
        <v>3</v>
      </c>
      <c r="C25" s="21">
        <v>1</v>
      </c>
      <c r="D25" s="21">
        <v>6</v>
      </c>
      <c r="E25" s="21">
        <v>0</v>
      </c>
      <c r="F25" s="21">
        <v>1</v>
      </c>
      <c r="G25" s="21">
        <v>1</v>
      </c>
      <c r="H25" s="21">
        <v>1</v>
      </c>
      <c r="I25" s="21">
        <v>0</v>
      </c>
      <c r="J25" s="21">
        <v>0</v>
      </c>
      <c r="K25" s="21">
        <v>2</v>
      </c>
      <c r="L25" s="21">
        <v>15</v>
      </c>
    </row>
    <row r="26" spans="1:12">
      <c r="A26" s="10" t="s">
        <v>120</v>
      </c>
      <c r="B26" s="21">
        <v>3</v>
      </c>
      <c r="C26" s="21">
        <v>0</v>
      </c>
      <c r="D26" s="21">
        <v>2</v>
      </c>
      <c r="E26" s="21">
        <v>0</v>
      </c>
      <c r="F26" s="21">
        <v>1</v>
      </c>
      <c r="G26" s="21">
        <v>0</v>
      </c>
      <c r="H26" s="21">
        <v>1</v>
      </c>
      <c r="I26" s="21">
        <v>0</v>
      </c>
      <c r="J26" s="21">
        <v>0</v>
      </c>
      <c r="K26" s="21">
        <v>1</v>
      </c>
      <c r="L26" s="21">
        <v>8</v>
      </c>
    </row>
    <row r="27" spans="1:12">
      <c r="A27" s="10" t="s">
        <v>81</v>
      </c>
      <c r="B27" s="21">
        <v>2</v>
      </c>
      <c r="C27" s="21">
        <v>14</v>
      </c>
      <c r="D27" s="21">
        <v>0</v>
      </c>
      <c r="E27" s="21">
        <v>1</v>
      </c>
      <c r="F27" s="21">
        <v>6</v>
      </c>
      <c r="G27" s="21">
        <v>0</v>
      </c>
      <c r="H27" s="21">
        <v>1</v>
      </c>
      <c r="I27" s="21">
        <v>0</v>
      </c>
      <c r="J27" s="21">
        <v>0</v>
      </c>
      <c r="K27" s="21">
        <v>14</v>
      </c>
      <c r="L27" s="21">
        <v>38</v>
      </c>
    </row>
    <row r="28" spans="1:12">
      <c r="A28" s="10" t="s">
        <v>77</v>
      </c>
      <c r="B28" s="21">
        <v>6</v>
      </c>
      <c r="C28" s="21">
        <v>0</v>
      </c>
      <c r="D28" s="21">
        <v>0</v>
      </c>
      <c r="E28" s="21">
        <v>0</v>
      </c>
      <c r="F28" s="21">
        <v>0</v>
      </c>
      <c r="G28" s="21">
        <v>0</v>
      </c>
      <c r="H28" s="21">
        <v>0</v>
      </c>
      <c r="I28" s="21">
        <v>0</v>
      </c>
      <c r="J28" s="21">
        <v>0</v>
      </c>
      <c r="K28" s="21">
        <v>5</v>
      </c>
      <c r="L28" s="21">
        <v>11</v>
      </c>
    </row>
    <row r="30" spans="1:12">
      <c r="A30" s="3" t="s">
        <v>1078</v>
      </c>
      <c r="B30" s="20" t="s">
        <v>66</v>
      </c>
      <c r="C30" s="20" t="s">
        <v>69</v>
      </c>
      <c r="D30" s="20" t="s">
        <v>70</v>
      </c>
      <c r="E30" s="20" t="s">
        <v>67</v>
      </c>
      <c r="F30" s="20" t="s">
        <v>68</v>
      </c>
      <c r="G30" s="20" t="s">
        <v>71</v>
      </c>
      <c r="H30" s="20" t="s">
        <v>72</v>
      </c>
      <c r="I30" s="20" t="s">
        <v>73</v>
      </c>
      <c r="J30" s="20" t="s">
        <v>74</v>
      </c>
      <c r="K30" s="20" t="s">
        <v>65</v>
      </c>
    </row>
    <row r="31" spans="1:12">
      <c r="A31" s="10" t="s">
        <v>59</v>
      </c>
      <c r="B31" s="27">
        <v>25</v>
      </c>
      <c r="C31" s="27">
        <v>8.300000000000001</v>
      </c>
      <c r="D31" s="27">
        <v>8.300000000000001</v>
      </c>
      <c r="E31" s="27">
        <v>0</v>
      </c>
      <c r="F31" s="27">
        <v>8.300000000000001</v>
      </c>
      <c r="G31" s="27">
        <v>0</v>
      </c>
      <c r="H31" s="27">
        <v>0</v>
      </c>
      <c r="I31" s="27">
        <v>0</v>
      </c>
      <c r="J31" s="27">
        <v>0</v>
      </c>
      <c r="K31" s="27">
        <v>50</v>
      </c>
    </row>
    <row r="32" spans="1:12">
      <c r="A32" s="10" t="s">
        <v>107</v>
      </c>
      <c r="B32" s="27">
        <v>16.7</v>
      </c>
      <c r="C32" s="27">
        <v>0</v>
      </c>
      <c r="D32" s="27">
        <v>0</v>
      </c>
      <c r="E32" s="27">
        <v>0</v>
      </c>
      <c r="F32" s="27">
        <v>0</v>
      </c>
      <c r="G32" s="27">
        <v>50</v>
      </c>
      <c r="H32" s="27">
        <v>0</v>
      </c>
      <c r="I32" s="27">
        <v>0</v>
      </c>
      <c r="J32" s="27">
        <v>0</v>
      </c>
      <c r="K32" s="27">
        <v>33.3</v>
      </c>
    </row>
    <row r="33" spans="1:11">
      <c r="A33" s="10" t="s">
        <v>108</v>
      </c>
      <c r="B33" s="27">
        <v>0</v>
      </c>
      <c r="C33" s="27">
        <v>20</v>
      </c>
      <c r="D33" s="27">
        <v>0</v>
      </c>
      <c r="E33" s="27">
        <v>0</v>
      </c>
      <c r="F33" s="27">
        <v>10</v>
      </c>
      <c r="G33" s="27">
        <v>30</v>
      </c>
      <c r="H33" s="27">
        <v>0</v>
      </c>
      <c r="I33" s="27">
        <v>0</v>
      </c>
      <c r="J33" s="27">
        <v>0</v>
      </c>
      <c r="K33" s="27">
        <v>40</v>
      </c>
    </row>
    <row r="34" spans="1:11">
      <c r="A34" s="10" t="s">
        <v>109</v>
      </c>
      <c r="B34" s="27">
        <v>29.2</v>
      </c>
      <c r="C34" s="27">
        <v>8.300000000000001</v>
      </c>
      <c r="D34" s="27">
        <v>4.2</v>
      </c>
      <c r="E34" s="27">
        <v>0</v>
      </c>
      <c r="F34" s="27">
        <v>0</v>
      </c>
      <c r="G34" s="27">
        <v>0</v>
      </c>
      <c r="H34" s="27">
        <v>0</v>
      </c>
      <c r="I34" s="27">
        <v>0</v>
      </c>
      <c r="J34" s="27">
        <v>0</v>
      </c>
      <c r="K34" s="27">
        <v>58.3</v>
      </c>
    </row>
    <row r="35" spans="1:11">
      <c r="A35" s="10" t="s">
        <v>110</v>
      </c>
      <c r="B35" s="27">
        <v>46.2</v>
      </c>
      <c r="C35" s="27">
        <v>0</v>
      </c>
      <c r="D35" s="27">
        <v>0</v>
      </c>
      <c r="E35" s="27">
        <v>0</v>
      </c>
      <c r="F35" s="27">
        <v>7.7</v>
      </c>
      <c r="G35" s="27">
        <v>0</v>
      </c>
      <c r="H35" s="27">
        <v>0</v>
      </c>
      <c r="I35" s="27">
        <v>7.7</v>
      </c>
      <c r="J35" s="27">
        <v>0</v>
      </c>
      <c r="K35" s="27">
        <v>38.5</v>
      </c>
    </row>
    <row r="36" spans="1:11">
      <c r="A36" s="10" t="s">
        <v>111</v>
      </c>
      <c r="B36" s="27">
        <v>57.1</v>
      </c>
      <c r="C36" s="27">
        <v>0</v>
      </c>
      <c r="D36" s="27">
        <v>14.3</v>
      </c>
      <c r="E36" s="27">
        <v>0</v>
      </c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7">
        <v>28.6</v>
      </c>
    </row>
    <row r="37" spans="1:11">
      <c r="A37" s="10" t="s">
        <v>112</v>
      </c>
      <c r="B37" s="27">
        <v>0</v>
      </c>
      <c r="C37" s="27">
        <v>25</v>
      </c>
      <c r="D37" s="27">
        <v>0</v>
      </c>
      <c r="E37" s="27">
        <v>75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7">
        <v>0</v>
      </c>
    </row>
    <row r="38" spans="1:11">
      <c r="A38" s="10" t="s">
        <v>79</v>
      </c>
      <c r="B38" s="27">
        <v>32.5</v>
      </c>
      <c r="C38" s="27">
        <v>2.5</v>
      </c>
      <c r="D38" s="27">
        <v>12.5</v>
      </c>
      <c r="E38" s="27">
        <v>2.5</v>
      </c>
      <c r="F38" s="27">
        <v>10</v>
      </c>
      <c r="G38" s="27">
        <v>5</v>
      </c>
      <c r="H38" s="27">
        <v>0</v>
      </c>
      <c r="I38" s="27">
        <v>0</v>
      </c>
      <c r="J38" s="27">
        <v>5</v>
      </c>
      <c r="K38" s="27">
        <v>30</v>
      </c>
    </row>
    <row r="39" spans="1:11">
      <c r="A39" s="10" t="s">
        <v>78</v>
      </c>
      <c r="B39" s="27">
        <v>27.8</v>
      </c>
      <c r="C39" s="27">
        <v>5.6</v>
      </c>
      <c r="D39" s="27">
        <v>5.6</v>
      </c>
      <c r="E39" s="27">
        <v>0</v>
      </c>
      <c r="F39" s="27">
        <v>5.6</v>
      </c>
      <c r="G39" s="27">
        <v>0</v>
      </c>
      <c r="H39" s="27">
        <v>11.1</v>
      </c>
      <c r="I39" s="27">
        <v>5.6</v>
      </c>
      <c r="J39" s="27">
        <v>0</v>
      </c>
      <c r="K39" s="27">
        <v>38.9</v>
      </c>
    </row>
    <row r="40" spans="1:11">
      <c r="A40" s="10" t="s">
        <v>113</v>
      </c>
      <c r="B40" s="27">
        <v>62.5</v>
      </c>
      <c r="C40" s="27">
        <v>0</v>
      </c>
      <c r="D40" s="27">
        <v>12.5</v>
      </c>
      <c r="E40" s="27">
        <v>0</v>
      </c>
      <c r="F40" s="27">
        <v>12.5</v>
      </c>
      <c r="G40" s="27">
        <v>0</v>
      </c>
      <c r="H40" s="27">
        <v>0</v>
      </c>
      <c r="I40" s="27">
        <v>0</v>
      </c>
      <c r="J40" s="27">
        <v>0</v>
      </c>
      <c r="K40" s="27">
        <v>12.5</v>
      </c>
    </row>
    <row r="41" spans="1:11">
      <c r="A41" s="10" t="s">
        <v>114</v>
      </c>
      <c r="B41" s="27">
        <v>0</v>
      </c>
      <c r="C41" s="27">
        <v>0</v>
      </c>
      <c r="D41" s="27">
        <v>0</v>
      </c>
      <c r="E41" s="27">
        <v>25</v>
      </c>
      <c r="F41" s="27">
        <v>0</v>
      </c>
      <c r="G41" s="27">
        <v>0</v>
      </c>
      <c r="H41" s="27">
        <v>25</v>
      </c>
      <c r="I41" s="27">
        <v>0</v>
      </c>
      <c r="J41" s="27">
        <v>0</v>
      </c>
      <c r="K41" s="27">
        <v>50</v>
      </c>
    </row>
    <row r="42" spans="1:11">
      <c r="A42" s="10" t="s">
        <v>115</v>
      </c>
      <c r="B42" s="27">
        <v>20</v>
      </c>
      <c r="C42" s="27">
        <v>0</v>
      </c>
      <c r="D42" s="27">
        <v>0</v>
      </c>
      <c r="E42" s="27">
        <v>20</v>
      </c>
      <c r="F42" s="27">
        <v>40</v>
      </c>
      <c r="G42" s="27">
        <v>0</v>
      </c>
      <c r="H42" s="27">
        <v>0</v>
      </c>
      <c r="I42" s="27">
        <v>0</v>
      </c>
      <c r="J42" s="27">
        <v>0</v>
      </c>
      <c r="K42" s="27">
        <v>20</v>
      </c>
    </row>
    <row r="43" spans="1:11">
      <c r="A43" s="10" t="s">
        <v>83</v>
      </c>
      <c r="B43" s="27">
        <v>33.3</v>
      </c>
      <c r="C43" s="27">
        <v>0</v>
      </c>
      <c r="D43" s="27">
        <v>0</v>
      </c>
      <c r="E43" s="27">
        <v>28.6</v>
      </c>
      <c r="F43" s="27">
        <v>23.8</v>
      </c>
      <c r="G43" s="27">
        <v>0</v>
      </c>
      <c r="H43" s="27">
        <v>0</v>
      </c>
      <c r="I43" s="27">
        <v>0</v>
      </c>
      <c r="J43" s="27">
        <v>0</v>
      </c>
      <c r="K43" s="27">
        <v>14.3</v>
      </c>
    </row>
    <row r="44" spans="1:11">
      <c r="A44" s="10" t="s">
        <v>82</v>
      </c>
      <c r="B44" s="27">
        <v>57.1</v>
      </c>
      <c r="C44" s="27">
        <v>0</v>
      </c>
      <c r="D44" s="27">
        <v>4.8</v>
      </c>
      <c r="E44" s="27">
        <v>23.8</v>
      </c>
      <c r="F44" s="27">
        <v>4.8</v>
      </c>
      <c r="G44" s="27">
        <v>0</v>
      </c>
      <c r="H44" s="27">
        <v>0</v>
      </c>
      <c r="I44" s="27">
        <v>0</v>
      </c>
      <c r="J44" s="27">
        <v>0</v>
      </c>
      <c r="K44" s="27">
        <v>9.5</v>
      </c>
    </row>
    <row r="45" spans="1:11">
      <c r="A45" s="10" t="s">
        <v>116</v>
      </c>
      <c r="B45" s="27">
        <v>0</v>
      </c>
      <c r="C45" s="27">
        <v>0</v>
      </c>
      <c r="D45" s="27">
        <v>33.3</v>
      </c>
      <c r="E45" s="27">
        <v>16.7</v>
      </c>
      <c r="F45" s="27">
        <v>16.7</v>
      </c>
      <c r="G45" s="27">
        <v>0</v>
      </c>
      <c r="H45" s="27">
        <v>0</v>
      </c>
      <c r="I45" s="27">
        <v>0</v>
      </c>
      <c r="J45" s="27">
        <v>0</v>
      </c>
      <c r="K45" s="27">
        <v>33.3</v>
      </c>
    </row>
    <row r="46" spans="1:11">
      <c r="A46" s="10" t="s">
        <v>117</v>
      </c>
      <c r="B46" s="27">
        <v>25</v>
      </c>
      <c r="C46" s="27">
        <v>0</v>
      </c>
      <c r="D46" s="27">
        <v>0</v>
      </c>
      <c r="E46" s="27">
        <v>25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7">
        <v>50</v>
      </c>
    </row>
    <row r="47" spans="1:11">
      <c r="A47" s="10" t="s">
        <v>80</v>
      </c>
      <c r="B47" s="27">
        <v>10</v>
      </c>
      <c r="C47" s="27">
        <v>0</v>
      </c>
      <c r="D47" s="27">
        <v>0</v>
      </c>
      <c r="E47" s="27">
        <v>30</v>
      </c>
      <c r="F47" s="27">
        <v>10</v>
      </c>
      <c r="G47" s="27">
        <v>0</v>
      </c>
      <c r="H47" s="27">
        <v>0</v>
      </c>
      <c r="I47" s="27">
        <v>0</v>
      </c>
      <c r="J47" s="27">
        <v>0</v>
      </c>
      <c r="K47" s="27">
        <v>50</v>
      </c>
    </row>
    <row r="48" spans="1:11">
      <c r="A48" s="10" t="s">
        <v>118</v>
      </c>
      <c r="B48" s="27">
        <v>0</v>
      </c>
      <c r="C48" s="27">
        <v>0</v>
      </c>
      <c r="D48" s="27">
        <v>10</v>
      </c>
      <c r="E48" s="27">
        <v>0</v>
      </c>
      <c r="F48" s="27">
        <v>60</v>
      </c>
      <c r="G48" s="27">
        <v>0</v>
      </c>
      <c r="H48" s="27">
        <v>0</v>
      </c>
      <c r="I48" s="27">
        <v>10</v>
      </c>
      <c r="J48" s="27">
        <v>0</v>
      </c>
      <c r="K48" s="27">
        <v>20</v>
      </c>
    </row>
    <row r="49" spans="1:11">
      <c r="A49" s="10" t="s">
        <v>119</v>
      </c>
      <c r="B49" s="27">
        <v>0</v>
      </c>
      <c r="C49" s="27">
        <v>0</v>
      </c>
      <c r="D49" s="27">
        <v>0</v>
      </c>
      <c r="E49" s="27">
        <v>100</v>
      </c>
      <c r="F49" s="27">
        <v>0</v>
      </c>
      <c r="G49" s="27">
        <v>0</v>
      </c>
      <c r="H49" s="27">
        <v>0</v>
      </c>
      <c r="I49" s="27">
        <v>0</v>
      </c>
      <c r="J49" s="27">
        <v>0</v>
      </c>
      <c r="K49" s="27">
        <v>0</v>
      </c>
    </row>
    <row r="50" spans="1:11">
      <c r="A50" s="10" t="s">
        <v>76</v>
      </c>
      <c r="B50" s="27">
        <v>20</v>
      </c>
      <c r="C50" s="27">
        <v>6.7</v>
      </c>
      <c r="D50" s="27">
        <v>40</v>
      </c>
      <c r="E50" s="27">
        <v>0</v>
      </c>
      <c r="F50" s="27">
        <v>6.7</v>
      </c>
      <c r="G50" s="27">
        <v>6.7</v>
      </c>
      <c r="H50" s="27">
        <v>6.7</v>
      </c>
      <c r="I50" s="27">
        <v>0</v>
      </c>
      <c r="J50" s="27">
        <v>0</v>
      </c>
      <c r="K50" s="27">
        <v>13.3</v>
      </c>
    </row>
    <row r="51" spans="1:11">
      <c r="A51" s="10" t="s">
        <v>120</v>
      </c>
      <c r="B51" s="27">
        <v>37.5</v>
      </c>
      <c r="C51" s="27">
        <v>0</v>
      </c>
      <c r="D51" s="27">
        <v>25</v>
      </c>
      <c r="E51" s="27">
        <v>0</v>
      </c>
      <c r="F51" s="27">
        <v>12.5</v>
      </c>
      <c r="G51" s="27">
        <v>0</v>
      </c>
      <c r="H51" s="27">
        <v>12.5</v>
      </c>
      <c r="I51" s="27">
        <v>0</v>
      </c>
      <c r="J51" s="27">
        <v>0</v>
      </c>
      <c r="K51" s="27">
        <v>12.5</v>
      </c>
    </row>
    <row r="52" spans="1:11">
      <c r="A52" s="10" t="s">
        <v>81</v>
      </c>
      <c r="B52" s="27">
        <v>5.3</v>
      </c>
      <c r="C52" s="27">
        <v>36.8</v>
      </c>
      <c r="D52" s="27">
        <v>0</v>
      </c>
      <c r="E52" s="27">
        <v>2.6</v>
      </c>
      <c r="F52" s="27">
        <v>15.8</v>
      </c>
      <c r="G52" s="27">
        <v>0</v>
      </c>
      <c r="H52" s="27">
        <v>2.6</v>
      </c>
      <c r="I52" s="27">
        <v>0</v>
      </c>
      <c r="J52" s="27">
        <v>0</v>
      </c>
      <c r="K52" s="27">
        <v>36.8</v>
      </c>
    </row>
    <row r="53" spans="1:11">
      <c r="A53" s="10" t="s">
        <v>77</v>
      </c>
      <c r="B53" s="27">
        <v>54.5</v>
      </c>
      <c r="C53" s="27">
        <v>0</v>
      </c>
      <c r="D53" s="27">
        <v>0</v>
      </c>
      <c r="E53" s="27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7">
        <v>45.5</v>
      </c>
    </row>
    <row r="56" spans="1:11">
      <c r="A56" s="1" t="s">
        <v>1088</v>
      </c>
    </row>
    <row r="57" spans="1:11">
      <c r="A57" s="3" t="s">
        <v>1071</v>
      </c>
      <c r="B57" s="20" t="s">
        <v>95</v>
      </c>
      <c r="C57" s="20" t="s">
        <v>94</v>
      </c>
      <c r="D57" s="20" t="s">
        <v>96</v>
      </c>
      <c r="E57" s="20" t="s">
        <v>97</v>
      </c>
      <c r="F57" s="20" t="s">
        <v>98</v>
      </c>
      <c r="G57" s="20" t="s">
        <v>1077</v>
      </c>
    </row>
    <row r="58" spans="1:11">
      <c r="A58" s="10" t="s">
        <v>59</v>
      </c>
      <c r="B58" s="21">
        <v>6</v>
      </c>
      <c r="C58" s="21">
        <v>2</v>
      </c>
      <c r="D58" s="21">
        <v>2</v>
      </c>
      <c r="E58" s="21">
        <v>2</v>
      </c>
      <c r="F58" s="21">
        <v>0</v>
      </c>
      <c r="G58" s="21">
        <v>12</v>
      </c>
    </row>
    <row r="59" spans="1:11">
      <c r="A59" s="10" t="s">
        <v>107</v>
      </c>
      <c r="B59" s="21">
        <v>0</v>
      </c>
      <c r="C59" s="21">
        <v>0</v>
      </c>
      <c r="D59" s="21">
        <v>1</v>
      </c>
      <c r="E59" s="21">
        <v>0</v>
      </c>
      <c r="F59" s="21">
        <v>5</v>
      </c>
      <c r="G59" s="21">
        <v>6</v>
      </c>
    </row>
    <row r="60" spans="1:11">
      <c r="A60" s="10" t="s">
        <v>108</v>
      </c>
      <c r="B60" s="21">
        <v>0</v>
      </c>
      <c r="C60" s="21">
        <v>1</v>
      </c>
      <c r="D60" s="21">
        <v>7</v>
      </c>
      <c r="E60" s="21">
        <v>1</v>
      </c>
      <c r="F60" s="21">
        <v>1</v>
      </c>
      <c r="G60" s="21">
        <v>10</v>
      </c>
    </row>
    <row r="61" spans="1:11">
      <c r="A61" s="10" t="s">
        <v>109</v>
      </c>
      <c r="B61" s="21">
        <v>9</v>
      </c>
      <c r="C61" s="21">
        <v>6</v>
      </c>
      <c r="D61" s="21">
        <v>7</v>
      </c>
      <c r="E61" s="21">
        <v>2</v>
      </c>
      <c r="F61" s="21">
        <v>0</v>
      </c>
      <c r="G61" s="21">
        <v>24</v>
      </c>
    </row>
    <row r="62" spans="1:11">
      <c r="A62" s="10" t="s">
        <v>110</v>
      </c>
      <c r="B62" s="21">
        <v>1</v>
      </c>
      <c r="C62" s="21">
        <v>6</v>
      </c>
      <c r="D62" s="21">
        <v>5</v>
      </c>
      <c r="E62" s="21">
        <v>1</v>
      </c>
      <c r="F62" s="21">
        <v>0</v>
      </c>
      <c r="G62" s="21">
        <v>13</v>
      </c>
    </row>
    <row r="63" spans="1:11">
      <c r="A63" s="10" t="s">
        <v>111</v>
      </c>
      <c r="B63" s="21">
        <v>1</v>
      </c>
      <c r="C63" s="21">
        <v>4</v>
      </c>
      <c r="D63" s="21">
        <v>2</v>
      </c>
      <c r="E63" s="21">
        <v>0</v>
      </c>
      <c r="F63" s="21">
        <v>0</v>
      </c>
      <c r="G63" s="21">
        <v>7</v>
      </c>
    </row>
    <row r="64" spans="1:11">
      <c r="A64" s="10" t="s">
        <v>112</v>
      </c>
      <c r="B64" s="21">
        <v>0</v>
      </c>
      <c r="C64" s="21">
        <v>3</v>
      </c>
      <c r="D64" s="21">
        <v>0</v>
      </c>
      <c r="E64" s="21">
        <v>1</v>
      </c>
      <c r="F64" s="21">
        <v>0</v>
      </c>
      <c r="G64" s="21">
        <v>4</v>
      </c>
    </row>
    <row r="65" spans="1:7">
      <c r="A65" s="10" t="s">
        <v>79</v>
      </c>
      <c r="B65" s="21">
        <v>6</v>
      </c>
      <c r="C65" s="21">
        <v>23</v>
      </c>
      <c r="D65" s="21">
        <v>9</v>
      </c>
      <c r="E65" s="21">
        <v>2</v>
      </c>
      <c r="F65" s="21">
        <v>0</v>
      </c>
      <c r="G65" s="21">
        <v>40</v>
      </c>
    </row>
    <row r="66" spans="1:7">
      <c r="A66" s="10" t="s">
        <v>78</v>
      </c>
      <c r="B66" s="21">
        <v>1</v>
      </c>
      <c r="C66" s="21">
        <v>10</v>
      </c>
      <c r="D66" s="21">
        <v>6</v>
      </c>
      <c r="E66" s="21">
        <v>1</v>
      </c>
      <c r="F66" s="21">
        <v>0</v>
      </c>
      <c r="G66" s="21">
        <v>18</v>
      </c>
    </row>
    <row r="67" spans="1:7">
      <c r="A67" s="10" t="s">
        <v>113</v>
      </c>
      <c r="B67" s="21">
        <v>2</v>
      </c>
      <c r="C67" s="21">
        <v>5</v>
      </c>
      <c r="D67" s="21">
        <v>1</v>
      </c>
      <c r="E67" s="21">
        <v>0</v>
      </c>
      <c r="F67" s="21">
        <v>0</v>
      </c>
      <c r="G67" s="21">
        <v>8</v>
      </c>
    </row>
    <row r="68" spans="1:7">
      <c r="A68" s="10" t="s">
        <v>114</v>
      </c>
      <c r="B68" s="21">
        <v>1</v>
      </c>
      <c r="C68" s="21">
        <v>2</v>
      </c>
      <c r="D68" s="21">
        <v>1</v>
      </c>
      <c r="E68" s="21">
        <v>0</v>
      </c>
      <c r="F68" s="21">
        <v>0</v>
      </c>
      <c r="G68" s="21">
        <v>4</v>
      </c>
    </row>
    <row r="69" spans="1:7">
      <c r="A69" s="10" t="s">
        <v>115</v>
      </c>
      <c r="B69" s="21">
        <v>3</v>
      </c>
      <c r="C69" s="21">
        <v>1</v>
      </c>
      <c r="D69" s="21">
        <v>1</v>
      </c>
      <c r="E69" s="21">
        <v>0</v>
      </c>
      <c r="F69" s="21">
        <v>0</v>
      </c>
      <c r="G69" s="21">
        <v>5</v>
      </c>
    </row>
    <row r="70" spans="1:7">
      <c r="A70" s="10" t="s">
        <v>83</v>
      </c>
      <c r="B70" s="21">
        <v>4</v>
      </c>
      <c r="C70" s="21">
        <v>14</v>
      </c>
      <c r="D70" s="21">
        <v>2</v>
      </c>
      <c r="E70" s="21">
        <v>1</v>
      </c>
      <c r="F70" s="21">
        <v>0</v>
      </c>
      <c r="G70" s="21">
        <v>21</v>
      </c>
    </row>
    <row r="71" spans="1:7">
      <c r="A71" s="10" t="s">
        <v>82</v>
      </c>
      <c r="B71" s="21">
        <v>3</v>
      </c>
      <c r="C71" s="21">
        <v>11</v>
      </c>
      <c r="D71" s="21">
        <v>6</v>
      </c>
      <c r="E71" s="21">
        <v>1</v>
      </c>
      <c r="F71" s="21">
        <v>0</v>
      </c>
      <c r="G71" s="21">
        <v>21</v>
      </c>
    </row>
    <row r="72" spans="1:7">
      <c r="A72" s="10" t="s">
        <v>116</v>
      </c>
      <c r="B72" s="21">
        <v>4</v>
      </c>
      <c r="C72" s="21">
        <v>0</v>
      </c>
      <c r="D72" s="21">
        <v>1</v>
      </c>
      <c r="E72" s="21">
        <v>1</v>
      </c>
      <c r="F72" s="21">
        <v>0</v>
      </c>
      <c r="G72" s="21">
        <v>6</v>
      </c>
    </row>
    <row r="73" spans="1:7">
      <c r="A73" s="10" t="s">
        <v>117</v>
      </c>
      <c r="B73" s="21">
        <v>1</v>
      </c>
      <c r="C73" s="21">
        <v>1</v>
      </c>
      <c r="D73" s="21">
        <v>1</v>
      </c>
      <c r="E73" s="21">
        <v>1</v>
      </c>
      <c r="F73" s="21">
        <v>0</v>
      </c>
      <c r="G73" s="21">
        <v>4</v>
      </c>
    </row>
    <row r="74" spans="1:7">
      <c r="A74" s="10" t="s">
        <v>80</v>
      </c>
      <c r="B74" s="21">
        <v>2</v>
      </c>
      <c r="C74" s="21">
        <v>4</v>
      </c>
      <c r="D74" s="21">
        <v>4</v>
      </c>
      <c r="E74" s="21">
        <v>0</v>
      </c>
      <c r="F74" s="21">
        <v>0</v>
      </c>
      <c r="G74" s="21">
        <v>10</v>
      </c>
    </row>
    <row r="75" spans="1:7">
      <c r="A75" s="10" t="s">
        <v>118</v>
      </c>
      <c r="B75" s="21">
        <v>3</v>
      </c>
      <c r="C75" s="21">
        <v>3</v>
      </c>
      <c r="D75" s="21">
        <v>1</v>
      </c>
      <c r="E75" s="21">
        <v>2</v>
      </c>
      <c r="F75" s="21">
        <v>1</v>
      </c>
      <c r="G75" s="21">
        <v>10</v>
      </c>
    </row>
    <row r="76" spans="1:7">
      <c r="A76" s="10" t="s">
        <v>119</v>
      </c>
      <c r="B76" s="21">
        <v>1</v>
      </c>
      <c r="C76" s="21">
        <v>2</v>
      </c>
      <c r="D76" s="21">
        <v>0</v>
      </c>
      <c r="E76" s="21">
        <v>1</v>
      </c>
      <c r="F76" s="21">
        <v>0</v>
      </c>
      <c r="G76" s="21">
        <v>4</v>
      </c>
    </row>
    <row r="77" spans="1:7">
      <c r="A77" s="10" t="s">
        <v>76</v>
      </c>
      <c r="B77" s="21">
        <v>3</v>
      </c>
      <c r="C77" s="21">
        <v>5</v>
      </c>
      <c r="D77" s="21">
        <v>3</v>
      </c>
      <c r="E77" s="21">
        <v>3</v>
      </c>
      <c r="F77" s="21">
        <v>1</v>
      </c>
      <c r="G77" s="21">
        <v>15</v>
      </c>
    </row>
    <row r="78" spans="1:7">
      <c r="A78" s="10" t="s">
        <v>120</v>
      </c>
      <c r="B78" s="21">
        <v>1</v>
      </c>
      <c r="C78" s="21">
        <v>4</v>
      </c>
      <c r="D78" s="21">
        <v>3</v>
      </c>
      <c r="E78" s="21">
        <v>0</v>
      </c>
      <c r="F78" s="21">
        <v>0</v>
      </c>
      <c r="G78" s="21">
        <v>8</v>
      </c>
    </row>
    <row r="79" spans="1:7">
      <c r="A79" s="10" t="s">
        <v>81</v>
      </c>
      <c r="B79" s="21">
        <v>16</v>
      </c>
      <c r="C79" s="21">
        <v>17</v>
      </c>
      <c r="D79" s="21">
        <v>3</v>
      </c>
      <c r="E79" s="21">
        <v>1</v>
      </c>
      <c r="F79" s="21">
        <v>1</v>
      </c>
      <c r="G79" s="21">
        <v>38</v>
      </c>
    </row>
    <row r="80" spans="1:7">
      <c r="A80" s="10" t="s">
        <v>77</v>
      </c>
      <c r="B80" s="21">
        <v>1</v>
      </c>
      <c r="C80" s="21">
        <v>4</v>
      </c>
      <c r="D80" s="21">
        <v>2</v>
      </c>
      <c r="E80" s="21">
        <v>4</v>
      </c>
      <c r="F80" s="21">
        <v>0</v>
      </c>
      <c r="G80" s="21">
        <v>11</v>
      </c>
    </row>
    <row r="82" spans="1:6">
      <c r="A82" s="3" t="s">
        <v>1078</v>
      </c>
      <c r="B82" s="20" t="s">
        <v>95</v>
      </c>
      <c r="C82" s="20" t="s">
        <v>94</v>
      </c>
      <c r="D82" s="20" t="s">
        <v>96</v>
      </c>
      <c r="E82" s="20" t="s">
        <v>97</v>
      </c>
      <c r="F82" s="20" t="s">
        <v>98</v>
      </c>
    </row>
    <row r="83" spans="1:6">
      <c r="A83" s="10" t="s">
        <v>59</v>
      </c>
      <c r="B83" s="27">
        <v>50</v>
      </c>
      <c r="C83" s="27">
        <v>16.7</v>
      </c>
      <c r="D83" s="27">
        <v>16.7</v>
      </c>
      <c r="E83" s="27">
        <v>16.7</v>
      </c>
      <c r="F83" s="27">
        <v>0</v>
      </c>
    </row>
    <row r="84" spans="1:6">
      <c r="A84" s="10" t="s">
        <v>107</v>
      </c>
      <c r="B84" s="27">
        <v>0</v>
      </c>
      <c r="C84" s="27">
        <v>0</v>
      </c>
      <c r="D84" s="27">
        <v>16.7</v>
      </c>
      <c r="E84" s="27">
        <v>0</v>
      </c>
      <c r="F84" s="27">
        <v>83.3</v>
      </c>
    </row>
    <row r="85" spans="1:6">
      <c r="A85" s="10" t="s">
        <v>108</v>
      </c>
      <c r="B85" s="27">
        <v>0</v>
      </c>
      <c r="C85" s="27">
        <v>10</v>
      </c>
      <c r="D85" s="27">
        <v>70</v>
      </c>
      <c r="E85" s="27">
        <v>10</v>
      </c>
      <c r="F85" s="27">
        <v>10</v>
      </c>
    </row>
    <row r="86" spans="1:6">
      <c r="A86" s="10" t="s">
        <v>109</v>
      </c>
      <c r="B86" s="27">
        <v>37.5</v>
      </c>
      <c r="C86" s="27">
        <v>25</v>
      </c>
      <c r="D86" s="27">
        <v>29.2</v>
      </c>
      <c r="E86" s="27">
        <v>8.300000000000001</v>
      </c>
      <c r="F86" s="27">
        <v>0</v>
      </c>
    </row>
    <row r="87" spans="1:6">
      <c r="A87" s="10" t="s">
        <v>110</v>
      </c>
      <c r="B87" s="27">
        <v>7.7</v>
      </c>
      <c r="C87" s="27">
        <v>46.2</v>
      </c>
      <c r="D87" s="27">
        <v>38.5</v>
      </c>
      <c r="E87" s="27">
        <v>7.7</v>
      </c>
      <c r="F87" s="27">
        <v>0</v>
      </c>
    </row>
    <row r="88" spans="1:6">
      <c r="A88" s="10" t="s">
        <v>111</v>
      </c>
      <c r="B88" s="27">
        <v>14.3</v>
      </c>
      <c r="C88" s="27">
        <v>57.1</v>
      </c>
      <c r="D88" s="27">
        <v>28.6</v>
      </c>
      <c r="E88" s="27">
        <v>0</v>
      </c>
      <c r="F88" s="27">
        <v>0</v>
      </c>
    </row>
    <row r="89" spans="1:6">
      <c r="A89" s="10" t="s">
        <v>112</v>
      </c>
      <c r="B89" s="27">
        <v>0</v>
      </c>
      <c r="C89" s="27">
        <v>75</v>
      </c>
      <c r="D89" s="27">
        <v>0</v>
      </c>
      <c r="E89" s="27">
        <v>25</v>
      </c>
      <c r="F89" s="27">
        <v>0</v>
      </c>
    </row>
    <row r="90" spans="1:6">
      <c r="A90" s="10" t="s">
        <v>79</v>
      </c>
      <c r="B90" s="27">
        <v>15</v>
      </c>
      <c r="C90" s="27">
        <v>57.5</v>
      </c>
      <c r="D90" s="27">
        <v>22.5</v>
      </c>
      <c r="E90" s="27">
        <v>5</v>
      </c>
      <c r="F90" s="27">
        <v>0</v>
      </c>
    </row>
    <row r="91" spans="1:6">
      <c r="A91" s="10" t="s">
        <v>78</v>
      </c>
      <c r="B91" s="27">
        <v>5.6</v>
      </c>
      <c r="C91" s="27">
        <v>55.6</v>
      </c>
      <c r="D91" s="27">
        <v>33.3</v>
      </c>
      <c r="E91" s="27">
        <v>5.6</v>
      </c>
      <c r="F91" s="27">
        <v>0</v>
      </c>
    </row>
    <row r="92" spans="1:6">
      <c r="A92" s="10" t="s">
        <v>113</v>
      </c>
      <c r="B92" s="27">
        <v>25</v>
      </c>
      <c r="C92" s="27">
        <v>62.5</v>
      </c>
      <c r="D92" s="27">
        <v>12.5</v>
      </c>
      <c r="E92" s="27">
        <v>0</v>
      </c>
      <c r="F92" s="27">
        <v>0</v>
      </c>
    </row>
    <row r="93" spans="1:6">
      <c r="A93" s="10" t="s">
        <v>114</v>
      </c>
      <c r="B93" s="27">
        <v>25</v>
      </c>
      <c r="C93" s="27">
        <v>50</v>
      </c>
      <c r="D93" s="27">
        <v>25</v>
      </c>
      <c r="E93" s="27">
        <v>0</v>
      </c>
      <c r="F93" s="27">
        <v>0</v>
      </c>
    </row>
    <row r="94" spans="1:6">
      <c r="A94" s="10" t="s">
        <v>115</v>
      </c>
      <c r="B94" s="27">
        <v>60</v>
      </c>
      <c r="C94" s="27">
        <v>20</v>
      </c>
      <c r="D94" s="27">
        <v>20</v>
      </c>
      <c r="E94" s="27">
        <v>0</v>
      </c>
      <c r="F94" s="27">
        <v>0</v>
      </c>
    </row>
    <row r="95" spans="1:6">
      <c r="A95" s="10" t="s">
        <v>83</v>
      </c>
      <c r="B95" s="27">
        <v>19</v>
      </c>
      <c r="C95" s="27">
        <v>66.7</v>
      </c>
      <c r="D95" s="27">
        <v>9.5</v>
      </c>
      <c r="E95" s="27">
        <v>4.8</v>
      </c>
      <c r="F95" s="27">
        <v>0</v>
      </c>
    </row>
    <row r="96" spans="1:6">
      <c r="A96" s="10" t="s">
        <v>82</v>
      </c>
      <c r="B96" s="27">
        <v>14.3</v>
      </c>
      <c r="C96" s="27">
        <v>52.4</v>
      </c>
      <c r="D96" s="27">
        <v>28.6</v>
      </c>
      <c r="E96" s="27">
        <v>4.8</v>
      </c>
      <c r="F96" s="27">
        <v>0</v>
      </c>
    </row>
    <row r="97" spans="1:8">
      <c r="A97" s="10" t="s">
        <v>116</v>
      </c>
      <c r="B97" s="27">
        <v>66.7</v>
      </c>
      <c r="C97" s="27">
        <v>0</v>
      </c>
      <c r="D97" s="27">
        <v>16.7</v>
      </c>
      <c r="E97" s="27">
        <v>16.7</v>
      </c>
      <c r="F97" s="27">
        <v>0</v>
      </c>
    </row>
    <row r="98" spans="1:8">
      <c r="A98" s="10" t="s">
        <v>117</v>
      </c>
      <c r="B98" s="27">
        <v>25</v>
      </c>
      <c r="C98" s="27">
        <v>25</v>
      </c>
      <c r="D98" s="27">
        <v>25</v>
      </c>
      <c r="E98" s="27">
        <v>25</v>
      </c>
      <c r="F98" s="27">
        <v>0</v>
      </c>
    </row>
    <row r="99" spans="1:8">
      <c r="A99" s="10" t="s">
        <v>80</v>
      </c>
      <c r="B99" s="27">
        <v>20</v>
      </c>
      <c r="C99" s="27">
        <v>40</v>
      </c>
      <c r="D99" s="27">
        <v>40</v>
      </c>
      <c r="E99" s="27">
        <v>0</v>
      </c>
      <c r="F99" s="27">
        <v>0</v>
      </c>
    </row>
    <row r="100" spans="1:8">
      <c r="A100" s="10" t="s">
        <v>118</v>
      </c>
      <c r="B100" s="27">
        <v>30</v>
      </c>
      <c r="C100" s="27">
        <v>30</v>
      </c>
      <c r="D100" s="27">
        <v>10</v>
      </c>
      <c r="E100" s="27">
        <v>20</v>
      </c>
      <c r="F100" s="27">
        <v>10</v>
      </c>
    </row>
    <row r="101" spans="1:8">
      <c r="A101" s="10" t="s">
        <v>119</v>
      </c>
      <c r="B101" s="27">
        <v>25</v>
      </c>
      <c r="C101" s="27">
        <v>50</v>
      </c>
      <c r="D101" s="27">
        <v>0</v>
      </c>
      <c r="E101" s="27">
        <v>25</v>
      </c>
      <c r="F101" s="27">
        <v>0</v>
      </c>
    </row>
    <row r="102" spans="1:8">
      <c r="A102" s="10" t="s">
        <v>76</v>
      </c>
      <c r="B102" s="27">
        <v>20</v>
      </c>
      <c r="C102" s="27">
        <v>33.3</v>
      </c>
      <c r="D102" s="27">
        <v>20</v>
      </c>
      <c r="E102" s="27">
        <v>20</v>
      </c>
      <c r="F102" s="27">
        <v>6.7</v>
      </c>
    </row>
    <row r="103" spans="1:8">
      <c r="A103" s="10" t="s">
        <v>120</v>
      </c>
      <c r="B103" s="27">
        <v>12.5</v>
      </c>
      <c r="C103" s="27">
        <v>50</v>
      </c>
      <c r="D103" s="27">
        <v>37.5</v>
      </c>
      <c r="E103" s="27">
        <v>0</v>
      </c>
      <c r="F103" s="27">
        <v>0</v>
      </c>
    </row>
    <row r="104" spans="1:8">
      <c r="A104" s="10" t="s">
        <v>81</v>
      </c>
      <c r="B104" s="27">
        <v>42.1</v>
      </c>
      <c r="C104" s="27">
        <v>44.7</v>
      </c>
      <c r="D104" s="27">
        <v>7.9</v>
      </c>
      <c r="E104" s="27">
        <v>2.6</v>
      </c>
      <c r="F104" s="27">
        <v>2.6</v>
      </c>
    </row>
    <row r="105" spans="1:8">
      <c r="A105" s="10" t="s">
        <v>77</v>
      </c>
      <c r="B105" s="27">
        <v>9.1</v>
      </c>
      <c r="C105" s="27">
        <v>36.4</v>
      </c>
      <c r="D105" s="27">
        <v>18.2</v>
      </c>
      <c r="E105" s="27">
        <v>36.4</v>
      </c>
      <c r="F105" s="27">
        <v>0</v>
      </c>
    </row>
    <row r="108" spans="1:8">
      <c r="A108" s="1" t="s">
        <v>1089</v>
      </c>
    </row>
    <row r="109" spans="1:8">
      <c r="A109" s="3" t="s">
        <v>1071</v>
      </c>
      <c r="B109" s="20" t="s">
        <v>102</v>
      </c>
      <c r="C109" s="20" t="s">
        <v>104</v>
      </c>
      <c r="D109" s="20" t="s">
        <v>101</v>
      </c>
      <c r="E109" s="20" t="s">
        <v>100</v>
      </c>
      <c r="F109" s="20" t="s">
        <v>103</v>
      </c>
      <c r="G109" s="20" t="s">
        <v>105</v>
      </c>
      <c r="H109" s="20" t="s">
        <v>1077</v>
      </c>
    </row>
    <row r="110" spans="1:8">
      <c r="A110" s="10" t="s">
        <v>59</v>
      </c>
      <c r="B110" s="21">
        <v>5</v>
      </c>
      <c r="C110" s="21">
        <v>1</v>
      </c>
      <c r="D110" s="21">
        <v>2</v>
      </c>
      <c r="E110" s="21">
        <v>3</v>
      </c>
      <c r="F110" s="21">
        <v>1</v>
      </c>
      <c r="G110" s="21">
        <v>0</v>
      </c>
      <c r="H110" s="21">
        <v>12</v>
      </c>
    </row>
    <row r="111" spans="1:8">
      <c r="A111" s="10" t="s">
        <v>107</v>
      </c>
      <c r="B111" s="21">
        <v>1</v>
      </c>
      <c r="C111" s="21">
        <v>0</v>
      </c>
      <c r="D111" s="21">
        <v>0</v>
      </c>
      <c r="E111" s="21">
        <v>4</v>
      </c>
      <c r="F111" s="21">
        <v>1</v>
      </c>
      <c r="G111" s="21">
        <v>0</v>
      </c>
      <c r="H111" s="21">
        <v>6</v>
      </c>
    </row>
    <row r="112" spans="1:8">
      <c r="A112" s="10" t="s">
        <v>108</v>
      </c>
      <c r="B112" s="21">
        <v>0</v>
      </c>
      <c r="C112" s="21">
        <v>0</v>
      </c>
      <c r="D112" s="21">
        <v>2</v>
      </c>
      <c r="E112" s="21">
        <v>5</v>
      </c>
      <c r="F112" s="21">
        <v>3</v>
      </c>
      <c r="G112" s="21">
        <v>0</v>
      </c>
      <c r="H112" s="21">
        <v>10</v>
      </c>
    </row>
    <row r="113" spans="1:8">
      <c r="A113" s="10" t="s">
        <v>109</v>
      </c>
      <c r="B113" s="21">
        <v>4</v>
      </c>
      <c r="C113" s="21">
        <v>1</v>
      </c>
      <c r="D113" s="21">
        <v>4</v>
      </c>
      <c r="E113" s="21">
        <v>14</v>
      </c>
      <c r="F113" s="21">
        <v>1</v>
      </c>
      <c r="G113" s="21">
        <v>0</v>
      </c>
      <c r="H113" s="21">
        <v>24</v>
      </c>
    </row>
    <row r="114" spans="1:8">
      <c r="A114" s="10" t="s">
        <v>110</v>
      </c>
      <c r="B114" s="21">
        <v>2</v>
      </c>
      <c r="C114" s="21">
        <v>0</v>
      </c>
      <c r="D114" s="21">
        <v>6</v>
      </c>
      <c r="E114" s="21">
        <v>5</v>
      </c>
      <c r="F114" s="21">
        <v>0</v>
      </c>
      <c r="G114" s="21">
        <v>0</v>
      </c>
      <c r="H114" s="21">
        <v>13</v>
      </c>
    </row>
    <row r="115" spans="1:8">
      <c r="A115" s="10" t="s">
        <v>111</v>
      </c>
      <c r="B115" s="21">
        <v>1</v>
      </c>
      <c r="C115" s="21">
        <v>0</v>
      </c>
      <c r="D115" s="21">
        <v>4</v>
      </c>
      <c r="E115" s="21">
        <v>2</v>
      </c>
      <c r="F115" s="21">
        <v>0</v>
      </c>
      <c r="G115" s="21">
        <v>0</v>
      </c>
      <c r="H115" s="21">
        <v>7</v>
      </c>
    </row>
    <row r="116" spans="1:8">
      <c r="A116" s="10" t="s">
        <v>112</v>
      </c>
      <c r="B116" s="21">
        <v>0</v>
      </c>
      <c r="C116" s="21">
        <v>0</v>
      </c>
      <c r="D116" s="21">
        <v>0</v>
      </c>
      <c r="E116" s="21">
        <v>3</v>
      </c>
      <c r="F116" s="21">
        <v>1</v>
      </c>
      <c r="G116" s="21">
        <v>0</v>
      </c>
      <c r="H116" s="21">
        <v>4</v>
      </c>
    </row>
    <row r="117" spans="1:8">
      <c r="A117" s="10" t="s">
        <v>79</v>
      </c>
      <c r="B117" s="21">
        <v>1</v>
      </c>
      <c r="C117" s="21">
        <v>1</v>
      </c>
      <c r="D117" s="21">
        <v>21</v>
      </c>
      <c r="E117" s="21">
        <v>13</v>
      </c>
      <c r="F117" s="21">
        <v>4</v>
      </c>
      <c r="G117" s="21">
        <v>0</v>
      </c>
      <c r="H117" s="21">
        <v>40</v>
      </c>
    </row>
    <row r="118" spans="1:8">
      <c r="A118" s="10" t="s">
        <v>78</v>
      </c>
      <c r="B118" s="21">
        <v>1</v>
      </c>
      <c r="C118" s="21">
        <v>2</v>
      </c>
      <c r="D118" s="21">
        <v>7</v>
      </c>
      <c r="E118" s="21">
        <v>7</v>
      </c>
      <c r="F118" s="21">
        <v>1</v>
      </c>
      <c r="G118" s="21">
        <v>0</v>
      </c>
      <c r="H118" s="21">
        <v>18</v>
      </c>
    </row>
    <row r="119" spans="1:8">
      <c r="A119" s="10" t="s">
        <v>113</v>
      </c>
      <c r="B119" s="21">
        <v>0</v>
      </c>
      <c r="C119" s="21">
        <v>0</v>
      </c>
      <c r="D119" s="21">
        <v>3</v>
      </c>
      <c r="E119" s="21">
        <v>4</v>
      </c>
      <c r="F119" s="21">
        <v>1</v>
      </c>
      <c r="G119" s="21">
        <v>0</v>
      </c>
      <c r="H119" s="21">
        <v>8</v>
      </c>
    </row>
    <row r="120" spans="1:8">
      <c r="A120" s="10" t="s">
        <v>114</v>
      </c>
      <c r="B120" s="21">
        <v>0</v>
      </c>
      <c r="C120" s="21">
        <v>0</v>
      </c>
      <c r="D120" s="21">
        <v>2</v>
      </c>
      <c r="E120" s="21">
        <v>1</v>
      </c>
      <c r="F120" s="21">
        <v>1</v>
      </c>
      <c r="G120" s="21">
        <v>0</v>
      </c>
      <c r="H120" s="21">
        <v>4</v>
      </c>
    </row>
    <row r="121" spans="1:8">
      <c r="A121" s="10" t="s">
        <v>115</v>
      </c>
      <c r="B121" s="21">
        <v>0</v>
      </c>
      <c r="C121" s="21">
        <v>1</v>
      </c>
      <c r="D121" s="21">
        <v>2</v>
      </c>
      <c r="E121" s="21">
        <v>2</v>
      </c>
      <c r="F121" s="21">
        <v>0</v>
      </c>
      <c r="G121" s="21">
        <v>0</v>
      </c>
      <c r="H121" s="21">
        <v>5</v>
      </c>
    </row>
    <row r="122" spans="1:8">
      <c r="A122" s="10" t="s">
        <v>83</v>
      </c>
      <c r="B122" s="21">
        <v>0</v>
      </c>
      <c r="C122" s="21">
        <v>3</v>
      </c>
      <c r="D122" s="21">
        <v>5</v>
      </c>
      <c r="E122" s="21">
        <v>12</v>
      </c>
      <c r="F122" s="21">
        <v>1</v>
      </c>
      <c r="G122" s="21">
        <v>0</v>
      </c>
      <c r="H122" s="21">
        <v>21</v>
      </c>
    </row>
    <row r="123" spans="1:8">
      <c r="A123" s="10" t="s">
        <v>82</v>
      </c>
      <c r="B123" s="21">
        <v>1</v>
      </c>
      <c r="C123" s="21">
        <v>0</v>
      </c>
      <c r="D123" s="21">
        <v>7</v>
      </c>
      <c r="E123" s="21">
        <v>12</v>
      </c>
      <c r="F123" s="21">
        <v>1</v>
      </c>
      <c r="G123" s="21">
        <v>0</v>
      </c>
      <c r="H123" s="21">
        <v>21</v>
      </c>
    </row>
    <row r="124" spans="1:8">
      <c r="A124" s="10" t="s">
        <v>116</v>
      </c>
      <c r="B124" s="21">
        <v>2</v>
      </c>
      <c r="C124" s="21">
        <v>0</v>
      </c>
      <c r="D124" s="21">
        <v>2</v>
      </c>
      <c r="E124" s="21">
        <v>2</v>
      </c>
      <c r="F124" s="21">
        <v>0</v>
      </c>
      <c r="G124" s="21">
        <v>0</v>
      </c>
      <c r="H124" s="21">
        <v>6</v>
      </c>
    </row>
    <row r="125" spans="1:8">
      <c r="A125" s="10" t="s">
        <v>117</v>
      </c>
      <c r="B125" s="21">
        <v>1</v>
      </c>
      <c r="C125" s="21">
        <v>0</v>
      </c>
      <c r="D125" s="21">
        <v>2</v>
      </c>
      <c r="E125" s="21">
        <v>0</v>
      </c>
      <c r="F125" s="21">
        <v>1</v>
      </c>
      <c r="G125" s="21">
        <v>0</v>
      </c>
      <c r="H125" s="21">
        <v>4</v>
      </c>
    </row>
    <row r="126" spans="1:8">
      <c r="A126" s="10" t="s">
        <v>80</v>
      </c>
      <c r="B126" s="21">
        <v>0</v>
      </c>
      <c r="C126" s="21">
        <v>1</v>
      </c>
      <c r="D126" s="21">
        <v>5</v>
      </c>
      <c r="E126" s="21">
        <v>3</v>
      </c>
      <c r="F126" s="21">
        <v>1</v>
      </c>
      <c r="G126" s="21">
        <v>0</v>
      </c>
      <c r="H126" s="21">
        <v>10</v>
      </c>
    </row>
    <row r="127" spans="1:8">
      <c r="A127" s="10" t="s">
        <v>118</v>
      </c>
      <c r="B127" s="21">
        <v>1</v>
      </c>
      <c r="C127" s="21">
        <v>0</v>
      </c>
      <c r="D127" s="21">
        <v>3</v>
      </c>
      <c r="E127" s="21">
        <v>3</v>
      </c>
      <c r="F127" s="21">
        <v>3</v>
      </c>
      <c r="G127" s="21">
        <v>0</v>
      </c>
      <c r="H127" s="21">
        <v>10</v>
      </c>
    </row>
    <row r="128" spans="1:8">
      <c r="A128" s="10" t="s">
        <v>119</v>
      </c>
      <c r="B128" s="21">
        <v>0</v>
      </c>
      <c r="C128" s="21">
        <v>0</v>
      </c>
      <c r="D128" s="21">
        <v>0</v>
      </c>
      <c r="E128" s="21">
        <v>4</v>
      </c>
      <c r="F128" s="21">
        <v>0</v>
      </c>
      <c r="G128" s="21">
        <v>0</v>
      </c>
      <c r="H128" s="21">
        <v>4</v>
      </c>
    </row>
    <row r="129" spans="1:8">
      <c r="A129" s="10" t="s">
        <v>76</v>
      </c>
      <c r="B129" s="21">
        <v>3</v>
      </c>
      <c r="C129" s="21">
        <v>1</v>
      </c>
      <c r="D129" s="21">
        <v>3</v>
      </c>
      <c r="E129" s="21">
        <v>6</v>
      </c>
      <c r="F129" s="21">
        <v>2</v>
      </c>
      <c r="G129" s="21">
        <v>0</v>
      </c>
      <c r="H129" s="21">
        <v>15</v>
      </c>
    </row>
    <row r="130" spans="1:8">
      <c r="A130" s="10" t="s">
        <v>120</v>
      </c>
      <c r="B130" s="21">
        <v>0</v>
      </c>
      <c r="C130" s="21">
        <v>1</v>
      </c>
      <c r="D130" s="21">
        <v>4</v>
      </c>
      <c r="E130" s="21">
        <v>3</v>
      </c>
      <c r="F130" s="21">
        <v>0</v>
      </c>
      <c r="G130" s="21">
        <v>0</v>
      </c>
      <c r="H130" s="21">
        <v>8</v>
      </c>
    </row>
    <row r="131" spans="1:8">
      <c r="A131" s="10" t="s">
        <v>81</v>
      </c>
      <c r="B131" s="21">
        <v>6</v>
      </c>
      <c r="C131" s="21">
        <v>5</v>
      </c>
      <c r="D131" s="21">
        <v>18</v>
      </c>
      <c r="E131" s="21">
        <v>7</v>
      </c>
      <c r="F131" s="21">
        <v>1</v>
      </c>
      <c r="G131" s="21">
        <v>1</v>
      </c>
      <c r="H131" s="21">
        <v>38</v>
      </c>
    </row>
    <row r="132" spans="1:8">
      <c r="A132" s="10" t="s">
        <v>77</v>
      </c>
      <c r="B132" s="21">
        <v>0</v>
      </c>
      <c r="C132" s="21">
        <v>0</v>
      </c>
      <c r="D132" s="21">
        <v>5</v>
      </c>
      <c r="E132" s="21">
        <v>5</v>
      </c>
      <c r="F132" s="21">
        <v>1</v>
      </c>
      <c r="G132" s="21">
        <v>0</v>
      </c>
      <c r="H132" s="21">
        <v>11</v>
      </c>
    </row>
    <row r="134" spans="1:8">
      <c r="A134" s="3" t="s">
        <v>1078</v>
      </c>
      <c r="B134" s="20" t="s">
        <v>102</v>
      </c>
      <c r="C134" s="20" t="s">
        <v>104</v>
      </c>
      <c r="D134" s="20" t="s">
        <v>101</v>
      </c>
      <c r="E134" s="20" t="s">
        <v>100</v>
      </c>
      <c r="F134" s="20" t="s">
        <v>103</v>
      </c>
      <c r="G134" s="20" t="s">
        <v>105</v>
      </c>
    </row>
    <row r="135" spans="1:8">
      <c r="A135" s="10" t="s">
        <v>59</v>
      </c>
      <c r="B135" s="27">
        <v>41.7</v>
      </c>
      <c r="C135" s="27">
        <v>8.300000000000001</v>
      </c>
      <c r="D135" s="27">
        <v>16.7</v>
      </c>
      <c r="E135" s="27">
        <v>25</v>
      </c>
      <c r="F135" s="27">
        <v>8.300000000000001</v>
      </c>
      <c r="G135" s="27">
        <v>0</v>
      </c>
    </row>
    <row r="136" spans="1:8">
      <c r="A136" s="10" t="s">
        <v>107</v>
      </c>
      <c r="B136" s="27">
        <v>16.7</v>
      </c>
      <c r="C136" s="27">
        <v>0</v>
      </c>
      <c r="D136" s="27">
        <v>0</v>
      </c>
      <c r="E136" s="27">
        <v>66.7</v>
      </c>
      <c r="F136" s="27">
        <v>16.7</v>
      </c>
      <c r="G136" s="27">
        <v>0</v>
      </c>
    </row>
    <row r="137" spans="1:8">
      <c r="A137" s="10" t="s">
        <v>108</v>
      </c>
      <c r="B137" s="27">
        <v>0</v>
      </c>
      <c r="C137" s="27">
        <v>0</v>
      </c>
      <c r="D137" s="27">
        <v>20</v>
      </c>
      <c r="E137" s="27">
        <v>50</v>
      </c>
      <c r="F137" s="27">
        <v>30</v>
      </c>
      <c r="G137" s="27">
        <v>0</v>
      </c>
    </row>
    <row r="138" spans="1:8">
      <c r="A138" s="10" t="s">
        <v>109</v>
      </c>
      <c r="B138" s="27">
        <v>16.7</v>
      </c>
      <c r="C138" s="27">
        <v>4.2</v>
      </c>
      <c r="D138" s="27">
        <v>16.7</v>
      </c>
      <c r="E138" s="27">
        <v>58.3</v>
      </c>
      <c r="F138" s="27">
        <v>4.2</v>
      </c>
      <c r="G138" s="27">
        <v>0</v>
      </c>
    </row>
    <row r="139" spans="1:8">
      <c r="A139" s="10" t="s">
        <v>110</v>
      </c>
      <c r="B139" s="27">
        <v>15.4</v>
      </c>
      <c r="C139" s="27">
        <v>0</v>
      </c>
      <c r="D139" s="27">
        <v>46.2</v>
      </c>
      <c r="E139" s="27">
        <v>38.5</v>
      </c>
      <c r="F139" s="27">
        <v>0</v>
      </c>
      <c r="G139" s="27">
        <v>0</v>
      </c>
    </row>
    <row r="140" spans="1:8">
      <c r="A140" s="10" t="s">
        <v>111</v>
      </c>
      <c r="B140" s="27">
        <v>14.3</v>
      </c>
      <c r="C140" s="27">
        <v>0</v>
      </c>
      <c r="D140" s="27">
        <v>57.1</v>
      </c>
      <c r="E140" s="27">
        <v>28.6</v>
      </c>
      <c r="F140" s="27">
        <v>0</v>
      </c>
      <c r="G140" s="27">
        <v>0</v>
      </c>
    </row>
    <row r="141" spans="1:8">
      <c r="A141" s="10" t="s">
        <v>112</v>
      </c>
      <c r="B141" s="27">
        <v>0</v>
      </c>
      <c r="C141" s="27">
        <v>0</v>
      </c>
      <c r="D141" s="27">
        <v>0</v>
      </c>
      <c r="E141" s="27">
        <v>75</v>
      </c>
      <c r="F141" s="27">
        <v>25</v>
      </c>
      <c r="G141" s="27">
        <v>0</v>
      </c>
    </row>
    <row r="142" spans="1:8">
      <c r="A142" s="10" t="s">
        <v>79</v>
      </c>
      <c r="B142" s="27">
        <v>2.5</v>
      </c>
      <c r="C142" s="27">
        <v>2.5</v>
      </c>
      <c r="D142" s="27">
        <v>52.5</v>
      </c>
      <c r="E142" s="27">
        <v>32.5</v>
      </c>
      <c r="F142" s="27">
        <v>10</v>
      </c>
      <c r="G142" s="27">
        <v>0</v>
      </c>
    </row>
    <row r="143" spans="1:8">
      <c r="A143" s="10" t="s">
        <v>78</v>
      </c>
      <c r="B143" s="27">
        <v>5.6</v>
      </c>
      <c r="C143" s="27">
        <v>11.1</v>
      </c>
      <c r="D143" s="27">
        <v>38.9</v>
      </c>
      <c r="E143" s="27">
        <v>38.9</v>
      </c>
      <c r="F143" s="27">
        <v>5.6</v>
      </c>
      <c r="G143" s="27">
        <v>0</v>
      </c>
    </row>
    <row r="144" spans="1:8">
      <c r="A144" s="10" t="s">
        <v>113</v>
      </c>
      <c r="B144" s="27">
        <v>0</v>
      </c>
      <c r="C144" s="27">
        <v>0</v>
      </c>
      <c r="D144" s="27">
        <v>37.5</v>
      </c>
      <c r="E144" s="27">
        <v>50</v>
      </c>
      <c r="F144" s="27">
        <v>12.5</v>
      </c>
      <c r="G144" s="27">
        <v>0</v>
      </c>
    </row>
    <row r="145" spans="1:7">
      <c r="A145" s="10" t="s">
        <v>114</v>
      </c>
      <c r="B145" s="27">
        <v>0</v>
      </c>
      <c r="C145" s="27">
        <v>0</v>
      </c>
      <c r="D145" s="27">
        <v>50</v>
      </c>
      <c r="E145" s="27">
        <v>25</v>
      </c>
      <c r="F145" s="27">
        <v>25</v>
      </c>
      <c r="G145" s="27">
        <v>0</v>
      </c>
    </row>
    <row r="146" spans="1:7">
      <c r="A146" s="10" t="s">
        <v>115</v>
      </c>
      <c r="B146" s="27">
        <v>0</v>
      </c>
      <c r="C146" s="27">
        <v>20</v>
      </c>
      <c r="D146" s="27">
        <v>40</v>
      </c>
      <c r="E146" s="27">
        <v>40</v>
      </c>
      <c r="F146" s="27">
        <v>0</v>
      </c>
      <c r="G146" s="27">
        <v>0</v>
      </c>
    </row>
    <row r="147" spans="1:7">
      <c r="A147" s="10" t="s">
        <v>83</v>
      </c>
      <c r="B147" s="27">
        <v>0</v>
      </c>
      <c r="C147" s="27">
        <v>14.3</v>
      </c>
      <c r="D147" s="27">
        <v>23.8</v>
      </c>
      <c r="E147" s="27">
        <v>57.1</v>
      </c>
      <c r="F147" s="27">
        <v>4.8</v>
      </c>
      <c r="G147" s="27">
        <v>0</v>
      </c>
    </row>
    <row r="148" spans="1:7">
      <c r="A148" s="10" t="s">
        <v>82</v>
      </c>
      <c r="B148" s="27">
        <v>4.8</v>
      </c>
      <c r="C148" s="27">
        <v>0</v>
      </c>
      <c r="D148" s="27">
        <v>33.3</v>
      </c>
      <c r="E148" s="27">
        <v>57.1</v>
      </c>
      <c r="F148" s="27">
        <v>4.8</v>
      </c>
      <c r="G148" s="27">
        <v>0</v>
      </c>
    </row>
    <row r="149" spans="1:7">
      <c r="A149" s="10" t="s">
        <v>116</v>
      </c>
      <c r="B149" s="27">
        <v>33.3</v>
      </c>
      <c r="C149" s="27">
        <v>0</v>
      </c>
      <c r="D149" s="27">
        <v>33.3</v>
      </c>
      <c r="E149" s="27">
        <v>33.3</v>
      </c>
      <c r="F149" s="27">
        <v>0</v>
      </c>
      <c r="G149" s="27">
        <v>0</v>
      </c>
    </row>
    <row r="150" spans="1:7">
      <c r="A150" s="10" t="s">
        <v>117</v>
      </c>
      <c r="B150" s="27">
        <v>25</v>
      </c>
      <c r="C150" s="27">
        <v>0</v>
      </c>
      <c r="D150" s="27">
        <v>50</v>
      </c>
      <c r="E150" s="27">
        <v>0</v>
      </c>
      <c r="F150" s="27">
        <v>25</v>
      </c>
      <c r="G150" s="27">
        <v>0</v>
      </c>
    </row>
    <row r="151" spans="1:7">
      <c r="A151" s="10" t="s">
        <v>80</v>
      </c>
      <c r="B151" s="27">
        <v>0</v>
      </c>
      <c r="C151" s="27">
        <v>10</v>
      </c>
      <c r="D151" s="27">
        <v>50</v>
      </c>
      <c r="E151" s="27">
        <v>30</v>
      </c>
      <c r="F151" s="27">
        <v>10</v>
      </c>
      <c r="G151" s="27">
        <v>0</v>
      </c>
    </row>
    <row r="152" spans="1:7">
      <c r="A152" s="10" t="s">
        <v>118</v>
      </c>
      <c r="B152" s="27">
        <v>10</v>
      </c>
      <c r="C152" s="27">
        <v>0</v>
      </c>
      <c r="D152" s="27">
        <v>30</v>
      </c>
      <c r="E152" s="27">
        <v>30</v>
      </c>
      <c r="F152" s="27">
        <v>30</v>
      </c>
      <c r="G152" s="27">
        <v>0</v>
      </c>
    </row>
    <row r="153" spans="1:7">
      <c r="A153" s="10" t="s">
        <v>119</v>
      </c>
      <c r="B153" s="27">
        <v>0</v>
      </c>
      <c r="C153" s="27">
        <v>0</v>
      </c>
      <c r="D153" s="27">
        <v>0</v>
      </c>
      <c r="E153" s="27">
        <v>100</v>
      </c>
      <c r="F153" s="27">
        <v>0</v>
      </c>
      <c r="G153" s="27">
        <v>0</v>
      </c>
    </row>
    <row r="154" spans="1:7">
      <c r="A154" s="10" t="s">
        <v>76</v>
      </c>
      <c r="B154" s="27">
        <v>20</v>
      </c>
      <c r="C154" s="27">
        <v>6.7</v>
      </c>
      <c r="D154" s="27">
        <v>20</v>
      </c>
      <c r="E154" s="27">
        <v>40</v>
      </c>
      <c r="F154" s="27">
        <v>13.3</v>
      </c>
      <c r="G154" s="27">
        <v>0</v>
      </c>
    </row>
    <row r="155" spans="1:7">
      <c r="A155" s="10" t="s">
        <v>120</v>
      </c>
      <c r="B155" s="27">
        <v>0</v>
      </c>
      <c r="C155" s="27">
        <v>12.5</v>
      </c>
      <c r="D155" s="27">
        <v>50</v>
      </c>
      <c r="E155" s="27">
        <v>37.5</v>
      </c>
      <c r="F155" s="27">
        <v>0</v>
      </c>
      <c r="G155" s="27">
        <v>0</v>
      </c>
    </row>
    <row r="156" spans="1:7">
      <c r="A156" s="10" t="s">
        <v>81</v>
      </c>
      <c r="B156" s="27">
        <v>15.8</v>
      </c>
      <c r="C156" s="27">
        <v>13.2</v>
      </c>
      <c r="D156" s="27">
        <v>47.4</v>
      </c>
      <c r="E156" s="27">
        <v>18.4</v>
      </c>
      <c r="F156" s="27">
        <v>2.6</v>
      </c>
      <c r="G156" s="27">
        <v>2.6</v>
      </c>
    </row>
    <row r="157" spans="1:7">
      <c r="A157" s="10" t="s">
        <v>77</v>
      </c>
      <c r="B157" s="27">
        <v>0</v>
      </c>
      <c r="C157" s="27">
        <v>0</v>
      </c>
      <c r="D157" s="27">
        <v>45.5</v>
      </c>
      <c r="E157" s="27">
        <v>45.5</v>
      </c>
      <c r="F157" s="27">
        <v>9.1</v>
      </c>
      <c r="G157" s="27">
        <v>0</v>
      </c>
    </row>
  </sheetData>
  <mergeCells count="1"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6" width="12.7109375" customWidth="1"/>
    <col min="7" max="7" width="60.7109375" customWidth="1"/>
  </cols>
  <sheetData>
    <row r="1" spans="1:8">
      <c r="A1" s="1" t="s">
        <v>1090</v>
      </c>
    </row>
    <row r="2" spans="1:8" ht="30" customHeight="1">
      <c r="A2" s="2" t="s">
        <v>1091</v>
      </c>
      <c r="B2" s="2"/>
      <c r="C2" s="2"/>
      <c r="D2" s="2"/>
      <c r="E2" s="2"/>
      <c r="F2" s="2"/>
      <c r="G2" s="2"/>
      <c r="H2" s="2"/>
    </row>
    <row r="4" spans="1:8">
      <c r="A4" s="20" t="s">
        <v>217</v>
      </c>
      <c r="B4" s="20" t="s">
        <v>219</v>
      </c>
      <c r="C4" s="20" t="s">
        <v>218</v>
      </c>
      <c r="D4" s="20" t="s">
        <v>1009</v>
      </c>
      <c r="E4" s="20" t="s">
        <v>1092</v>
      </c>
      <c r="F4" s="20" t="s">
        <v>1093</v>
      </c>
      <c r="G4" s="20" t="s">
        <v>1094</v>
      </c>
    </row>
    <row r="5" spans="1:8">
      <c r="A5" s="4" t="s">
        <v>1027</v>
      </c>
      <c r="B5" s="4" t="s">
        <v>81</v>
      </c>
      <c r="C5" s="4" t="s">
        <v>65</v>
      </c>
      <c r="D5" s="22">
        <v>2350000</v>
      </c>
      <c r="E5" s="22">
        <v>5397181</v>
      </c>
      <c r="F5" s="25">
        <v>-56.5</v>
      </c>
      <c r="G5" s="4" t="s">
        <v>1095</v>
      </c>
    </row>
    <row r="6" spans="1:8">
      <c r="A6" s="4" t="s">
        <v>1045</v>
      </c>
      <c r="B6" s="4" t="s">
        <v>81</v>
      </c>
      <c r="C6" s="4" t="s">
        <v>69</v>
      </c>
      <c r="D6" s="22">
        <v>1995000</v>
      </c>
      <c r="E6" s="22">
        <v>4329202</v>
      </c>
      <c r="F6" s="25">
        <v>-53.9</v>
      </c>
      <c r="G6" s="4" t="s">
        <v>1096</v>
      </c>
    </row>
    <row r="7" spans="1:8">
      <c r="A7" s="4" t="s">
        <v>1029</v>
      </c>
      <c r="B7" s="4" t="s">
        <v>82</v>
      </c>
      <c r="C7" s="4" t="s">
        <v>65</v>
      </c>
      <c r="D7" s="22">
        <v>1900000</v>
      </c>
      <c r="E7" s="22">
        <v>3990870</v>
      </c>
      <c r="F7" s="25">
        <v>-52.4</v>
      </c>
      <c r="G7" s="4" t="s">
        <v>1097</v>
      </c>
    </row>
    <row r="8" spans="1:8">
      <c r="A8" s="4" t="s">
        <v>1026</v>
      </c>
      <c r="B8" s="4" t="s">
        <v>79</v>
      </c>
      <c r="C8" s="4" t="s">
        <v>70</v>
      </c>
      <c r="D8" s="22">
        <v>750000</v>
      </c>
      <c r="E8" s="22">
        <v>1527733</v>
      </c>
      <c r="F8" s="25">
        <v>-50.9</v>
      </c>
      <c r="G8" s="4" t="s">
        <v>1098</v>
      </c>
    </row>
    <row r="9" spans="1:8">
      <c r="A9" s="4" t="s">
        <v>776</v>
      </c>
      <c r="B9" s="4" t="s">
        <v>118</v>
      </c>
      <c r="C9" s="4" t="s">
        <v>68</v>
      </c>
      <c r="D9" s="22">
        <v>799900</v>
      </c>
      <c r="E9" s="22">
        <v>1544192</v>
      </c>
      <c r="F9" s="25">
        <v>-48.2</v>
      </c>
      <c r="G9" s="4" t="s">
        <v>1099</v>
      </c>
    </row>
    <row r="10" spans="1:8">
      <c r="A10" s="4" t="s">
        <v>1023</v>
      </c>
      <c r="B10" s="4" t="s">
        <v>364</v>
      </c>
      <c r="C10" s="4" t="s">
        <v>66</v>
      </c>
      <c r="D10" s="22">
        <v>1300000</v>
      </c>
      <c r="E10" s="22">
        <v>2462321</v>
      </c>
      <c r="F10" s="25">
        <v>-47.2</v>
      </c>
      <c r="G10" s="4" t="s">
        <v>1100</v>
      </c>
    </row>
    <row r="11" spans="1:8">
      <c r="A11" s="4" t="s">
        <v>788</v>
      </c>
      <c r="B11" s="4" t="s">
        <v>81</v>
      </c>
      <c r="C11" s="4" t="s">
        <v>69</v>
      </c>
      <c r="D11" s="22">
        <v>799000</v>
      </c>
      <c r="E11" s="22">
        <v>1359022</v>
      </c>
      <c r="F11" s="25">
        <v>-41.2</v>
      </c>
      <c r="G11" s="4" t="s">
        <v>1101</v>
      </c>
    </row>
    <row r="12" spans="1:8">
      <c r="A12" s="4" t="s">
        <v>742</v>
      </c>
      <c r="B12" s="4" t="s">
        <v>743</v>
      </c>
      <c r="C12" s="4" t="s">
        <v>70</v>
      </c>
      <c r="D12" s="22">
        <v>1050000</v>
      </c>
      <c r="E12" s="22">
        <v>1650725</v>
      </c>
      <c r="F12" s="25">
        <v>-36.4</v>
      </c>
      <c r="G12" s="4" t="s">
        <v>1102</v>
      </c>
    </row>
    <row r="13" spans="1:8">
      <c r="A13" s="4" t="s">
        <v>742</v>
      </c>
      <c r="B13" s="4" t="s">
        <v>743</v>
      </c>
      <c r="C13" s="4" t="s">
        <v>70</v>
      </c>
      <c r="D13" s="22">
        <v>1050000</v>
      </c>
      <c r="E13" s="22">
        <v>1650725</v>
      </c>
      <c r="F13" s="25">
        <v>-36.4</v>
      </c>
      <c r="G13" s="4" t="s">
        <v>1102</v>
      </c>
    </row>
    <row r="14" spans="1:8">
      <c r="A14" s="4" t="s">
        <v>1024</v>
      </c>
      <c r="B14" s="4" t="s">
        <v>81</v>
      </c>
      <c r="C14" s="4" t="s">
        <v>65</v>
      </c>
      <c r="D14" s="22">
        <v>875000</v>
      </c>
      <c r="E14" s="22">
        <v>1324224</v>
      </c>
      <c r="F14" s="25">
        <v>-33.9</v>
      </c>
      <c r="G14" s="4" t="s">
        <v>1103</v>
      </c>
    </row>
    <row r="15" spans="1:8">
      <c r="A15" s="4" t="s">
        <v>1032</v>
      </c>
      <c r="B15" s="4" t="s">
        <v>83</v>
      </c>
      <c r="C15" s="4" t="s">
        <v>67</v>
      </c>
      <c r="D15" s="22">
        <v>1750000</v>
      </c>
      <c r="E15" s="22">
        <v>2616300</v>
      </c>
      <c r="F15" s="25">
        <v>-33.1</v>
      </c>
      <c r="G15" s="4" t="s">
        <v>1104</v>
      </c>
    </row>
    <row r="16" spans="1:8">
      <c r="A16" s="4" t="s">
        <v>570</v>
      </c>
      <c r="B16" s="4" t="s">
        <v>81</v>
      </c>
      <c r="C16" s="4" t="s">
        <v>66</v>
      </c>
      <c r="D16" s="22">
        <v>1750000</v>
      </c>
      <c r="E16" s="22">
        <v>2551358</v>
      </c>
      <c r="F16" s="25">
        <v>-31.4</v>
      </c>
      <c r="G16" s="4" t="s">
        <v>1105</v>
      </c>
    </row>
    <row r="17" spans="1:7">
      <c r="A17" s="4" t="s">
        <v>1035</v>
      </c>
      <c r="B17" s="4" t="s">
        <v>116</v>
      </c>
      <c r="C17" s="4" t="s">
        <v>65</v>
      </c>
      <c r="D17" s="22">
        <v>2900000</v>
      </c>
      <c r="E17" s="22">
        <v>4152720</v>
      </c>
      <c r="F17" s="25">
        <v>-30.2</v>
      </c>
      <c r="G17" s="4" t="s">
        <v>1106</v>
      </c>
    </row>
    <row r="18" spans="1:7">
      <c r="A18" s="4" t="s">
        <v>1043</v>
      </c>
      <c r="B18" s="4" t="s">
        <v>79</v>
      </c>
      <c r="C18" s="4" t="s">
        <v>71</v>
      </c>
      <c r="D18" s="22">
        <v>7995000</v>
      </c>
      <c r="E18" s="22">
        <v>11393249</v>
      </c>
      <c r="F18" s="25">
        <v>-29.8</v>
      </c>
      <c r="G18" s="4" t="s">
        <v>1107</v>
      </c>
    </row>
    <row r="19" spans="1:7">
      <c r="A19" s="4" t="s">
        <v>1025</v>
      </c>
      <c r="B19" s="4" t="s">
        <v>82</v>
      </c>
      <c r="C19" s="4" t="s">
        <v>65</v>
      </c>
      <c r="D19" s="22">
        <v>975000</v>
      </c>
      <c r="E19" s="22">
        <v>1355200</v>
      </c>
      <c r="F19" s="25">
        <v>-28.1</v>
      </c>
      <c r="G19" s="4" t="s">
        <v>1108</v>
      </c>
    </row>
    <row r="20" spans="1:7">
      <c r="A20" s="4" t="s">
        <v>1028</v>
      </c>
      <c r="B20" s="4" t="s">
        <v>81</v>
      </c>
      <c r="C20" s="4" t="s">
        <v>68</v>
      </c>
      <c r="D20" s="22">
        <v>1100000</v>
      </c>
      <c r="E20" s="22">
        <v>1518955</v>
      </c>
      <c r="F20" s="25">
        <v>-27.6</v>
      </c>
      <c r="G20" s="4" t="s">
        <v>1109</v>
      </c>
    </row>
    <row r="21" spans="1:7">
      <c r="A21" s="4" t="s">
        <v>1038</v>
      </c>
      <c r="B21" s="4" t="s">
        <v>83</v>
      </c>
      <c r="C21" s="4" t="s">
        <v>66</v>
      </c>
      <c r="D21" s="22">
        <v>1399990</v>
      </c>
      <c r="E21" s="22">
        <v>1806595</v>
      </c>
      <c r="F21" s="25">
        <v>-22.5</v>
      </c>
      <c r="G21" s="4" t="s">
        <v>1110</v>
      </c>
    </row>
    <row r="22" spans="1:7">
      <c r="A22" s="4" t="s">
        <v>724</v>
      </c>
      <c r="B22" s="4" t="s">
        <v>77</v>
      </c>
      <c r="C22" s="4" t="s">
        <v>66</v>
      </c>
      <c r="D22" s="22">
        <v>975000</v>
      </c>
      <c r="E22" s="22">
        <v>1204396</v>
      </c>
      <c r="F22" s="25">
        <v>-19</v>
      </c>
      <c r="G22" s="4" t="s">
        <v>1111</v>
      </c>
    </row>
    <row r="23" spans="1:7">
      <c r="A23" s="4" t="s">
        <v>1033</v>
      </c>
      <c r="B23" s="4" t="s">
        <v>76</v>
      </c>
      <c r="C23" s="4" t="s">
        <v>71</v>
      </c>
      <c r="D23" s="22">
        <v>6000000</v>
      </c>
      <c r="E23" s="22">
        <v>6712588</v>
      </c>
      <c r="F23" s="25">
        <v>-10.6</v>
      </c>
      <c r="G23" s="4" t="s">
        <v>1112</v>
      </c>
    </row>
  </sheetData>
  <autoFilter ref="A4:G23"/>
  <mergeCells count="1"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7" width="12.7109375" customWidth="1"/>
  </cols>
  <sheetData>
    <row r="1" spans="1:8">
      <c r="A1" s="1" t="s">
        <v>1113</v>
      </c>
    </row>
    <row r="2" spans="1:8" ht="30" customHeight="1">
      <c r="A2" s="2" t="s">
        <v>1114</v>
      </c>
      <c r="B2" s="2"/>
      <c r="C2" s="2"/>
      <c r="D2" s="2"/>
      <c r="E2" s="2"/>
      <c r="F2" s="2"/>
      <c r="G2" s="2"/>
      <c r="H2" s="2"/>
    </row>
    <row r="4" spans="1:8">
      <c r="A4" s="20" t="s">
        <v>217</v>
      </c>
      <c r="B4" s="20" t="s">
        <v>219</v>
      </c>
      <c r="C4" s="20" t="s">
        <v>218</v>
      </c>
      <c r="D4" s="20" t="s">
        <v>223</v>
      </c>
      <c r="E4" s="20" t="s">
        <v>1115</v>
      </c>
      <c r="F4" s="20" t="s">
        <v>1116</v>
      </c>
      <c r="G4" s="20" t="s">
        <v>1117</v>
      </c>
    </row>
    <row r="5" spans="1:8">
      <c r="A5" s="4" t="s">
        <v>1067</v>
      </c>
      <c r="B5" s="4" t="s">
        <v>108</v>
      </c>
      <c r="C5" s="4" t="s">
        <v>69</v>
      </c>
      <c r="D5" s="22">
        <v>21000000</v>
      </c>
      <c r="E5" s="22">
        <v>557</v>
      </c>
      <c r="F5" s="22">
        <v>59</v>
      </c>
      <c r="G5" s="25">
        <v>842.9</v>
      </c>
    </row>
    <row r="6" spans="1:8">
      <c r="A6" s="4" t="s">
        <v>1066</v>
      </c>
      <c r="B6" s="4" t="s">
        <v>528</v>
      </c>
      <c r="C6" s="4" t="s">
        <v>69</v>
      </c>
      <c r="D6" s="22">
        <v>12500000</v>
      </c>
      <c r="E6" s="22">
        <v>805</v>
      </c>
      <c r="F6" s="22">
        <v>95</v>
      </c>
      <c r="G6" s="25">
        <v>749.3</v>
      </c>
    </row>
    <row r="7" spans="1:8">
      <c r="A7" s="4" t="s">
        <v>1065</v>
      </c>
      <c r="B7" s="4" t="s">
        <v>59</v>
      </c>
      <c r="C7" s="4" t="s">
        <v>70</v>
      </c>
      <c r="D7" s="22">
        <v>7995000</v>
      </c>
      <c r="E7" s="22">
        <v>643</v>
      </c>
      <c r="F7" s="22">
        <v>77</v>
      </c>
      <c r="G7" s="25">
        <v>730.9</v>
      </c>
    </row>
    <row r="8" spans="1:8">
      <c r="A8" s="4" t="s">
        <v>1064</v>
      </c>
      <c r="B8" s="4" t="s">
        <v>83</v>
      </c>
      <c r="C8" s="4" t="s">
        <v>66</v>
      </c>
      <c r="D8" s="22">
        <v>5200000</v>
      </c>
      <c r="E8" s="22">
        <v>1932</v>
      </c>
      <c r="F8" s="22">
        <v>329</v>
      </c>
      <c r="G8" s="25">
        <v>487.2</v>
      </c>
    </row>
    <row r="9" spans="1:8">
      <c r="A9" s="4" t="s">
        <v>1063</v>
      </c>
      <c r="B9" s="4" t="s">
        <v>107</v>
      </c>
      <c r="C9" s="4" t="s">
        <v>65</v>
      </c>
      <c r="D9" s="22">
        <v>23000000</v>
      </c>
      <c r="E9" s="22">
        <v>812</v>
      </c>
      <c r="F9" s="22">
        <v>148</v>
      </c>
      <c r="G9" s="25">
        <v>448.6</v>
      </c>
    </row>
    <row r="10" spans="1:8">
      <c r="A10" s="4" t="s">
        <v>1062</v>
      </c>
      <c r="B10" s="4" t="s">
        <v>59</v>
      </c>
      <c r="C10" s="4" t="s">
        <v>66</v>
      </c>
      <c r="D10" s="22">
        <v>6895000</v>
      </c>
      <c r="E10" s="22">
        <v>690</v>
      </c>
      <c r="F10" s="22">
        <v>129</v>
      </c>
      <c r="G10" s="25">
        <v>435.7</v>
      </c>
    </row>
    <row r="11" spans="1:8">
      <c r="A11" s="4" t="s">
        <v>1061</v>
      </c>
      <c r="B11" s="4" t="s">
        <v>118</v>
      </c>
      <c r="C11" s="4" t="s">
        <v>68</v>
      </c>
      <c r="D11" s="22">
        <v>11250000</v>
      </c>
      <c r="E11" s="22">
        <v>653</v>
      </c>
      <c r="F11" s="22">
        <v>139</v>
      </c>
      <c r="G11" s="25">
        <v>371.2</v>
      </c>
    </row>
    <row r="12" spans="1:8">
      <c r="A12" s="4" t="s">
        <v>1060</v>
      </c>
      <c r="B12" s="4" t="s">
        <v>246</v>
      </c>
      <c r="C12" s="4" t="s">
        <v>71</v>
      </c>
      <c r="D12" s="22">
        <v>12000000</v>
      </c>
      <c r="E12" s="22">
        <v>1920</v>
      </c>
      <c r="F12" s="22">
        <v>515</v>
      </c>
      <c r="G12" s="25">
        <v>272.8</v>
      </c>
    </row>
    <row r="13" spans="1:8">
      <c r="A13" s="4" t="s">
        <v>1059</v>
      </c>
      <c r="B13" s="4" t="s">
        <v>835</v>
      </c>
      <c r="C13" s="4" t="s">
        <v>65</v>
      </c>
      <c r="D13" s="22">
        <v>13900000</v>
      </c>
      <c r="E13" s="22">
        <v>562</v>
      </c>
      <c r="F13" s="22">
        <v>159</v>
      </c>
      <c r="G13" s="25">
        <v>252.8</v>
      </c>
    </row>
    <row r="14" spans="1:8">
      <c r="A14" s="4" t="s">
        <v>258</v>
      </c>
      <c r="B14" s="4" t="s">
        <v>116</v>
      </c>
      <c r="C14" s="4" t="s">
        <v>70</v>
      </c>
      <c r="D14" s="22">
        <v>7000000</v>
      </c>
      <c r="E14" s="22">
        <v>415</v>
      </c>
      <c r="F14" s="22">
        <v>127</v>
      </c>
      <c r="G14" s="25">
        <v>226.9</v>
      </c>
    </row>
    <row r="15" spans="1:8">
      <c r="A15" s="4" t="s">
        <v>1058</v>
      </c>
      <c r="B15" s="4" t="s">
        <v>107</v>
      </c>
      <c r="C15" s="4" t="s">
        <v>71</v>
      </c>
      <c r="D15" s="22">
        <v>14750000</v>
      </c>
      <c r="E15" s="22">
        <v>1137</v>
      </c>
      <c r="F15" s="22">
        <v>349</v>
      </c>
      <c r="G15" s="25">
        <v>225.8</v>
      </c>
    </row>
    <row r="16" spans="1:8">
      <c r="A16" s="4" t="s">
        <v>1057</v>
      </c>
      <c r="B16" s="4" t="s">
        <v>107</v>
      </c>
      <c r="C16" s="4" t="s">
        <v>71</v>
      </c>
      <c r="D16" s="22">
        <v>14999000</v>
      </c>
      <c r="E16" s="22">
        <v>1112</v>
      </c>
      <c r="F16" s="22">
        <v>342</v>
      </c>
      <c r="G16" s="25">
        <v>225.4</v>
      </c>
    </row>
    <row r="17" spans="1:7">
      <c r="A17" s="4" t="s">
        <v>295</v>
      </c>
      <c r="B17" s="4" t="s">
        <v>81</v>
      </c>
      <c r="C17" s="4" t="s">
        <v>72</v>
      </c>
      <c r="D17" s="22">
        <v>5000000</v>
      </c>
      <c r="E17" s="22">
        <v>577</v>
      </c>
      <c r="F17" s="22">
        <v>184</v>
      </c>
      <c r="G17" s="25">
        <v>214.3</v>
      </c>
    </row>
    <row r="18" spans="1:7">
      <c r="A18" s="4" t="s">
        <v>254</v>
      </c>
      <c r="B18" s="4" t="s">
        <v>118</v>
      </c>
      <c r="C18" s="4" t="s">
        <v>68</v>
      </c>
      <c r="D18" s="22">
        <v>8900000</v>
      </c>
      <c r="E18" s="22">
        <v>335</v>
      </c>
      <c r="F18" s="22">
        <v>110</v>
      </c>
      <c r="G18" s="25">
        <v>204</v>
      </c>
    </row>
    <row r="19" spans="1:7">
      <c r="A19" s="4" t="s">
        <v>1056</v>
      </c>
      <c r="B19" s="4" t="s">
        <v>107</v>
      </c>
      <c r="C19" s="4" t="s">
        <v>66</v>
      </c>
      <c r="D19" s="22">
        <v>10795000</v>
      </c>
      <c r="E19" s="22">
        <v>506</v>
      </c>
      <c r="F19" s="22">
        <v>168</v>
      </c>
      <c r="G19" s="25">
        <v>201.8</v>
      </c>
    </row>
    <row r="20" spans="1:7">
      <c r="A20" s="4" t="s">
        <v>1052</v>
      </c>
      <c r="B20" s="4" t="s">
        <v>111</v>
      </c>
      <c r="C20" s="4" t="s">
        <v>70</v>
      </c>
      <c r="D20" s="22">
        <v>2200000</v>
      </c>
      <c r="E20" s="22">
        <v>1190</v>
      </c>
      <c r="F20" s="22">
        <v>411</v>
      </c>
      <c r="G20" s="25">
        <v>189.2</v>
      </c>
    </row>
    <row r="21" spans="1:7">
      <c r="A21" s="4" t="s">
        <v>274</v>
      </c>
      <c r="B21" s="4" t="s">
        <v>112</v>
      </c>
      <c r="C21" s="4" t="s">
        <v>69</v>
      </c>
      <c r="D21" s="22">
        <v>5999999</v>
      </c>
      <c r="E21" s="22">
        <v>179</v>
      </c>
      <c r="F21" s="22">
        <v>63</v>
      </c>
      <c r="G21" s="25">
        <v>184.6</v>
      </c>
    </row>
    <row r="22" spans="1:7">
      <c r="A22" s="4" t="s">
        <v>1055</v>
      </c>
      <c r="B22" s="4" t="s">
        <v>107</v>
      </c>
      <c r="C22" s="4" t="s">
        <v>71</v>
      </c>
      <c r="D22" s="22">
        <v>12400000</v>
      </c>
      <c r="E22" s="22">
        <v>992</v>
      </c>
      <c r="F22" s="22">
        <v>356</v>
      </c>
      <c r="G22" s="25">
        <v>179</v>
      </c>
    </row>
    <row r="23" spans="1:7">
      <c r="A23" s="4" t="s">
        <v>519</v>
      </c>
      <c r="B23" s="4" t="s">
        <v>81</v>
      </c>
      <c r="C23" s="4" t="s">
        <v>69</v>
      </c>
      <c r="D23" s="22">
        <v>2043000</v>
      </c>
      <c r="E23" s="22">
        <v>450</v>
      </c>
      <c r="F23" s="22">
        <v>162</v>
      </c>
      <c r="G23" s="25">
        <v>177.7</v>
      </c>
    </row>
    <row r="24" spans="1:7">
      <c r="A24" s="4" t="s">
        <v>410</v>
      </c>
      <c r="B24" s="4" t="s">
        <v>108</v>
      </c>
      <c r="C24" s="4" t="s">
        <v>69</v>
      </c>
      <c r="D24" s="22">
        <v>2850000</v>
      </c>
      <c r="E24" s="22">
        <v>380</v>
      </c>
      <c r="F24" s="22">
        <v>140</v>
      </c>
      <c r="G24" s="25">
        <v>172</v>
      </c>
    </row>
    <row r="25" spans="1:7">
      <c r="A25" s="4" t="s">
        <v>410</v>
      </c>
      <c r="B25" s="4" t="s">
        <v>420</v>
      </c>
      <c r="C25" s="4" t="s">
        <v>69</v>
      </c>
      <c r="D25" s="22">
        <v>2800000</v>
      </c>
      <c r="E25" s="22">
        <v>373</v>
      </c>
      <c r="F25" s="22">
        <v>139</v>
      </c>
      <c r="G25" s="25">
        <v>167.7</v>
      </c>
    </row>
    <row r="26" spans="1:7">
      <c r="A26" s="4" t="s">
        <v>254</v>
      </c>
      <c r="B26" s="4" t="s">
        <v>118</v>
      </c>
      <c r="C26" s="4" t="s">
        <v>68</v>
      </c>
      <c r="D26" s="22">
        <v>7600000</v>
      </c>
      <c r="E26" s="22">
        <v>286</v>
      </c>
      <c r="F26" s="22">
        <v>110</v>
      </c>
      <c r="G26" s="25">
        <v>159.6</v>
      </c>
    </row>
    <row r="27" spans="1:7">
      <c r="A27" s="4" t="s">
        <v>1053</v>
      </c>
      <c r="B27" s="4" t="s">
        <v>110</v>
      </c>
      <c r="C27" s="4" t="s">
        <v>73</v>
      </c>
      <c r="D27" s="22">
        <v>5000000</v>
      </c>
      <c r="E27" s="22">
        <v>875</v>
      </c>
      <c r="F27" s="22">
        <v>347</v>
      </c>
      <c r="G27" s="25">
        <v>151.8</v>
      </c>
    </row>
    <row r="28" spans="1:7">
      <c r="A28" s="4" t="s">
        <v>519</v>
      </c>
      <c r="B28" s="4" t="s">
        <v>81</v>
      </c>
      <c r="C28" s="4" t="s">
        <v>69</v>
      </c>
      <c r="D28" s="22">
        <v>1740000</v>
      </c>
      <c r="E28" s="22">
        <v>383</v>
      </c>
      <c r="F28" s="22">
        <v>162</v>
      </c>
      <c r="G28" s="25">
        <v>136.5</v>
      </c>
    </row>
    <row r="29" spans="1:7">
      <c r="A29" s="4" t="s">
        <v>519</v>
      </c>
      <c r="B29" s="4" t="s">
        <v>81</v>
      </c>
      <c r="C29" s="4" t="s">
        <v>69</v>
      </c>
      <c r="D29" s="22">
        <v>1700000</v>
      </c>
      <c r="E29" s="22">
        <v>392</v>
      </c>
      <c r="F29" s="22">
        <v>166</v>
      </c>
      <c r="G29" s="25">
        <v>136</v>
      </c>
    </row>
    <row r="30" spans="1:7">
      <c r="A30" s="4" t="s">
        <v>258</v>
      </c>
      <c r="B30" s="4" t="s">
        <v>76</v>
      </c>
      <c r="C30" s="4" t="s">
        <v>70</v>
      </c>
      <c r="D30" s="22">
        <v>7000000</v>
      </c>
      <c r="E30" s="22">
        <v>415</v>
      </c>
      <c r="F30" s="22">
        <v>177</v>
      </c>
      <c r="G30" s="25">
        <v>134.4</v>
      </c>
    </row>
    <row r="31" spans="1:7">
      <c r="A31" s="4" t="s">
        <v>363</v>
      </c>
      <c r="B31" s="4" t="s">
        <v>364</v>
      </c>
      <c r="C31" s="4" t="s">
        <v>69</v>
      </c>
      <c r="D31" s="22">
        <v>3500000</v>
      </c>
      <c r="E31" s="22">
        <v>197</v>
      </c>
      <c r="F31" s="22">
        <v>88</v>
      </c>
      <c r="G31" s="25">
        <v>123.3</v>
      </c>
    </row>
    <row r="32" spans="1:7">
      <c r="A32" s="4" t="s">
        <v>444</v>
      </c>
      <c r="B32" s="4" t="s">
        <v>82</v>
      </c>
      <c r="C32" s="4" t="s">
        <v>70</v>
      </c>
      <c r="D32" s="22">
        <v>2650000</v>
      </c>
      <c r="E32" s="22">
        <v>337</v>
      </c>
      <c r="F32" s="22">
        <v>152</v>
      </c>
      <c r="G32" s="25">
        <v>121.8</v>
      </c>
    </row>
    <row r="33" spans="1:7">
      <c r="A33" s="4" t="s">
        <v>1052</v>
      </c>
      <c r="B33" s="4" t="s">
        <v>107</v>
      </c>
      <c r="C33" s="4" t="s">
        <v>65</v>
      </c>
      <c r="D33" s="22">
        <v>2500000</v>
      </c>
      <c r="E33" s="22">
        <v>1352</v>
      </c>
      <c r="F33" s="22">
        <v>633</v>
      </c>
      <c r="G33" s="25">
        <v>113.5</v>
      </c>
    </row>
    <row r="34" spans="1:7">
      <c r="A34" s="4" t="s">
        <v>250</v>
      </c>
      <c r="B34" s="4" t="s">
        <v>82</v>
      </c>
      <c r="C34" s="4" t="s">
        <v>66</v>
      </c>
      <c r="D34" s="22">
        <v>7950000</v>
      </c>
      <c r="E34" s="22">
        <v>204</v>
      </c>
      <c r="F34" s="22">
        <v>97</v>
      </c>
      <c r="G34" s="25">
        <v>111</v>
      </c>
    </row>
    <row r="35" spans="1:7">
      <c r="A35" s="4" t="s">
        <v>689</v>
      </c>
      <c r="B35" s="4" t="s">
        <v>81</v>
      </c>
      <c r="C35" s="4" t="s">
        <v>69</v>
      </c>
      <c r="D35" s="22">
        <v>1250000</v>
      </c>
      <c r="E35" s="22">
        <v>379</v>
      </c>
      <c r="F35" s="22">
        <v>192</v>
      </c>
      <c r="G35" s="25">
        <v>97.7</v>
      </c>
    </row>
    <row r="36" spans="1:7">
      <c r="A36" s="4" t="s">
        <v>1051</v>
      </c>
      <c r="B36" s="4" t="s">
        <v>77</v>
      </c>
      <c r="C36" s="4" t="s">
        <v>65</v>
      </c>
      <c r="D36" s="22">
        <v>6000000</v>
      </c>
      <c r="E36" s="22">
        <v>738</v>
      </c>
      <c r="F36" s="22">
        <v>380</v>
      </c>
      <c r="G36" s="25">
        <v>94.5</v>
      </c>
    </row>
    <row r="37" spans="1:7">
      <c r="A37" s="4" t="s">
        <v>1049</v>
      </c>
      <c r="B37" s="4" t="s">
        <v>59</v>
      </c>
      <c r="C37" s="4" t="s">
        <v>66</v>
      </c>
      <c r="D37" s="22">
        <v>1575000</v>
      </c>
      <c r="E37" s="22">
        <v>414</v>
      </c>
      <c r="F37" s="22">
        <v>216</v>
      </c>
      <c r="G37" s="25">
        <v>92.09999999999999</v>
      </c>
    </row>
    <row r="38" spans="1:7">
      <c r="A38" s="4" t="s">
        <v>1050</v>
      </c>
      <c r="B38" s="4" t="s">
        <v>109</v>
      </c>
      <c r="C38" s="4" t="s">
        <v>66</v>
      </c>
      <c r="D38" s="22">
        <v>4795000</v>
      </c>
      <c r="E38" s="22">
        <v>480</v>
      </c>
      <c r="F38" s="22">
        <v>250</v>
      </c>
      <c r="G38" s="25">
        <v>91.90000000000001</v>
      </c>
    </row>
    <row r="39" spans="1:7">
      <c r="A39" s="4" t="s">
        <v>753</v>
      </c>
      <c r="B39" s="4" t="s">
        <v>81</v>
      </c>
      <c r="C39" s="4" t="s">
        <v>69</v>
      </c>
      <c r="D39" s="22">
        <v>1020000</v>
      </c>
      <c r="E39" s="22">
        <v>425</v>
      </c>
      <c r="F39" s="22">
        <v>227</v>
      </c>
      <c r="G39" s="25">
        <v>87.2</v>
      </c>
    </row>
    <row r="40" spans="1:7">
      <c r="A40" s="4" t="s">
        <v>230</v>
      </c>
      <c r="B40" s="4" t="s">
        <v>81</v>
      </c>
      <c r="C40" s="4" t="s">
        <v>65</v>
      </c>
      <c r="D40" s="22">
        <v>11900000</v>
      </c>
      <c r="E40" s="22">
        <v>132</v>
      </c>
      <c r="F40" s="22">
        <v>71</v>
      </c>
      <c r="G40" s="25">
        <v>85.8</v>
      </c>
    </row>
    <row r="41" spans="1:7">
      <c r="A41" s="4" t="s">
        <v>753</v>
      </c>
      <c r="B41" s="4" t="s">
        <v>81</v>
      </c>
      <c r="C41" s="4" t="s">
        <v>69</v>
      </c>
      <c r="D41" s="22">
        <v>1000000</v>
      </c>
      <c r="E41" s="22">
        <v>417</v>
      </c>
      <c r="F41" s="22">
        <v>227</v>
      </c>
      <c r="G41" s="25">
        <v>83.59999999999999</v>
      </c>
    </row>
    <row r="42" spans="1:7">
      <c r="A42" s="4" t="s">
        <v>1048</v>
      </c>
      <c r="B42" s="4" t="s">
        <v>109</v>
      </c>
      <c r="C42" s="4" t="s">
        <v>66</v>
      </c>
      <c r="D42" s="22">
        <v>4490000</v>
      </c>
      <c r="E42" s="22">
        <v>449</v>
      </c>
      <c r="F42" s="22">
        <v>250</v>
      </c>
      <c r="G42" s="25">
        <v>79.7</v>
      </c>
    </row>
    <row r="43" spans="1:7">
      <c r="A43" s="4" t="s">
        <v>303</v>
      </c>
      <c r="B43" s="4" t="s">
        <v>81</v>
      </c>
      <c r="C43" s="4" t="s">
        <v>65</v>
      </c>
      <c r="D43" s="22">
        <v>4600000</v>
      </c>
      <c r="E43" s="22">
        <v>362</v>
      </c>
      <c r="F43" s="22">
        <v>202</v>
      </c>
      <c r="G43" s="25">
        <v>79.40000000000001</v>
      </c>
    </row>
    <row r="44" spans="1:7">
      <c r="A44" s="4" t="s">
        <v>1047</v>
      </c>
      <c r="B44" s="4" t="s">
        <v>120</v>
      </c>
      <c r="C44" s="4" t="s">
        <v>66</v>
      </c>
      <c r="D44" s="22">
        <v>4500000</v>
      </c>
      <c r="E44" s="22">
        <v>444</v>
      </c>
      <c r="F44" s="22">
        <v>249</v>
      </c>
      <c r="G44" s="25">
        <v>78.3</v>
      </c>
    </row>
  </sheetData>
  <autoFilter ref="A4:G44"/>
  <mergeCells count="1">
    <mergeCell ref="A2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I39"/>
  <sheetViews>
    <sheetView workbookViewId="0">
      <pane ySplit="15" topLeftCell="A16" activePane="bottomLeft" state="frozen"/>
      <selection pane="bottomLeft"/>
    </sheetView>
  </sheetViews>
  <sheetFormatPr defaultRowHeight="15"/>
  <cols>
    <col min="1" max="1" width="18.7109375" customWidth="1"/>
    <col min="2" max="9" width="12.7109375" customWidth="1"/>
  </cols>
  <sheetData>
    <row r="1" spans="1:9">
      <c r="A1" s="1" t="s">
        <v>1118</v>
      </c>
    </row>
    <row r="2" spans="1:9" ht="30" customHeight="1">
      <c r="A2" s="2" t="s">
        <v>1119</v>
      </c>
      <c r="B2" s="2"/>
      <c r="C2" s="2"/>
      <c r="D2" s="2"/>
      <c r="E2" s="2"/>
      <c r="F2" s="2"/>
      <c r="G2" s="2"/>
      <c r="H2" s="2"/>
      <c r="I2" s="2"/>
    </row>
    <row r="4" spans="1:9">
      <c r="A4" s="20" t="s">
        <v>218</v>
      </c>
      <c r="B4" s="20" t="s">
        <v>168</v>
      </c>
      <c r="C4" s="20" t="s">
        <v>1120</v>
      </c>
      <c r="D4" s="20" t="s">
        <v>1121</v>
      </c>
      <c r="E4" s="20" t="s">
        <v>1122</v>
      </c>
      <c r="F4" s="20" t="s">
        <v>1123</v>
      </c>
      <c r="G4" s="20" t="s">
        <v>984</v>
      </c>
      <c r="H4" s="20" t="s">
        <v>131</v>
      </c>
      <c r="I4" s="20" t="s">
        <v>1124</v>
      </c>
    </row>
    <row r="5" spans="1:9">
      <c r="A5" s="4" t="s">
        <v>66</v>
      </c>
      <c r="B5" s="22">
        <v>15.4</v>
      </c>
      <c r="C5" s="22">
        <v>13.7</v>
      </c>
      <c r="D5" s="22">
        <v>20.2</v>
      </c>
      <c r="E5" s="21">
        <v>3</v>
      </c>
      <c r="F5" s="22">
        <v>177</v>
      </c>
      <c r="G5" s="23">
        <v>0.08690000000000001</v>
      </c>
      <c r="H5" s="23">
        <v>0.0474</v>
      </c>
      <c r="I5" s="23">
        <v>0.055</v>
      </c>
    </row>
    <row r="6" spans="1:9">
      <c r="A6" s="4" t="s">
        <v>69</v>
      </c>
      <c r="B6" s="22">
        <v>17</v>
      </c>
      <c r="C6" s="22">
        <v>7.1</v>
      </c>
      <c r="D6" s="22">
        <v>25</v>
      </c>
      <c r="E6" s="21">
        <v>41</v>
      </c>
      <c r="F6" s="22">
        <v>197</v>
      </c>
      <c r="G6" s="23">
        <v>0.0862</v>
      </c>
      <c r="H6" s="23">
        <v>0.0403</v>
      </c>
      <c r="I6" s="23">
        <v>0.08</v>
      </c>
    </row>
    <row r="7" spans="1:9">
      <c r="A7" s="4" t="s">
        <v>70</v>
      </c>
      <c r="B7" s="22">
        <v>28</v>
      </c>
      <c r="C7" s="22">
        <v>20.5</v>
      </c>
      <c r="D7" s="22">
        <v>40</v>
      </c>
      <c r="E7" s="21">
        <v>59</v>
      </c>
      <c r="F7" s="22">
        <v>247</v>
      </c>
      <c r="G7" s="23">
        <v>0.1136</v>
      </c>
      <c r="H7" s="23">
        <v>0.0815</v>
      </c>
      <c r="I7" s="23">
        <v>0.0675</v>
      </c>
    </row>
    <row r="8" spans="1:9">
      <c r="A8" s="4" t="s">
        <v>67</v>
      </c>
      <c r="B8" s="22">
        <v>19.4</v>
      </c>
      <c r="C8" s="22">
        <v>11.8</v>
      </c>
      <c r="D8" s="22">
        <v>20</v>
      </c>
      <c r="E8" s="21">
        <v>24</v>
      </c>
      <c r="F8" s="22">
        <v>150</v>
      </c>
      <c r="G8" s="23">
        <v>0.1296</v>
      </c>
      <c r="H8" s="23">
        <v>0.1047</v>
      </c>
      <c r="I8" s="23">
        <v>0.0625</v>
      </c>
    </row>
    <row r="9" spans="1:9">
      <c r="A9" s="4" t="s">
        <v>68</v>
      </c>
      <c r="B9" s="22">
        <v>20.2</v>
      </c>
      <c r="C9" s="22">
        <v>8.199999999999999</v>
      </c>
      <c r="D9" s="22">
        <v>28.3</v>
      </c>
      <c r="E9" s="21">
        <v>24</v>
      </c>
      <c r="F9" s="22">
        <v>136</v>
      </c>
      <c r="G9" s="23">
        <v>0.1481</v>
      </c>
      <c r="H9" s="23">
        <v>0.0866</v>
      </c>
      <c r="I9" s="23">
        <v>0.0675</v>
      </c>
    </row>
    <row r="10" spans="1:9">
      <c r="A10" s="4" t="s">
        <v>72</v>
      </c>
      <c r="B10" s="22">
        <v>22.6</v>
      </c>
      <c r="C10" s="22">
        <v>9.199999999999999</v>
      </c>
      <c r="D10" s="22">
        <v>28.2</v>
      </c>
      <c r="E10" s="21">
        <v>7</v>
      </c>
      <c r="F10" s="22">
        <v>365</v>
      </c>
      <c r="G10" s="23">
        <v>0.0619</v>
      </c>
      <c r="H10" s="23">
        <v>0.0446</v>
      </c>
      <c r="I10" s="23">
        <v>0.065</v>
      </c>
    </row>
    <row r="11" spans="1:9">
      <c r="A11" s="4" t="s">
        <v>74</v>
      </c>
      <c r="B11" s="22">
        <v>7.3</v>
      </c>
      <c r="C11" s="22">
        <v>6.7</v>
      </c>
      <c r="D11" s="22">
        <v>9.1</v>
      </c>
      <c r="E11" s="21">
        <v>4</v>
      </c>
      <c r="F11" s="22">
        <v>319</v>
      </c>
      <c r="G11" s="23">
        <v>0.0229</v>
      </c>
      <c r="H11" s="23">
        <v>0.0136</v>
      </c>
      <c r="I11" s="23">
        <v>0.075</v>
      </c>
    </row>
    <row r="12" spans="1:9">
      <c r="A12" s="4" t="s">
        <v>65</v>
      </c>
      <c r="B12" s="22">
        <v>26.5</v>
      </c>
      <c r="C12" s="22">
        <v>14.1</v>
      </c>
      <c r="D12" s="22">
        <v>34.2</v>
      </c>
      <c r="E12" s="21">
        <v>80</v>
      </c>
      <c r="F12" s="22">
        <v>195</v>
      </c>
      <c r="G12" s="23">
        <v>0.1362</v>
      </c>
      <c r="H12" s="23">
        <v>0.0839</v>
      </c>
      <c r="I12" s="23">
        <v>0.07000000000000001</v>
      </c>
    </row>
    <row r="14" spans="1:9">
      <c r="A14" s="1" t="s">
        <v>1125</v>
      </c>
    </row>
    <row r="15" spans="1:9">
      <c r="A15" s="20" t="s">
        <v>978</v>
      </c>
      <c r="B15" s="20" t="s">
        <v>979</v>
      </c>
      <c r="C15" s="20" t="s">
        <v>168</v>
      </c>
      <c r="D15" s="20" t="s">
        <v>1122</v>
      </c>
      <c r="E15" s="20" t="s">
        <v>901</v>
      </c>
      <c r="F15" s="20" t="s">
        <v>1126</v>
      </c>
      <c r="G15" s="20" t="s">
        <v>1123</v>
      </c>
      <c r="H15" s="20" t="s">
        <v>984</v>
      </c>
    </row>
    <row r="16" spans="1:9">
      <c r="A16" s="4" t="s">
        <v>120</v>
      </c>
      <c r="B16" s="4" t="s">
        <v>1127</v>
      </c>
      <c r="C16" s="22">
        <v>35</v>
      </c>
      <c r="D16" s="21">
        <v>13</v>
      </c>
      <c r="E16" s="21">
        <v>6</v>
      </c>
      <c r="F16" s="21">
        <v>0</v>
      </c>
      <c r="G16" s="22">
        <v>382</v>
      </c>
      <c r="H16" s="23">
        <v>0.0916</v>
      </c>
    </row>
    <row r="17" spans="1:8">
      <c r="A17" s="4" t="s">
        <v>59</v>
      </c>
      <c r="B17" s="4" t="s">
        <v>1128</v>
      </c>
      <c r="C17" s="22">
        <v>32</v>
      </c>
      <c r="D17" s="21">
        <v>6</v>
      </c>
      <c r="E17" s="21">
        <v>0</v>
      </c>
      <c r="F17" s="21">
        <v>2</v>
      </c>
      <c r="G17" s="22">
        <v>190</v>
      </c>
      <c r="H17" s="23">
        <v>0.1682</v>
      </c>
    </row>
    <row r="18" spans="1:8">
      <c r="A18" s="4" t="s">
        <v>110</v>
      </c>
      <c r="B18" s="4" t="s">
        <v>993</v>
      </c>
      <c r="C18" s="22">
        <v>32</v>
      </c>
      <c r="D18" s="21">
        <v>3</v>
      </c>
      <c r="E18" s="21">
        <v>0</v>
      </c>
      <c r="F18" s="21">
        <v>0</v>
      </c>
      <c r="G18" s="22">
        <v>197</v>
      </c>
      <c r="H18" s="23">
        <v>0.1626</v>
      </c>
    </row>
    <row r="19" spans="1:8">
      <c r="A19" s="4" t="s">
        <v>109</v>
      </c>
      <c r="B19" s="4" t="s">
        <v>1129</v>
      </c>
      <c r="C19" s="22">
        <v>30</v>
      </c>
      <c r="D19" s="21">
        <v>23</v>
      </c>
      <c r="E19" s="21">
        <v>8</v>
      </c>
      <c r="F19" s="21">
        <v>5</v>
      </c>
      <c r="G19" s="22">
        <v>238</v>
      </c>
      <c r="H19" s="23">
        <v>0.1261</v>
      </c>
    </row>
    <row r="20" spans="1:8">
      <c r="A20" s="4" t="s">
        <v>111</v>
      </c>
      <c r="B20" s="4" t="s">
        <v>1130</v>
      </c>
      <c r="C20" s="22">
        <v>29.5</v>
      </c>
      <c r="D20" s="21">
        <v>18</v>
      </c>
      <c r="E20" s="21">
        <v>4</v>
      </c>
      <c r="F20" s="21">
        <v>4</v>
      </c>
      <c r="G20" s="22">
        <v>324</v>
      </c>
      <c r="H20" s="23">
        <v>0.0912</v>
      </c>
    </row>
    <row r="21" spans="1:8">
      <c r="A21" s="4" t="s">
        <v>114</v>
      </c>
      <c r="B21" s="4" t="s">
        <v>1004</v>
      </c>
      <c r="C21" s="22">
        <v>28</v>
      </c>
      <c r="D21" s="21">
        <v>3</v>
      </c>
      <c r="E21" s="21">
        <v>1</v>
      </c>
      <c r="F21" s="21">
        <v>0</v>
      </c>
      <c r="G21" s="22">
        <v>148</v>
      </c>
      <c r="H21" s="23">
        <v>0.1896</v>
      </c>
    </row>
    <row r="22" spans="1:8">
      <c r="A22" s="4" t="s">
        <v>79</v>
      </c>
      <c r="B22" s="4" t="s">
        <v>1131</v>
      </c>
      <c r="C22" s="22">
        <v>25.5</v>
      </c>
      <c r="D22" s="21">
        <v>30</v>
      </c>
      <c r="E22" s="21">
        <v>7</v>
      </c>
      <c r="F22" s="21">
        <v>8</v>
      </c>
      <c r="G22" s="22">
        <v>142</v>
      </c>
      <c r="H22" s="23">
        <v>0.179</v>
      </c>
    </row>
    <row r="23" spans="1:8">
      <c r="A23" s="4" t="s">
        <v>469</v>
      </c>
      <c r="B23" s="4" t="s">
        <v>1132</v>
      </c>
      <c r="C23" s="22">
        <v>25</v>
      </c>
      <c r="D23" s="21">
        <v>5</v>
      </c>
      <c r="E23" s="21">
        <v>2</v>
      </c>
      <c r="F23" s="21">
        <v>0</v>
      </c>
      <c r="G23" s="22">
        <v>209</v>
      </c>
      <c r="H23" s="23">
        <v>0.1195</v>
      </c>
    </row>
    <row r="24" spans="1:8">
      <c r="A24" s="4" t="s">
        <v>112</v>
      </c>
      <c r="B24" s="4" t="s">
        <v>1133</v>
      </c>
      <c r="C24" s="22">
        <v>25</v>
      </c>
      <c r="D24" s="21">
        <v>5</v>
      </c>
      <c r="E24" s="21">
        <v>1</v>
      </c>
      <c r="F24" s="21">
        <v>1</v>
      </c>
      <c r="G24" s="22">
        <v>144</v>
      </c>
      <c r="H24" s="23">
        <v>0.1739</v>
      </c>
    </row>
    <row r="25" spans="1:8">
      <c r="A25" s="4" t="s">
        <v>116</v>
      </c>
      <c r="B25" s="4" t="s">
        <v>1134</v>
      </c>
      <c r="C25" s="22">
        <v>24.7</v>
      </c>
      <c r="D25" s="21">
        <v>3</v>
      </c>
      <c r="E25" s="21">
        <v>1</v>
      </c>
      <c r="F25" s="21">
        <v>0</v>
      </c>
      <c r="G25" s="22">
        <v>272</v>
      </c>
      <c r="H25" s="23">
        <v>0.09080000000000001</v>
      </c>
    </row>
    <row r="26" spans="1:8">
      <c r="A26" s="4" t="s">
        <v>82</v>
      </c>
      <c r="B26" s="4"/>
      <c r="C26" s="22">
        <v>23.1</v>
      </c>
      <c r="D26" s="21">
        <v>8</v>
      </c>
      <c r="E26" s="21">
        <v>0</v>
      </c>
      <c r="F26" s="21">
        <v>2</v>
      </c>
      <c r="G26" s="22">
        <v>168</v>
      </c>
      <c r="H26" s="23">
        <v>0.1375</v>
      </c>
    </row>
    <row r="27" spans="1:8">
      <c r="A27" s="4" t="s">
        <v>78</v>
      </c>
      <c r="B27" s="4" t="s">
        <v>1135</v>
      </c>
      <c r="C27" s="22">
        <v>23</v>
      </c>
      <c r="D27" s="21">
        <v>18</v>
      </c>
      <c r="E27" s="21">
        <v>3</v>
      </c>
      <c r="F27" s="21">
        <v>5</v>
      </c>
      <c r="G27" s="22">
        <v>284</v>
      </c>
      <c r="H27" s="23">
        <v>0.081</v>
      </c>
    </row>
    <row r="28" spans="1:8">
      <c r="A28" s="4" t="s">
        <v>83</v>
      </c>
      <c r="B28" s="4"/>
      <c r="C28" s="22">
        <v>20</v>
      </c>
      <c r="D28" s="21">
        <v>15</v>
      </c>
      <c r="E28" s="21">
        <v>0</v>
      </c>
      <c r="F28" s="21">
        <v>3</v>
      </c>
      <c r="G28" s="22">
        <v>138</v>
      </c>
      <c r="H28" s="23">
        <v>0.1446</v>
      </c>
    </row>
    <row r="29" spans="1:8">
      <c r="A29" s="4" t="s">
        <v>115</v>
      </c>
      <c r="B29" s="4" t="s">
        <v>1136</v>
      </c>
      <c r="C29" s="22">
        <v>20</v>
      </c>
      <c r="D29" s="21">
        <v>11</v>
      </c>
      <c r="E29" s="21">
        <v>0</v>
      </c>
      <c r="F29" s="21">
        <v>4</v>
      </c>
      <c r="G29" s="22">
        <v>110</v>
      </c>
      <c r="H29" s="23">
        <v>0.1811</v>
      </c>
    </row>
    <row r="30" spans="1:8">
      <c r="A30" s="4" t="s">
        <v>113</v>
      </c>
      <c r="B30" s="4" t="s">
        <v>1137</v>
      </c>
      <c r="C30" s="22">
        <v>20</v>
      </c>
      <c r="D30" s="21">
        <v>3</v>
      </c>
      <c r="E30" s="21">
        <v>1</v>
      </c>
      <c r="F30" s="21">
        <v>0</v>
      </c>
      <c r="G30" s="22">
        <v>114</v>
      </c>
      <c r="H30" s="23">
        <v>0.1759</v>
      </c>
    </row>
    <row r="31" spans="1:8">
      <c r="A31" s="4" t="s">
        <v>118</v>
      </c>
      <c r="B31" s="4" t="s">
        <v>993</v>
      </c>
      <c r="C31" s="22">
        <v>18</v>
      </c>
      <c r="D31" s="21">
        <v>11</v>
      </c>
      <c r="E31" s="21">
        <v>1</v>
      </c>
      <c r="F31" s="21">
        <v>1</v>
      </c>
      <c r="G31" s="22">
        <v>216</v>
      </c>
      <c r="H31" s="23">
        <v>0.0835</v>
      </c>
    </row>
    <row r="32" spans="1:8">
      <c r="A32" s="4" t="s">
        <v>108</v>
      </c>
      <c r="B32" s="4" t="s">
        <v>1138</v>
      </c>
      <c r="C32" s="22">
        <v>17</v>
      </c>
      <c r="D32" s="21">
        <v>5</v>
      </c>
      <c r="E32" s="21">
        <v>3</v>
      </c>
      <c r="F32" s="21">
        <v>0</v>
      </c>
      <c r="G32" s="22">
        <v>247</v>
      </c>
      <c r="H32" s="23">
        <v>0.0689</v>
      </c>
    </row>
    <row r="33" spans="1:8">
      <c r="A33" s="4" t="s">
        <v>107</v>
      </c>
      <c r="B33" s="4" t="s">
        <v>1139</v>
      </c>
      <c r="C33" s="22">
        <v>13.4</v>
      </c>
      <c r="D33" s="21">
        <v>3</v>
      </c>
      <c r="E33" s="21">
        <v>1</v>
      </c>
      <c r="F33" s="21">
        <v>1</v>
      </c>
      <c r="G33" s="22">
        <v>1052</v>
      </c>
      <c r="H33" s="23">
        <v>0.0127</v>
      </c>
    </row>
    <row r="34" spans="1:8">
      <c r="A34" s="4" t="s">
        <v>528</v>
      </c>
      <c r="B34" s="4"/>
      <c r="C34" s="22">
        <v>11.6</v>
      </c>
      <c r="D34" s="21">
        <v>3</v>
      </c>
      <c r="E34" s="21">
        <v>0</v>
      </c>
      <c r="F34" s="21">
        <v>0</v>
      </c>
      <c r="G34" s="22">
        <v>594</v>
      </c>
      <c r="H34" s="23">
        <v>0.0195</v>
      </c>
    </row>
    <row r="35" spans="1:8">
      <c r="A35" s="4" t="s">
        <v>81</v>
      </c>
      <c r="B35" s="4" t="s">
        <v>1001</v>
      </c>
      <c r="C35" s="22">
        <v>11.4</v>
      </c>
      <c r="D35" s="21">
        <v>22</v>
      </c>
      <c r="E35" s="21">
        <v>6</v>
      </c>
      <c r="F35" s="21">
        <v>1</v>
      </c>
      <c r="G35" s="22">
        <v>134</v>
      </c>
      <c r="H35" s="23">
        <v>0.0848</v>
      </c>
    </row>
    <row r="36" spans="1:8">
      <c r="A36" s="4" t="s">
        <v>117</v>
      </c>
      <c r="B36" s="4"/>
      <c r="C36" s="22">
        <v>10.7</v>
      </c>
      <c r="D36" s="21">
        <v>5</v>
      </c>
      <c r="E36" s="21">
        <v>1</v>
      </c>
      <c r="F36" s="21">
        <v>0</v>
      </c>
      <c r="G36" s="22">
        <v>248</v>
      </c>
      <c r="H36" s="23">
        <v>0.0432</v>
      </c>
    </row>
    <row r="37" spans="1:8">
      <c r="A37" s="4" t="s">
        <v>246</v>
      </c>
      <c r="B37" s="4" t="s">
        <v>1140</v>
      </c>
      <c r="C37" s="22">
        <v>10</v>
      </c>
      <c r="D37" s="21">
        <v>3</v>
      </c>
      <c r="E37" s="21">
        <v>1</v>
      </c>
      <c r="F37" s="21">
        <v>0</v>
      </c>
      <c r="G37" s="22">
        <v>1181</v>
      </c>
      <c r="H37" s="23">
        <v>0.008500000000000001</v>
      </c>
    </row>
    <row r="38" spans="1:8">
      <c r="A38" s="4" t="s">
        <v>80</v>
      </c>
      <c r="B38" s="4" t="s">
        <v>1141</v>
      </c>
      <c r="C38" s="22">
        <v>8.199999999999999</v>
      </c>
      <c r="D38" s="21">
        <v>5</v>
      </c>
      <c r="E38" s="21">
        <v>0</v>
      </c>
      <c r="F38" s="21">
        <v>2</v>
      </c>
      <c r="G38" s="22">
        <v>171</v>
      </c>
      <c r="H38" s="23">
        <v>0.0479</v>
      </c>
    </row>
    <row r="39" spans="1:8">
      <c r="A39" s="4" t="s">
        <v>76</v>
      </c>
      <c r="B39" s="4" t="s">
        <v>999</v>
      </c>
      <c r="C39" s="22">
        <v>8.199999999999999</v>
      </c>
      <c r="D39" s="21">
        <v>3</v>
      </c>
      <c r="E39" s="21">
        <v>0</v>
      </c>
      <c r="F39" s="21">
        <v>0</v>
      </c>
      <c r="G39" s="22">
        <v>280</v>
      </c>
      <c r="H39" s="23">
        <v>0.0293</v>
      </c>
    </row>
  </sheetData>
  <autoFilter ref="A15:H39"/>
  <mergeCells count="1">
    <mergeCell ref="A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9" width="12.7109375" customWidth="1"/>
  </cols>
  <sheetData>
    <row r="1" spans="1:9">
      <c r="A1" s="1" t="s">
        <v>1142</v>
      </c>
    </row>
    <row r="2" spans="1:9" ht="30" customHeight="1">
      <c r="A2" s="2" t="s">
        <v>1143</v>
      </c>
      <c r="B2" s="2"/>
      <c r="C2" s="2"/>
      <c r="D2" s="2"/>
      <c r="E2" s="2"/>
      <c r="F2" s="2"/>
      <c r="G2" s="2"/>
      <c r="H2" s="2"/>
      <c r="I2" s="2"/>
    </row>
    <row r="4" spans="1:9">
      <c r="A4" s="20" t="s">
        <v>217</v>
      </c>
      <c r="B4" s="20" t="s">
        <v>219</v>
      </c>
      <c r="C4" s="20" t="s">
        <v>218</v>
      </c>
      <c r="D4" s="20" t="s">
        <v>222</v>
      </c>
      <c r="E4" s="20" t="s">
        <v>1144</v>
      </c>
      <c r="F4" s="20" t="s">
        <v>1145</v>
      </c>
      <c r="G4" s="20" t="s">
        <v>1115</v>
      </c>
      <c r="H4" s="20" t="s">
        <v>1146</v>
      </c>
    </row>
    <row r="5" spans="1:9">
      <c r="A5" s="4" t="s">
        <v>1147</v>
      </c>
      <c r="B5" s="4" t="s">
        <v>1148</v>
      </c>
      <c r="C5" s="4" t="s">
        <v>67</v>
      </c>
      <c r="D5" s="21">
        <v>1500</v>
      </c>
      <c r="E5" s="21">
        <v>2004</v>
      </c>
      <c r="F5" s="22">
        <v>895000</v>
      </c>
      <c r="G5" s="22">
        <v>597</v>
      </c>
      <c r="H5" s="25">
        <v>2.2</v>
      </c>
    </row>
    <row r="6" spans="1:9">
      <c r="A6" s="4" t="s">
        <v>574</v>
      </c>
      <c r="B6" s="4" t="s">
        <v>575</v>
      </c>
      <c r="C6" s="4" t="s">
        <v>66</v>
      </c>
      <c r="D6" s="21">
        <v>13402</v>
      </c>
      <c r="E6" s="21">
        <v>1959</v>
      </c>
      <c r="F6" s="22">
        <v>1800000</v>
      </c>
      <c r="G6" s="22">
        <v>134</v>
      </c>
      <c r="H6" s="25">
        <v>-14.8</v>
      </c>
    </row>
    <row r="7" spans="1:9">
      <c r="A7" s="4" t="s">
        <v>1149</v>
      </c>
      <c r="B7" s="4" t="s">
        <v>59</v>
      </c>
      <c r="C7" s="4" t="s">
        <v>66</v>
      </c>
      <c r="D7" s="21">
        <v>12500</v>
      </c>
      <c r="E7" s="21">
        <v>1959</v>
      </c>
      <c r="F7" s="22">
        <v>2700000</v>
      </c>
      <c r="G7" s="22">
        <v>216</v>
      </c>
      <c r="H7" s="25">
        <v>156.1</v>
      </c>
    </row>
    <row r="8" spans="1:9">
      <c r="A8" s="4" t="s">
        <v>1150</v>
      </c>
      <c r="B8" s="4" t="s">
        <v>59</v>
      </c>
      <c r="C8" s="4" t="s">
        <v>65</v>
      </c>
      <c r="D8" s="21">
        <v>1938</v>
      </c>
      <c r="E8" s="24" t="s">
        <v>237</v>
      </c>
      <c r="F8" s="22">
        <v>325000</v>
      </c>
      <c r="G8" s="22">
        <v>168</v>
      </c>
      <c r="H8" s="25">
        <v>-28.7</v>
      </c>
    </row>
    <row r="9" spans="1:9">
      <c r="A9" s="4" t="s">
        <v>1151</v>
      </c>
      <c r="B9" s="4" t="s">
        <v>59</v>
      </c>
      <c r="C9" s="4" t="s">
        <v>69</v>
      </c>
      <c r="D9" s="21">
        <v>5200</v>
      </c>
      <c r="E9" s="21">
        <v>1974</v>
      </c>
      <c r="F9" s="22">
        <v>200000</v>
      </c>
      <c r="G9" s="22">
        <v>38</v>
      </c>
      <c r="H9" s="25">
        <v>-40.4</v>
      </c>
    </row>
    <row r="10" spans="1:9">
      <c r="A10" s="4" t="s">
        <v>1152</v>
      </c>
      <c r="B10" s="4" t="s">
        <v>59</v>
      </c>
      <c r="C10" s="4" t="s">
        <v>65</v>
      </c>
      <c r="D10" s="21">
        <v>1938</v>
      </c>
      <c r="E10" s="24" t="s">
        <v>237</v>
      </c>
      <c r="F10" s="22">
        <v>185000</v>
      </c>
      <c r="G10" s="22">
        <v>95</v>
      </c>
      <c r="H10" s="25">
        <v>-59.4</v>
      </c>
    </row>
    <row r="11" spans="1:9">
      <c r="A11" s="4" t="s">
        <v>1153</v>
      </c>
      <c r="B11" s="4" t="s">
        <v>1154</v>
      </c>
      <c r="C11" s="4" t="s">
        <v>67</v>
      </c>
      <c r="D11" s="21">
        <v>10289</v>
      </c>
      <c r="E11" s="21">
        <v>1952</v>
      </c>
      <c r="F11" s="22">
        <v>1350000</v>
      </c>
      <c r="G11" s="22">
        <v>131</v>
      </c>
      <c r="H11" s="25">
        <v>-37.1</v>
      </c>
    </row>
    <row r="12" spans="1:9">
      <c r="A12" s="4" t="s">
        <v>1155</v>
      </c>
      <c r="B12" s="4" t="s">
        <v>108</v>
      </c>
      <c r="C12" s="4" t="s">
        <v>68</v>
      </c>
      <c r="D12" s="21">
        <v>36491</v>
      </c>
      <c r="E12" s="21">
        <v>1960</v>
      </c>
      <c r="F12" s="22">
        <v>3500000</v>
      </c>
      <c r="G12" s="22">
        <v>96</v>
      </c>
      <c r="H12" s="25">
        <v>39.8</v>
      </c>
    </row>
    <row r="13" spans="1:9">
      <c r="A13" s="4" t="s">
        <v>1156</v>
      </c>
      <c r="B13" s="4" t="s">
        <v>109</v>
      </c>
      <c r="C13" s="4" t="s">
        <v>65</v>
      </c>
      <c r="D13" s="21">
        <v>17001</v>
      </c>
      <c r="E13" s="21">
        <v>1964</v>
      </c>
      <c r="F13" s="22">
        <v>3450000</v>
      </c>
      <c r="G13" s="22">
        <v>203</v>
      </c>
      <c r="H13" s="25">
        <v>41.3</v>
      </c>
    </row>
    <row r="14" spans="1:9">
      <c r="A14" s="4" t="s">
        <v>1157</v>
      </c>
      <c r="B14" s="4" t="s">
        <v>109</v>
      </c>
      <c r="C14" s="4" t="s">
        <v>66</v>
      </c>
      <c r="D14" s="21">
        <v>22496</v>
      </c>
      <c r="E14" s="21">
        <v>1957</v>
      </c>
      <c r="F14" s="22">
        <v>2700000</v>
      </c>
      <c r="G14" s="22">
        <v>120</v>
      </c>
      <c r="H14" s="25">
        <v>0.3</v>
      </c>
    </row>
    <row r="15" spans="1:9">
      <c r="A15" s="4" t="s">
        <v>1158</v>
      </c>
      <c r="B15" s="4" t="s">
        <v>110</v>
      </c>
      <c r="C15" s="4" t="s">
        <v>66</v>
      </c>
      <c r="D15" s="21">
        <v>12960</v>
      </c>
      <c r="E15" s="21">
        <v>1955</v>
      </c>
      <c r="F15" s="22">
        <v>2550000</v>
      </c>
      <c r="G15" s="22">
        <v>197</v>
      </c>
      <c r="H15" s="25">
        <v>22.7</v>
      </c>
    </row>
    <row r="16" spans="1:9">
      <c r="A16" s="4" t="s">
        <v>1159</v>
      </c>
      <c r="B16" s="4" t="s">
        <v>110</v>
      </c>
      <c r="C16" s="4" t="s">
        <v>66</v>
      </c>
      <c r="D16" s="21">
        <v>6750</v>
      </c>
      <c r="E16" s="21">
        <v>1946</v>
      </c>
      <c r="F16" s="22">
        <v>1015000</v>
      </c>
      <c r="G16" s="22">
        <v>150</v>
      </c>
      <c r="H16" s="25">
        <v>-33.7</v>
      </c>
    </row>
    <row r="17" spans="1:8">
      <c r="A17" s="4" t="s">
        <v>1160</v>
      </c>
      <c r="B17" s="4" t="s">
        <v>111</v>
      </c>
      <c r="C17" s="4" t="s">
        <v>66</v>
      </c>
      <c r="D17" s="21">
        <v>5500</v>
      </c>
      <c r="E17" s="21">
        <v>1956</v>
      </c>
      <c r="F17" s="22">
        <v>1950000</v>
      </c>
      <c r="G17" s="22">
        <v>355</v>
      </c>
      <c r="H17" s="25">
        <v>40.1</v>
      </c>
    </row>
    <row r="18" spans="1:8">
      <c r="A18" s="4" t="s">
        <v>1161</v>
      </c>
      <c r="B18" s="4" t="s">
        <v>111</v>
      </c>
      <c r="C18" s="4" t="s">
        <v>66</v>
      </c>
      <c r="D18" s="21">
        <v>5500</v>
      </c>
      <c r="E18" s="21">
        <v>1961</v>
      </c>
      <c r="F18" s="22">
        <v>1780000</v>
      </c>
      <c r="G18" s="22">
        <v>324</v>
      </c>
      <c r="H18" s="25">
        <v>27.9</v>
      </c>
    </row>
    <row r="19" spans="1:8">
      <c r="A19" s="4" t="s">
        <v>1162</v>
      </c>
      <c r="B19" s="4" t="s">
        <v>111</v>
      </c>
      <c r="C19" s="4" t="s">
        <v>66</v>
      </c>
      <c r="D19" s="21">
        <v>6192</v>
      </c>
      <c r="E19" s="21">
        <v>1953</v>
      </c>
      <c r="F19" s="22">
        <v>1195000</v>
      </c>
      <c r="G19" s="22">
        <v>193</v>
      </c>
      <c r="H19" s="25">
        <v>-18.7</v>
      </c>
    </row>
    <row r="20" spans="1:8">
      <c r="A20" s="4" t="s">
        <v>1163</v>
      </c>
      <c r="B20" s="4" t="s">
        <v>1164</v>
      </c>
      <c r="C20" s="4" t="s">
        <v>66</v>
      </c>
      <c r="D20" s="21">
        <v>11349</v>
      </c>
      <c r="E20" s="21">
        <v>1960</v>
      </c>
      <c r="F20" s="22">
        <v>1080000</v>
      </c>
      <c r="G20" s="22">
        <v>95</v>
      </c>
      <c r="H20" s="25">
        <v>-44.7</v>
      </c>
    </row>
    <row r="21" spans="1:8">
      <c r="A21" s="4" t="s">
        <v>1165</v>
      </c>
      <c r="B21" s="4" t="s">
        <v>112</v>
      </c>
      <c r="C21" s="4" t="s">
        <v>67</v>
      </c>
      <c r="D21" s="21">
        <v>11736</v>
      </c>
      <c r="E21" s="21">
        <v>1959</v>
      </c>
      <c r="F21" s="22">
        <v>1575244</v>
      </c>
      <c r="G21" s="22">
        <v>134</v>
      </c>
      <c r="H21" s="25">
        <v>-31</v>
      </c>
    </row>
    <row r="22" spans="1:8">
      <c r="A22" s="4" t="s">
        <v>1166</v>
      </c>
      <c r="B22" s="4" t="s">
        <v>112</v>
      </c>
      <c r="C22" s="4" t="s">
        <v>67</v>
      </c>
      <c r="D22" s="21">
        <v>10000</v>
      </c>
      <c r="E22" s="21">
        <v>1952</v>
      </c>
      <c r="F22" s="22">
        <v>1075000</v>
      </c>
      <c r="G22" s="22">
        <v>108</v>
      </c>
      <c r="H22" s="25">
        <v>-49.2</v>
      </c>
    </row>
    <row r="23" spans="1:8">
      <c r="A23" s="4" t="s">
        <v>1167</v>
      </c>
      <c r="B23" s="4" t="s">
        <v>79</v>
      </c>
      <c r="C23" s="4" t="s">
        <v>66</v>
      </c>
      <c r="D23" s="21">
        <v>13683</v>
      </c>
      <c r="E23" s="21">
        <v>1971</v>
      </c>
      <c r="F23" s="22">
        <v>2600000</v>
      </c>
      <c r="G23" s="22">
        <v>190</v>
      </c>
      <c r="H23" s="25">
        <v>25.7</v>
      </c>
    </row>
    <row r="24" spans="1:8">
      <c r="A24" s="4" t="s">
        <v>1168</v>
      </c>
      <c r="B24" s="4" t="s">
        <v>79</v>
      </c>
      <c r="C24" s="4" t="s">
        <v>65</v>
      </c>
      <c r="D24" s="21">
        <v>9998</v>
      </c>
      <c r="E24" s="21">
        <v>1959</v>
      </c>
      <c r="F24" s="22">
        <v>1765000</v>
      </c>
      <c r="G24" s="22">
        <v>177</v>
      </c>
      <c r="H24" s="25">
        <v>-4.3</v>
      </c>
    </row>
    <row r="25" spans="1:8">
      <c r="A25" s="4" t="s">
        <v>1169</v>
      </c>
      <c r="B25" s="4" t="s">
        <v>79</v>
      </c>
      <c r="C25" s="4" t="s">
        <v>65</v>
      </c>
      <c r="D25" s="21">
        <v>16500</v>
      </c>
      <c r="E25" s="21">
        <v>1968</v>
      </c>
      <c r="F25" s="22">
        <v>1725000</v>
      </c>
      <c r="G25" s="22">
        <v>105</v>
      </c>
      <c r="H25" s="25">
        <v>-26.1</v>
      </c>
    </row>
    <row r="26" spans="1:8">
      <c r="A26" s="4" t="s">
        <v>1170</v>
      </c>
      <c r="B26" s="4" t="s">
        <v>79</v>
      </c>
      <c r="C26" s="4" t="s">
        <v>66</v>
      </c>
      <c r="D26" s="21">
        <v>11662</v>
      </c>
      <c r="E26" s="21">
        <v>1950</v>
      </c>
      <c r="F26" s="22">
        <v>1395000</v>
      </c>
      <c r="G26" s="22">
        <v>120</v>
      </c>
      <c r="H26" s="25">
        <v>-27.1</v>
      </c>
    </row>
    <row r="27" spans="1:8">
      <c r="A27" s="4" t="s">
        <v>1171</v>
      </c>
      <c r="B27" s="4" t="s">
        <v>79</v>
      </c>
      <c r="C27" s="4" t="s">
        <v>65</v>
      </c>
      <c r="D27" s="21">
        <v>11662</v>
      </c>
      <c r="E27" s="21">
        <v>1950</v>
      </c>
      <c r="F27" s="22">
        <v>1365000</v>
      </c>
      <c r="G27" s="22">
        <v>117</v>
      </c>
      <c r="H27" s="25">
        <v>-31</v>
      </c>
    </row>
    <row r="28" spans="1:8">
      <c r="A28" s="4" t="s">
        <v>1172</v>
      </c>
      <c r="B28" s="4" t="s">
        <v>79</v>
      </c>
      <c r="C28" s="4" t="s">
        <v>66</v>
      </c>
      <c r="D28" s="21">
        <v>6003</v>
      </c>
      <c r="E28" s="21">
        <v>1974</v>
      </c>
      <c r="F28" s="22">
        <v>1200000</v>
      </c>
      <c r="G28" s="22">
        <v>200</v>
      </c>
      <c r="H28" s="25">
        <v>-14.7</v>
      </c>
    </row>
    <row r="29" spans="1:8">
      <c r="A29" s="4" t="s">
        <v>1173</v>
      </c>
      <c r="B29" s="4" t="s">
        <v>79</v>
      </c>
      <c r="C29" s="4" t="s">
        <v>65</v>
      </c>
      <c r="D29" s="21">
        <v>3429</v>
      </c>
      <c r="E29" s="21">
        <v>1961</v>
      </c>
      <c r="F29" s="22">
        <v>1175000</v>
      </c>
      <c r="G29" s="22">
        <v>343</v>
      </c>
      <c r="H29" s="25">
        <v>5.1</v>
      </c>
    </row>
    <row r="30" spans="1:8">
      <c r="A30" s="4" t="s">
        <v>1174</v>
      </c>
      <c r="B30" s="4" t="s">
        <v>79</v>
      </c>
      <c r="C30" s="4" t="s">
        <v>70</v>
      </c>
      <c r="D30" s="21">
        <v>6110</v>
      </c>
      <c r="E30" s="21">
        <v>1965</v>
      </c>
      <c r="F30" s="22">
        <v>1150000</v>
      </c>
      <c r="G30" s="22">
        <v>188</v>
      </c>
      <c r="H30" s="25">
        <v>20.9</v>
      </c>
    </row>
    <row r="31" spans="1:8">
      <c r="A31" s="4" t="s">
        <v>1175</v>
      </c>
      <c r="B31" s="4" t="s">
        <v>79</v>
      </c>
      <c r="C31" s="4" t="s">
        <v>65</v>
      </c>
      <c r="D31" s="21">
        <v>9828</v>
      </c>
      <c r="E31" s="21">
        <v>2000</v>
      </c>
      <c r="F31" s="22">
        <v>1115000</v>
      </c>
      <c r="G31" s="22">
        <v>113</v>
      </c>
      <c r="H31" s="25">
        <v>-39.3</v>
      </c>
    </row>
    <row r="32" spans="1:8">
      <c r="A32" s="4" t="s">
        <v>1176</v>
      </c>
      <c r="B32" s="4" t="s">
        <v>79</v>
      </c>
      <c r="C32" s="4" t="s">
        <v>66</v>
      </c>
      <c r="D32" s="21">
        <v>7004</v>
      </c>
      <c r="E32" s="21">
        <v>1956</v>
      </c>
      <c r="F32" s="22">
        <v>885000</v>
      </c>
      <c r="G32" s="22">
        <v>126</v>
      </c>
      <c r="H32" s="25">
        <v>-41.4</v>
      </c>
    </row>
    <row r="33" spans="1:8">
      <c r="A33" s="4" t="s">
        <v>1177</v>
      </c>
      <c r="B33" s="4" t="s">
        <v>79</v>
      </c>
      <c r="C33" s="4" t="s">
        <v>65</v>
      </c>
      <c r="D33" s="21">
        <v>1258</v>
      </c>
      <c r="E33" s="21">
        <v>2006</v>
      </c>
      <c r="F33" s="22">
        <v>580000</v>
      </c>
      <c r="G33" s="22">
        <v>461</v>
      </c>
      <c r="H33" s="25">
        <v>-17.4</v>
      </c>
    </row>
    <row r="34" spans="1:8">
      <c r="A34" s="4" t="s">
        <v>1178</v>
      </c>
      <c r="B34" s="4" t="s">
        <v>78</v>
      </c>
      <c r="C34" s="4" t="s">
        <v>66</v>
      </c>
      <c r="D34" s="21">
        <v>35087</v>
      </c>
      <c r="E34" s="21">
        <v>1972</v>
      </c>
      <c r="F34" s="22">
        <v>6300000</v>
      </c>
      <c r="G34" s="22">
        <v>180</v>
      </c>
      <c r="H34" s="25">
        <v>51.1</v>
      </c>
    </row>
    <row r="35" spans="1:8">
      <c r="A35" s="4" t="s">
        <v>428</v>
      </c>
      <c r="B35" s="4" t="s">
        <v>78</v>
      </c>
      <c r="C35" s="4" t="s">
        <v>72</v>
      </c>
      <c r="D35" s="21">
        <v>7960</v>
      </c>
      <c r="E35" s="21">
        <v>1962</v>
      </c>
      <c r="F35" s="22">
        <v>2150000</v>
      </c>
      <c r="G35" s="22">
        <v>270</v>
      </c>
      <c r="H35" s="25">
        <v>35.2</v>
      </c>
    </row>
    <row r="36" spans="1:8">
      <c r="A36" s="4" t="s">
        <v>1179</v>
      </c>
      <c r="B36" s="4" t="s">
        <v>78</v>
      </c>
      <c r="C36" s="4" t="s">
        <v>66</v>
      </c>
      <c r="D36" s="21">
        <v>13512</v>
      </c>
      <c r="E36" s="21">
        <v>1952</v>
      </c>
      <c r="F36" s="22">
        <v>2051000</v>
      </c>
      <c r="G36" s="22">
        <v>152</v>
      </c>
      <c r="H36" s="25">
        <v>-22.9</v>
      </c>
    </row>
    <row r="37" spans="1:8">
      <c r="A37" s="4" t="s">
        <v>1180</v>
      </c>
      <c r="B37" s="4" t="s">
        <v>78</v>
      </c>
      <c r="C37" s="4" t="s">
        <v>66</v>
      </c>
      <c r="D37" s="21">
        <v>11480</v>
      </c>
      <c r="E37" s="21">
        <v>1969</v>
      </c>
      <c r="F37" s="22">
        <v>1750000</v>
      </c>
      <c r="G37" s="22">
        <v>152</v>
      </c>
      <c r="H37" s="25">
        <v>-29.2</v>
      </c>
    </row>
    <row r="38" spans="1:8">
      <c r="A38" s="4" t="s">
        <v>1181</v>
      </c>
      <c r="B38" s="4" t="s">
        <v>78</v>
      </c>
      <c r="C38" s="4" t="s">
        <v>66</v>
      </c>
      <c r="D38" s="21">
        <v>6752</v>
      </c>
      <c r="E38" s="21">
        <v>1964</v>
      </c>
      <c r="F38" s="22">
        <v>1150000</v>
      </c>
      <c r="G38" s="22">
        <v>170</v>
      </c>
      <c r="H38" s="25">
        <v>-40.3</v>
      </c>
    </row>
    <row r="39" spans="1:8">
      <c r="A39" s="4" t="s">
        <v>1182</v>
      </c>
      <c r="B39" s="4" t="s">
        <v>78</v>
      </c>
      <c r="C39" s="4" t="s">
        <v>65</v>
      </c>
      <c r="D39" s="21">
        <v>1276</v>
      </c>
      <c r="E39" s="21">
        <v>2007</v>
      </c>
      <c r="F39" s="22">
        <v>575000</v>
      </c>
      <c r="G39" s="22">
        <v>451</v>
      </c>
      <c r="H39" s="25">
        <v>-37.3</v>
      </c>
    </row>
    <row r="40" spans="1:8">
      <c r="A40" s="4" t="s">
        <v>1183</v>
      </c>
      <c r="B40" s="4" t="s">
        <v>114</v>
      </c>
      <c r="C40" s="4" t="s">
        <v>65</v>
      </c>
      <c r="D40" s="21">
        <v>25024</v>
      </c>
      <c r="E40" s="21">
        <v>1962</v>
      </c>
      <c r="F40" s="22">
        <v>4500000</v>
      </c>
      <c r="G40" s="22">
        <v>180</v>
      </c>
      <c r="H40" s="25">
        <v>53.8</v>
      </c>
    </row>
    <row r="41" spans="1:8">
      <c r="A41" s="4" t="s">
        <v>1184</v>
      </c>
      <c r="B41" s="4" t="s">
        <v>114</v>
      </c>
      <c r="C41" s="4" t="s">
        <v>72</v>
      </c>
      <c r="D41" s="21">
        <v>6250</v>
      </c>
      <c r="E41" s="21">
        <v>1954</v>
      </c>
      <c r="F41" s="22">
        <v>1140000</v>
      </c>
      <c r="G41" s="22">
        <v>182</v>
      </c>
      <c r="H41" s="25">
        <v>0.9</v>
      </c>
    </row>
    <row r="42" spans="1:8">
      <c r="A42" s="4" t="s">
        <v>1185</v>
      </c>
      <c r="B42" s="4" t="s">
        <v>115</v>
      </c>
      <c r="C42" s="4" t="s">
        <v>67</v>
      </c>
      <c r="D42" s="21">
        <v>20250</v>
      </c>
      <c r="E42" s="21">
        <v>1953</v>
      </c>
      <c r="F42" s="22">
        <v>2575000</v>
      </c>
      <c r="G42" s="22">
        <v>127</v>
      </c>
      <c r="H42" s="25">
        <v>-12.6</v>
      </c>
    </row>
    <row r="43" spans="1:8">
      <c r="A43" s="4" t="s">
        <v>856</v>
      </c>
      <c r="B43" s="4" t="s">
        <v>115</v>
      </c>
      <c r="C43" s="4" t="s">
        <v>68</v>
      </c>
      <c r="D43" s="21">
        <v>5268</v>
      </c>
      <c r="E43" s="21">
        <v>1968</v>
      </c>
      <c r="F43" s="22">
        <v>500000</v>
      </c>
      <c r="G43" s="22">
        <v>95</v>
      </c>
      <c r="H43" s="25">
        <v>-50.6</v>
      </c>
    </row>
    <row r="44" spans="1:8">
      <c r="A44" s="4" t="s">
        <v>1186</v>
      </c>
      <c r="B44" s="4" t="s">
        <v>83</v>
      </c>
      <c r="C44" s="4" t="s">
        <v>67</v>
      </c>
      <c r="D44" s="21">
        <v>10125</v>
      </c>
      <c r="E44" s="21">
        <v>1971</v>
      </c>
      <c r="F44" s="22">
        <v>2050000</v>
      </c>
      <c r="G44" s="22">
        <v>202</v>
      </c>
      <c r="H44" s="25">
        <v>47.1</v>
      </c>
    </row>
    <row r="45" spans="1:8">
      <c r="A45" s="4" t="s">
        <v>1187</v>
      </c>
      <c r="B45" s="4" t="s">
        <v>83</v>
      </c>
      <c r="C45" s="4" t="s">
        <v>68</v>
      </c>
      <c r="D45" s="21">
        <v>12217</v>
      </c>
      <c r="E45" s="21">
        <v>1963</v>
      </c>
      <c r="F45" s="22">
        <v>875000</v>
      </c>
      <c r="G45" s="22">
        <v>72</v>
      </c>
      <c r="H45" s="25">
        <v>-10.7</v>
      </c>
    </row>
    <row r="46" spans="1:8">
      <c r="A46" s="4" t="s">
        <v>406</v>
      </c>
      <c r="B46" s="4" t="s">
        <v>82</v>
      </c>
      <c r="C46" s="4" t="s">
        <v>67</v>
      </c>
      <c r="D46" s="21">
        <v>13951</v>
      </c>
      <c r="E46" s="21">
        <v>1957</v>
      </c>
      <c r="F46" s="22">
        <v>2464500</v>
      </c>
      <c r="G46" s="22">
        <v>177</v>
      </c>
      <c r="H46" s="25">
        <v>24.7</v>
      </c>
    </row>
    <row r="47" spans="1:8">
      <c r="A47" s="4" t="s">
        <v>1188</v>
      </c>
      <c r="B47" s="4" t="s">
        <v>82</v>
      </c>
      <c r="C47" s="4" t="s">
        <v>68</v>
      </c>
      <c r="D47" s="21">
        <v>15800</v>
      </c>
      <c r="E47" s="24" t="s">
        <v>237</v>
      </c>
      <c r="F47" s="22">
        <v>1726650</v>
      </c>
      <c r="G47" s="22">
        <v>109</v>
      </c>
      <c r="H47" s="25">
        <v>27.8</v>
      </c>
    </row>
    <row r="48" spans="1:8">
      <c r="A48" s="4" t="s">
        <v>608</v>
      </c>
      <c r="B48" s="4" t="s">
        <v>82</v>
      </c>
      <c r="C48" s="4" t="s">
        <v>66</v>
      </c>
      <c r="D48" s="21">
        <v>13802</v>
      </c>
      <c r="E48" s="21">
        <v>1975</v>
      </c>
      <c r="F48" s="22">
        <v>1550000</v>
      </c>
      <c r="G48" s="22">
        <v>112</v>
      </c>
      <c r="H48" s="25">
        <v>-9.5</v>
      </c>
    </row>
    <row r="49" spans="1:8">
      <c r="A49" s="4" t="s">
        <v>1189</v>
      </c>
      <c r="B49" s="4" t="s">
        <v>82</v>
      </c>
      <c r="C49" s="4" t="s">
        <v>67</v>
      </c>
      <c r="D49" s="21">
        <v>1488</v>
      </c>
      <c r="E49" s="21">
        <v>1999</v>
      </c>
      <c r="F49" s="22">
        <v>595000</v>
      </c>
      <c r="G49" s="22">
        <v>400</v>
      </c>
      <c r="H49" s="25">
        <v>-14.5</v>
      </c>
    </row>
    <row r="50" spans="1:8">
      <c r="A50" s="4" t="s">
        <v>1190</v>
      </c>
      <c r="B50" s="4" t="s">
        <v>117</v>
      </c>
      <c r="C50" s="4" t="s">
        <v>66</v>
      </c>
      <c r="D50" s="21">
        <v>9445</v>
      </c>
      <c r="E50" s="21">
        <v>1946</v>
      </c>
      <c r="F50" s="22">
        <v>3000000</v>
      </c>
      <c r="G50" s="22">
        <v>318</v>
      </c>
      <c r="H50" s="25">
        <v>67.59999999999999</v>
      </c>
    </row>
    <row r="51" spans="1:8">
      <c r="A51" s="4" t="s">
        <v>1191</v>
      </c>
      <c r="B51" s="4" t="s">
        <v>80</v>
      </c>
      <c r="C51" s="4" t="s">
        <v>67</v>
      </c>
      <c r="D51" s="21">
        <v>31764</v>
      </c>
      <c r="E51" s="21">
        <v>1957</v>
      </c>
      <c r="F51" s="22">
        <v>4050000</v>
      </c>
      <c r="G51" s="22">
        <v>128</v>
      </c>
      <c r="H51" s="25">
        <v>23.6</v>
      </c>
    </row>
    <row r="52" spans="1:8">
      <c r="A52" s="4" t="s">
        <v>1192</v>
      </c>
      <c r="B52" s="4" t="s">
        <v>80</v>
      </c>
      <c r="C52" s="4" t="s">
        <v>65</v>
      </c>
      <c r="D52" s="21">
        <v>4250</v>
      </c>
      <c r="E52" s="21">
        <v>2003</v>
      </c>
      <c r="F52" s="22">
        <v>1262500</v>
      </c>
      <c r="G52" s="22">
        <v>297</v>
      </c>
      <c r="H52" s="25">
        <v>9.4</v>
      </c>
    </row>
    <row r="53" spans="1:8">
      <c r="A53" s="4" t="s">
        <v>1193</v>
      </c>
      <c r="B53" s="4" t="s">
        <v>80</v>
      </c>
      <c r="C53" s="4" t="s">
        <v>65</v>
      </c>
      <c r="D53" s="21">
        <v>5250</v>
      </c>
      <c r="E53" s="21">
        <v>1990</v>
      </c>
      <c r="F53" s="22">
        <v>1262500</v>
      </c>
      <c r="G53" s="22">
        <v>240</v>
      </c>
      <c r="H53" s="25">
        <v>-0.8</v>
      </c>
    </row>
    <row r="54" spans="1:8">
      <c r="A54" s="4" t="s">
        <v>1194</v>
      </c>
      <c r="B54" s="4" t="s">
        <v>80</v>
      </c>
      <c r="C54" s="4" t="s">
        <v>65</v>
      </c>
      <c r="D54" s="21">
        <v>6250</v>
      </c>
      <c r="E54" s="21">
        <v>1971</v>
      </c>
      <c r="F54" s="22">
        <v>700000</v>
      </c>
      <c r="G54" s="22">
        <v>112</v>
      </c>
      <c r="H54" s="25">
        <v>-49.2</v>
      </c>
    </row>
    <row r="55" spans="1:8">
      <c r="A55" s="4" t="s">
        <v>1195</v>
      </c>
      <c r="B55" s="4" t="s">
        <v>76</v>
      </c>
      <c r="C55" s="4" t="s">
        <v>65</v>
      </c>
      <c r="D55" s="21">
        <v>12300</v>
      </c>
      <c r="E55" s="21">
        <v>1958</v>
      </c>
      <c r="F55" s="22">
        <v>1750000</v>
      </c>
      <c r="G55" s="22">
        <v>142</v>
      </c>
      <c r="H55" s="25">
        <v>-40.2</v>
      </c>
    </row>
    <row r="56" spans="1:8">
      <c r="A56" s="4" t="s">
        <v>1196</v>
      </c>
      <c r="B56" s="4" t="s">
        <v>76</v>
      </c>
      <c r="C56" s="4" t="s">
        <v>70</v>
      </c>
      <c r="D56" s="21">
        <v>3921</v>
      </c>
      <c r="E56" s="21">
        <v>1959</v>
      </c>
      <c r="F56" s="22">
        <v>1200000</v>
      </c>
      <c r="G56" s="22">
        <v>306</v>
      </c>
      <c r="H56" s="25">
        <v>7.9</v>
      </c>
    </row>
    <row r="57" spans="1:8">
      <c r="A57" s="4" t="s">
        <v>1197</v>
      </c>
      <c r="B57" s="4" t="s">
        <v>76</v>
      </c>
      <c r="C57" s="4" t="s">
        <v>70</v>
      </c>
      <c r="D57" s="21">
        <v>1200</v>
      </c>
      <c r="E57" s="21">
        <v>1962</v>
      </c>
      <c r="F57" s="22">
        <v>675000</v>
      </c>
      <c r="G57" s="22">
        <v>562</v>
      </c>
      <c r="H57" s="25">
        <v>5.6</v>
      </c>
    </row>
    <row r="58" spans="1:8">
      <c r="A58" s="4" t="s">
        <v>1198</v>
      </c>
      <c r="B58" s="4" t="s">
        <v>76</v>
      </c>
      <c r="C58" s="4" t="s">
        <v>70</v>
      </c>
      <c r="D58" s="21">
        <v>1200</v>
      </c>
      <c r="E58" s="21">
        <v>1961</v>
      </c>
      <c r="F58" s="22">
        <v>483600</v>
      </c>
      <c r="G58" s="22">
        <v>403</v>
      </c>
      <c r="H58" s="25">
        <v>-24.4</v>
      </c>
    </row>
    <row r="59" spans="1:8">
      <c r="A59" s="4" t="s">
        <v>1199</v>
      </c>
      <c r="B59" s="4" t="s">
        <v>1200</v>
      </c>
      <c r="C59" s="4" t="s">
        <v>72</v>
      </c>
      <c r="D59" s="21">
        <v>15756</v>
      </c>
      <c r="E59" s="24" t="s">
        <v>237</v>
      </c>
      <c r="F59" s="22">
        <v>901000</v>
      </c>
      <c r="G59" s="22">
        <v>57</v>
      </c>
      <c r="H59" s="25">
        <v>-48.3</v>
      </c>
    </row>
    <row r="60" spans="1:8">
      <c r="A60" s="4" t="s">
        <v>1201</v>
      </c>
      <c r="B60" s="4" t="s">
        <v>120</v>
      </c>
      <c r="C60" s="4" t="s">
        <v>66</v>
      </c>
      <c r="D60" s="21">
        <v>10125</v>
      </c>
      <c r="E60" s="21">
        <v>1959</v>
      </c>
      <c r="F60" s="22">
        <v>3767690</v>
      </c>
      <c r="G60" s="22">
        <v>372</v>
      </c>
      <c r="H60" s="25">
        <v>103.4</v>
      </c>
    </row>
    <row r="61" spans="1:8">
      <c r="A61" s="4" t="s">
        <v>1202</v>
      </c>
      <c r="B61" s="4" t="s">
        <v>120</v>
      </c>
      <c r="C61" s="4" t="s">
        <v>65</v>
      </c>
      <c r="D61" s="21">
        <v>6997</v>
      </c>
      <c r="E61" s="21">
        <v>1964</v>
      </c>
      <c r="F61" s="22">
        <v>3200000</v>
      </c>
      <c r="G61" s="22">
        <v>457</v>
      </c>
      <c r="H61" s="25">
        <v>98.59999999999999</v>
      </c>
    </row>
    <row r="62" spans="1:8">
      <c r="A62" s="4" t="s">
        <v>1203</v>
      </c>
      <c r="B62" s="4" t="s">
        <v>120</v>
      </c>
      <c r="C62" s="4" t="s">
        <v>70</v>
      </c>
      <c r="D62" s="21">
        <v>5625</v>
      </c>
      <c r="E62" s="21">
        <v>1959</v>
      </c>
      <c r="F62" s="22">
        <v>1600000</v>
      </c>
      <c r="G62" s="22">
        <v>284</v>
      </c>
      <c r="H62" s="25">
        <v>69.40000000000001</v>
      </c>
    </row>
    <row r="63" spans="1:8">
      <c r="A63" s="4" t="s">
        <v>1204</v>
      </c>
      <c r="B63" s="4" t="s">
        <v>120</v>
      </c>
      <c r="C63" s="4" t="s">
        <v>70</v>
      </c>
      <c r="D63" s="21">
        <v>12496</v>
      </c>
      <c r="E63" s="21">
        <v>1961</v>
      </c>
      <c r="F63" s="22">
        <v>950000</v>
      </c>
      <c r="G63" s="22">
        <v>76</v>
      </c>
      <c r="H63" s="25">
        <v>-30.8</v>
      </c>
    </row>
    <row r="64" spans="1:8">
      <c r="A64" s="4" t="s">
        <v>1205</v>
      </c>
      <c r="B64" s="4" t="s">
        <v>81</v>
      </c>
      <c r="C64" s="4" t="s">
        <v>65</v>
      </c>
      <c r="D64" s="21">
        <v>7000</v>
      </c>
      <c r="E64" s="21">
        <v>1960</v>
      </c>
      <c r="F64" s="22">
        <v>1400000</v>
      </c>
      <c r="G64" s="22">
        <v>200</v>
      </c>
      <c r="H64" s="25">
        <v>-2</v>
      </c>
    </row>
    <row r="65" spans="1:8">
      <c r="A65" s="4" t="s">
        <v>747</v>
      </c>
      <c r="B65" s="4" t="s">
        <v>81</v>
      </c>
      <c r="C65" s="4" t="s">
        <v>65</v>
      </c>
      <c r="D65" s="21">
        <v>1412</v>
      </c>
      <c r="E65" s="21">
        <v>1939</v>
      </c>
      <c r="F65" s="22">
        <v>985000</v>
      </c>
      <c r="G65" s="22">
        <v>698</v>
      </c>
      <c r="H65" s="25">
        <v>46.3</v>
      </c>
    </row>
    <row r="66" spans="1:8">
      <c r="A66" s="4" t="s">
        <v>1206</v>
      </c>
      <c r="B66" s="4" t="s">
        <v>81</v>
      </c>
      <c r="C66" s="4" t="s">
        <v>67</v>
      </c>
      <c r="D66" s="21">
        <v>1671</v>
      </c>
      <c r="E66" s="21">
        <v>1998</v>
      </c>
      <c r="F66" s="22">
        <v>905000</v>
      </c>
      <c r="G66" s="22">
        <v>542</v>
      </c>
      <c r="H66" s="25">
        <v>10.9</v>
      </c>
    </row>
    <row r="67" spans="1:8">
      <c r="A67" s="4" t="s">
        <v>1207</v>
      </c>
      <c r="B67" s="4" t="s">
        <v>81</v>
      </c>
      <c r="C67" s="4" t="s">
        <v>69</v>
      </c>
      <c r="D67" s="21">
        <v>6250</v>
      </c>
      <c r="E67" s="21">
        <v>1925</v>
      </c>
      <c r="F67" s="22">
        <v>700000</v>
      </c>
      <c r="G67" s="22">
        <v>112</v>
      </c>
      <c r="H67" s="25">
        <v>11.9</v>
      </c>
    </row>
    <row r="68" spans="1:8">
      <c r="A68" s="4" t="s">
        <v>1208</v>
      </c>
      <c r="B68" s="4" t="s">
        <v>81</v>
      </c>
      <c r="C68" s="4" t="s">
        <v>65</v>
      </c>
      <c r="D68" s="21">
        <v>6776</v>
      </c>
      <c r="E68" s="21">
        <v>1959</v>
      </c>
      <c r="F68" s="22">
        <v>660000</v>
      </c>
      <c r="G68" s="22">
        <v>97</v>
      </c>
      <c r="H68" s="25">
        <v>-53.1</v>
      </c>
    </row>
    <row r="69" spans="1:8">
      <c r="A69" s="4" t="s">
        <v>1209</v>
      </c>
      <c r="B69" s="4" t="s">
        <v>81</v>
      </c>
      <c r="C69" s="4" t="s">
        <v>68</v>
      </c>
      <c r="D69" s="21">
        <v>4633</v>
      </c>
      <c r="E69" s="21">
        <v>1949</v>
      </c>
      <c r="F69" s="22">
        <v>600000</v>
      </c>
      <c r="G69" s="22">
        <v>130</v>
      </c>
      <c r="H69" s="25">
        <v>-28.8</v>
      </c>
    </row>
    <row r="70" spans="1:8">
      <c r="A70" s="4" t="s">
        <v>1210</v>
      </c>
      <c r="B70" s="4" t="s">
        <v>81</v>
      </c>
      <c r="C70" s="4" t="s">
        <v>69</v>
      </c>
      <c r="D70" s="21">
        <v>7380</v>
      </c>
      <c r="E70" s="21">
        <v>1960</v>
      </c>
      <c r="F70" s="22">
        <v>505000</v>
      </c>
      <c r="G70" s="22">
        <v>68</v>
      </c>
      <c r="H70" s="25">
        <v>-25.6</v>
      </c>
    </row>
    <row r="71" spans="1:8">
      <c r="A71" s="4" t="s">
        <v>1211</v>
      </c>
      <c r="B71" s="4" t="s">
        <v>77</v>
      </c>
      <c r="C71" s="4" t="s">
        <v>65</v>
      </c>
      <c r="D71" s="21">
        <v>31542</v>
      </c>
      <c r="E71" s="21">
        <v>1963</v>
      </c>
      <c r="F71" s="22">
        <v>3450000</v>
      </c>
      <c r="G71" s="22">
        <v>109</v>
      </c>
      <c r="H71" s="25">
        <v>-19.7</v>
      </c>
    </row>
    <row r="72" spans="1:8">
      <c r="A72" s="4" t="s">
        <v>1212</v>
      </c>
      <c r="B72" s="4" t="s">
        <v>77</v>
      </c>
      <c r="C72" s="4" t="s">
        <v>66</v>
      </c>
      <c r="D72" s="21">
        <v>13500</v>
      </c>
      <c r="E72" s="21">
        <v>1973</v>
      </c>
      <c r="F72" s="22">
        <v>1950000</v>
      </c>
      <c r="G72" s="22">
        <v>144</v>
      </c>
      <c r="H72" s="25">
        <v>-30.3</v>
      </c>
    </row>
    <row r="73" spans="1:8">
      <c r="A73" s="4" t="s">
        <v>1213</v>
      </c>
      <c r="B73" s="4" t="s">
        <v>1214</v>
      </c>
      <c r="C73" s="4" t="s">
        <v>67</v>
      </c>
      <c r="D73" s="21">
        <v>5170</v>
      </c>
      <c r="E73" s="21">
        <v>2000</v>
      </c>
      <c r="F73" s="22">
        <v>1725000</v>
      </c>
      <c r="G73" s="22">
        <v>334</v>
      </c>
      <c r="H73" s="25">
        <v>10.4</v>
      </c>
    </row>
  </sheetData>
  <autoFilter ref="A4:H73"/>
  <mergeCells count="1">
    <mergeCell ref="A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101"/>
  <sheetViews>
    <sheetView workbookViewId="0"/>
  </sheetViews>
  <sheetFormatPr defaultRowHeight="15"/>
  <cols>
    <col min="1" max="1" width="36.7109375" customWidth="1"/>
    <col min="2" max="6" width="22.7109375" customWidth="1"/>
  </cols>
  <sheetData>
    <row r="1" spans="1:6">
      <c r="A1" s="1" t="s">
        <v>1215</v>
      </c>
    </row>
    <row r="2" spans="1:6" ht="30" customHeight="1">
      <c r="A2" s="2" t="s">
        <v>1216</v>
      </c>
      <c r="B2" s="2"/>
      <c r="C2" s="2"/>
      <c r="D2" s="2"/>
      <c r="E2" s="2"/>
      <c r="F2" s="2"/>
    </row>
    <row r="4" spans="1:6">
      <c r="A4" s="1" t="s">
        <v>1217</v>
      </c>
    </row>
    <row r="5" spans="1:6">
      <c r="A5" s="20" t="s">
        <v>123</v>
      </c>
      <c r="B5" s="20" t="s">
        <v>1218</v>
      </c>
      <c r="C5" s="20" t="s">
        <v>1219</v>
      </c>
      <c r="D5" s="20" t="s">
        <v>1123</v>
      </c>
      <c r="E5" s="20" t="s">
        <v>1220</v>
      </c>
      <c r="F5" s="20" t="s">
        <v>1221</v>
      </c>
    </row>
    <row r="6" spans="1:6" ht="30" customHeight="1">
      <c r="A6" s="3" t="s">
        <v>66</v>
      </c>
      <c r="B6" s="4" t="s">
        <v>1222</v>
      </c>
      <c r="C6" s="4" t="s">
        <v>1223</v>
      </c>
      <c r="D6" s="4" t="s">
        <v>1224</v>
      </c>
      <c r="E6" s="4" t="s">
        <v>1225</v>
      </c>
      <c r="F6" s="4" t="s">
        <v>1226</v>
      </c>
    </row>
    <row r="7" spans="1:6" ht="30" customHeight="1">
      <c r="A7" s="3" t="s">
        <v>69</v>
      </c>
      <c r="B7" s="4" t="s">
        <v>1227</v>
      </c>
      <c r="C7" s="4" t="s">
        <v>1228</v>
      </c>
      <c r="D7" s="4" t="s">
        <v>1229</v>
      </c>
      <c r="E7" s="4" t="s">
        <v>1230</v>
      </c>
      <c r="F7" s="4" t="s">
        <v>1231</v>
      </c>
    </row>
    <row r="8" spans="1:6" ht="30" customHeight="1">
      <c r="A8" s="3" t="s">
        <v>70</v>
      </c>
      <c r="B8" s="4" t="s">
        <v>1232</v>
      </c>
      <c r="C8" s="4" t="s">
        <v>1233</v>
      </c>
      <c r="D8" s="4" t="s">
        <v>1234</v>
      </c>
      <c r="E8" s="4" t="s">
        <v>1235</v>
      </c>
      <c r="F8" s="4" t="s">
        <v>1236</v>
      </c>
    </row>
    <row r="9" spans="1:6" ht="30" customHeight="1">
      <c r="A9" s="3" t="s">
        <v>67</v>
      </c>
      <c r="B9" s="4" t="s">
        <v>1237</v>
      </c>
      <c r="C9" s="4" t="s">
        <v>1238</v>
      </c>
      <c r="D9" s="4" t="s">
        <v>1239</v>
      </c>
      <c r="E9" s="4" t="s">
        <v>1240</v>
      </c>
      <c r="F9" s="4" t="s">
        <v>1241</v>
      </c>
    </row>
    <row r="10" spans="1:6" ht="30" customHeight="1">
      <c r="A10" s="3" t="s">
        <v>71</v>
      </c>
      <c r="B10" s="4" t="s">
        <v>1242</v>
      </c>
      <c r="C10" s="4" t="s">
        <v>1243</v>
      </c>
      <c r="D10" s="4" t="s">
        <v>1244</v>
      </c>
      <c r="E10" s="4" t="s">
        <v>1245</v>
      </c>
      <c r="F10" s="4" t="s">
        <v>1246</v>
      </c>
    </row>
    <row r="11" spans="1:6" ht="30" customHeight="1">
      <c r="A11" s="3" t="s">
        <v>68</v>
      </c>
      <c r="B11" s="4" t="s">
        <v>1247</v>
      </c>
      <c r="C11" s="4" t="s">
        <v>1248</v>
      </c>
      <c r="D11" s="4" t="s">
        <v>1249</v>
      </c>
      <c r="E11" s="4" t="s">
        <v>1250</v>
      </c>
      <c r="F11" s="4" t="s">
        <v>1251</v>
      </c>
    </row>
    <row r="13" spans="1:6">
      <c r="A13" s="1" t="s">
        <v>1252</v>
      </c>
    </row>
    <row r="14" spans="1:6">
      <c r="A14" s="3" t="s">
        <v>1253</v>
      </c>
      <c r="B14" s="4" t="s">
        <v>1254</v>
      </c>
      <c r="C14" s="4"/>
      <c r="D14" s="4"/>
      <c r="E14" s="4"/>
      <c r="F14" s="4"/>
    </row>
    <row r="15" spans="1:6">
      <c r="A15" s="3" t="s">
        <v>1255</v>
      </c>
      <c r="B15" s="4" t="s">
        <v>1256</v>
      </c>
      <c r="C15" s="4"/>
      <c r="D15" s="4"/>
      <c r="E15" s="4"/>
      <c r="F15" s="4"/>
    </row>
    <row r="16" spans="1:6">
      <c r="A16" s="3" t="s">
        <v>1257</v>
      </c>
      <c r="B16" s="4" t="s">
        <v>1258</v>
      </c>
      <c r="C16" s="4"/>
      <c r="D16" s="4"/>
      <c r="E16" s="4"/>
      <c r="F16" s="4"/>
    </row>
    <row r="17" spans="1:6">
      <c r="A17" s="3" t="s">
        <v>69</v>
      </c>
      <c r="B17" s="4" t="s">
        <v>1259</v>
      </c>
      <c r="C17" s="4"/>
      <c r="D17" s="4"/>
      <c r="E17" s="4"/>
      <c r="F17" s="4"/>
    </row>
    <row r="18" spans="1:6">
      <c r="A18" s="3" t="s">
        <v>1260</v>
      </c>
      <c r="B18" s="4" t="s">
        <v>1261</v>
      </c>
      <c r="C18" s="4"/>
      <c r="D18" s="4"/>
      <c r="E18" s="4"/>
      <c r="F18" s="4"/>
    </row>
    <row r="19" spans="1:6">
      <c r="A19" s="3" t="s">
        <v>1262</v>
      </c>
      <c r="B19" s="4" t="s">
        <v>1263</v>
      </c>
      <c r="C19" s="4"/>
      <c r="D19" s="4"/>
      <c r="E19" s="4"/>
      <c r="F19" s="4"/>
    </row>
    <row r="20" spans="1:6">
      <c r="A20" s="3" t="s">
        <v>71</v>
      </c>
      <c r="B20" s="4" t="s">
        <v>1264</v>
      </c>
      <c r="C20" s="4"/>
      <c r="D20" s="4"/>
      <c r="E20" s="4"/>
      <c r="F20" s="4"/>
    </row>
    <row r="22" spans="1:6">
      <c r="A22" s="1" t="s">
        <v>1265</v>
      </c>
    </row>
    <row r="23" spans="1:6">
      <c r="A23" s="3" t="s">
        <v>1266</v>
      </c>
      <c r="B23" s="4" t="s">
        <v>1267</v>
      </c>
      <c r="C23" s="4"/>
      <c r="D23" s="4"/>
      <c r="E23" s="4"/>
      <c r="F23" s="4"/>
    </row>
    <row r="24" spans="1:6">
      <c r="A24" s="3" t="s">
        <v>1268</v>
      </c>
      <c r="B24" s="4" t="s">
        <v>1269</v>
      </c>
      <c r="C24" s="4"/>
      <c r="D24" s="4"/>
      <c r="E24" s="4"/>
      <c r="F24" s="4"/>
    </row>
    <row r="25" spans="1:6">
      <c r="A25" s="3" t="s">
        <v>1270</v>
      </c>
      <c r="B25" s="4" t="s">
        <v>1271</v>
      </c>
      <c r="C25" s="4"/>
      <c r="D25" s="4"/>
      <c r="E25" s="4"/>
      <c r="F25" s="4"/>
    </row>
    <row r="26" spans="1:6">
      <c r="A26" s="3" t="s">
        <v>1272</v>
      </c>
      <c r="B26" s="4" t="s">
        <v>1273</v>
      </c>
      <c r="C26" s="4"/>
      <c r="D26" s="4"/>
      <c r="E26" s="4"/>
      <c r="F26" s="4"/>
    </row>
    <row r="27" spans="1:6">
      <c r="A27" s="3" t="s">
        <v>1274</v>
      </c>
      <c r="B27" s="4" t="s">
        <v>1275</v>
      </c>
      <c r="C27" s="4"/>
      <c r="D27" s="4"/>
      <c r="E27" s="4"/>
      <c r="F27" s="4"/>
    </row>
    <row r="29" spans="1:6">
      <c r="A29" s="1" t="s">
        <v>1276</v>
      </c>
    </row>
    <row r="30" spans="1:6">
      <c r="A30" s="3" t="s">
        <v>1277</v>
      </c>
      <c r="B30" s="4" t="s">
        <v>1278</v>
      </c>
      <c r="C30" s="4"/>
      <c r="D30" s="4"/>
      <c r="E30" s="4"/>
      <c r="F30" s="4"/>
    </row>
    <row r="31" spans="1:6">
      <c r="A31" s="3" t="s">
        <v>1279</v>
      </c>
      <c r="B31" s="4" t="s">
        <v>1280</v>
      </c>
      <c r="C31" s="4"/>
      <c r="D31" s="4"/>
      <c r="E31" s="4"/>
      <c r="F31" s="4"/>
    </row>
    <row r="32" spans="1:6">
      <c r="A32" s="3" t="s">
        <v>1281</v>
      </c>
      <c r="B32" s="4" t="s">
        <v>1282</v>
      </c>
      <c r="C32" s="4"/>
      <c r="D32" s="4"/>
      <c r="E32" s="4"/>
      <c r="F32" s="4"/>
    </row>
    <row r="33" spans="1:6">
      <c r="A33" s="3" t="s">
        <v>1283</v>
      </c>
      <c r="B33" s="4" t="s">
        <v>1284</v>
      </c>
      <c r="C33" s="4"/>
      <c r="D33" s="4"/>
      <c r="E33" s="4"/>
      <c r="F33" s="4"/>
    </row>
    <row r="34" spans="1:6">
      <c r="A34" s="3" t="s">
        <v>1285</v>
      </c>
      <c r="B34" s="4" t="s">
        <v>1286</v>
      </c>
      <c r="C34" s="4"/>
      <c r="D34" s="4"/>
      <c r="E34" s="4"/>
      <c r="F34" s="4"/>
    </row>
    <row r="36" spans="1:6">
      <c r="A36" s="1" t="s">
        <v>1287</v>
      </c>
    </row>
    <row r="37" spans="1:6">
      <c r="A37" s="3" t="s">
        <v>1288</v>
      </c>
      <c r="B37" s="4" t="s">
        <v>1289</v>
      </c>
      <c r="C37" s="4"/>
      <c r="D37" s="4"/>
      <c r="E37" s="4"/>
      <c r="F37" s="4"/>
    </row>
    <row r="38" spans="1:6">
      <c r="A38" s="3" t="s">
        <v>1290</v>
      </c>
      <c r="B38" s="4" t="s">
        <v>1291</v>
      </c>
      <c r="C38" s="4"/>
      <c r="D38" s="4"/>
      <c r="E38" s="4"/>
      <c r="F38" s="4"/>
    </row>
    <row r="39" spans="1:6">
      <c r="A39" s="3" t="s">
        <v>1292</v>
      </c>
      <c r="B39" s="4" t="s">
        <v>1293</v>
      </c>
      <c r="C39" s="4"/>
      <c r="D39" s="4"/>
      <c r="E39" s="4"/>
      <c r="F39" s="4"/>
    </row>
    <row r="40" spans="1:6">
      <c r="A40" s="3" t="s">
        <v>1294</v>
      </c>
      <c r="B40" s="4" t="s">
        <v>1295</v>
      </c>
      <c r="C40" s="4"/>
      <c r="D40" s="4"/>
      <c r="E40" s="4"/>
      <c r="F40" s="4"/>
    </row>
    <row r="41" spans="1:6">
      <c r="A41" s="3" t="s">
        <v>1296</v>
      </c>
      <c r="B41" s="4" t="s">
        <v>1297</v>
      </c>
      <c r="C41" s="4"/>
      <c r="D41" s="4"/>
      <c r="E41" s="4"/>
      <c r="F41" s="4"/>
    </row>
    <row r="42" spans="1:6">
      <c r="A42" s="3" t="s">
        <v>1298</v>
      </c>
      <c r="B42" s="4" t="s">
        <v>1299</v>
      </c>
      <c r="C42" s="4"/>
      <c r="D42" s="4"/>
      <c r="E42" s="4"/>
      <c r="F42" s="4"/>
    </row>
    <row r="43" spans="1:6">
      <c r="A43" s="3" t="s">
        <v>1300</v>
      </c>
      <c r="B43" s="4" t="s">
        <v>1301</v>
      </c>
      <c r="C43" s="4"/>
      <c r="D43" s="4"/>
      <c r="E43" s="4"/>
      <c r="F43" s="4"/>
    </row>
    <row r="45" spans="1:6">
      <c r="A45" s="1" t="s">
        <v>1302</v>
      </c>
    </row>
    <row r="46" spans="1:6">
      <c r="A46" s="3" t="s">
        <v>1303</v>
      </c>
      <c r="B46" s="4" t="s">
        <v>1304</v>
      </c>
      <c r="C46" s="4"/>
      <c r="D46" s="4"/>
      <c r="E46" s="4"/>
      <c r="F46" s="4"/>
    </row>
    <row r="47" spans="1:6">
      <c r="A47" s="3" t="s">
        <v>1305</v>
      </c>
      <c r="B47" s="4" t="s">
        <v>1306</v>
      </c>
      <c r="C47" s="4"/>
      <c r="D47" s="4"/>
      <c r="E47" s="4"/>
      <c r="F47" s="4"/>
    </row>
    <row r="48" spans="1:6">
      <c r="A48" s="3" t="s">
        <v>1307</v>
      </c>
      <c r="B48" s="4" t="s">
        <v>1308</v>
      </c>
      <c r="C48" s="4"/>
      <c r="D48" s="4"/>
      <c r="E48" s="4"/>
      <c r="F48" s="4"/>
    </row>
    <row r="49" spans="1:6">
      <c r="A49" s="3" t="s">
        <v>1309</v>
      </c>
      <c r="B49" s="4" t="s">
        <v>1310</v>
      </c>
      <c r="C49" s="4"/>
      <c r="D49" s="4"/>
      <c r="E49" s="4"/>
      <c r="F49" s="4"/>
    </row>
    <row r="50" spans="1:6">
      <c r="A50" s="3" t="s">
        <v>1311</v>
      </c>
      <c r="B50" s="4" t="s">
        <v>1312</v>
      </c>
      <c r="C50" s="4"/>
      <c r="D50" s="4"/>
      <c r="E50" s="4"/>
      <c r="F50" s="4"/>
    </row>
    <row r="51" spans="1:6">
      <c r="A51" s="3" t="s">
        <v>1313</v>
      </c>
      <c r="B51" s="4" t="s">
        <v>1314</v>
      </c>
      <c r="C51" s="4"/>
      <c r="D51" s="4"/>
      <c r="E51" s="4"/>
      <c r="F51" s="4"/>
    </row>
    <row r="52" spans="1:6">
      <c r="A52" s="3" t="s">
        <v>1315</v>
      </c>
      <c r="B52" s="4" t="s">
        <v>1316</v>
      </c>
      <c r="C52" s="4"/>
      <c r="D52" s="4"/>
      <c r="E52" s="4"/>
      <c r="F52" s="4"/>
    </row>
    <row r="54" spans="1:6">
      <c r="A54" s="1" t="s">
        <v>1317</v>
      </c>
    </row>
    <row r="55" spans="1:6">
      <c r="A55" s="3" t="s">
        <v>1318</v>
      </c>
      <c r="B55" s="4" t="s">
        <v>1319</v>
      </c>
      <c r="C55" s="4"/>
      <c r="D55" s="4"/>
      <c r="E55" s="4"/>
      <c r="F55" s="4"/>
    </row>
    <row r="56" spans="1:6">
      <c r="A56" s="3" t="s">
        <v>1320</v>
      </c>
      <c r="B56" s="4" t="s">
        <v>1321</v>
      </c>
      <c r="C56" s="4"/>
      <c r="D56" s="4"/>
      <c r="E56" s="4"/>
      <c r="F56" s="4"/>
    </row>
    <row r="57" spans="1:6">
      <c r="A57" s="3" t="s">
        <v>1322</v>
      </c>
      <c r="B57" s="4" t="s">
        <v>1323</v>
      </c>
      <c r="C57" s="4"/>
      <c r="D57" s="4"/>
      <c r="E57" s="4"/>
      <c r="F57" s="4"/>
    </row>
    <row r="58" spans="1:6">
      <c r="A58" s="3" t="s">
        <v>1324</v>
      </c>
      <c r="B58" s="4" t="s">
        <v>1325</v>
      </c>
      <c r="C58" s="4"/>
      <c r="D58" s="4"/>
      <c r="E58" s="4"/>
      <c r="F58" s="4"/>
    </row>
    <row r="59" spans="1:6">
      <c r="A59" s="3" t="s">
        <v>1326</v>
      </c>
      <c r="B59" s="4" t="s">
        <v>1327</v>
      </c>
      <c r="C59" s="4"/>
      <c r="D59" s="4"/>
      <c r="E59" s="4"/>
      <c r="F59" s="4"/>
    </row>
    <row r="61" spans="1:6">
      <c r="A61" s="1" t="s">
        <v>1328</v>
      </c>
    </row>
    <row r="62" spans="1:6">
      <c r="A62" s="3" t="s">
        <v>1329</v>
      </c>
      <c r="B62" s="4" t="s">
        <v>1330</v>
      </c>
      <c r="C62" s="4"/>
      <c r="D62" s="4"/>
      <c r="E62" s="4"/>
      <c r="F62" s="4"/>
    </row>
    <row r="63" spans="1:6">
      <c r="A63" s="3" t="s">
        <v>1331</v>
      </c>
      <c r="B63" s="4" t="s">
        <v>1332</v>
      </c>
      <c r="C63" s="4"/>
      <c r="D63" s="4"/>
      <c r="E63" s="4"/>
      <c r="F63" s="4"/>
    </row>
    <row r="64" spans="1:6">
      <c r="A64" s="3" t="s">
        <v>1333</v>
      </c>
      <c r="B64" s="4" t="s">
        <v>1334</v>
      </c>
      <c r="C64" s="4"/>
      <c r="D64" s="4"/>
      <c r="E64" s="4"/>
      <c r="F64" s="4"/>
    </row>
    <row r="66" spans="1:6">
      <c r="A66" s="1" t="s">
        <v>1335</v>
      </c>
    </row>
    <row r="67" spans="1:6" ht="58" customHeight="1">
      <c r="A67" s="3" t="s">
        <v>1336</v>
      </c>
      <c r="B67" s="4" t="s">
        <v>1337</v>
      </c>
      <c r="C67" s="4"/>
      <c r="D67" s="4"/>
      <c r="E67" s="4"/>
      <c r="F67" s="4"/>
    </row>
    <row r="68" spans="1:6" ht="58" customHeight="1">
      <c r="A68" s="3" t="s">
        <v>1338</v>
      </c>
      <c r="B68" s="4" t="s">
        <v>1339</v>
      </c>
      <c r="C68" s="4"/>
      <c r="D68" s="4"/>
      <c r="E68" s="4"/>
      <c r="F68" s="4"/>
    </row>
    <row r="69" spans="1:6" ht="58" customHeight="1">
      <c r="A69" s="3" t="s">
        <v>1340</v>
      </c>
      <c r="B69" s="4" t="s">
        <v>1341</v>
      </c>
      <c r="C69" s="4"/>
      <c r="D69" s="4"/>
      <c r="E69" s="4"/>
      <c r="F69" s="4"/>
    </row>
    <row r="70" spans="1:6" ht="58" customHeight="1">
      <c r="A70" s="3" t="s">
        <v>1342</v>
      </c>
      <c r="B70" s="4" t="s">
        <v>1343</v>
      </c>
      <c r="C70" s="4"/>
      <c r="D70" s="4"/>
      <c r="E70" s="4"/>
      <c r="F70" s="4"/>
    </row>
    <row r="71" spans="1:6" ht="58" customHeight="1">
      <c r="A71" s="3" t="s">
        <v>1344</v>
      </c>
      <c r="B71" s="4" t="s">
        <v>1345</v>
      </c>
      <c r="C71" s="4"/>
      <c r="D71" s="4"/>
      <c r="E71" s="4"/>
      <c r="F71" s="4"/>
    </row>
    <row r="72" spans="1:6" ht="58" customHeight="1">
      <c r="A72" s="3" t="s">
        <v>1346</v>
      </c>
      <c r="B72" s="4" t="s">
        <v>1345</v>
      </c>
      <c r="C72" s="4"/>
      <c r="D72" s="4"/>
      <c r="E72" s="4"/>
      <c r="F72" s="4"/>
    </row>
    <row r="73" spans="1:6" ht="58" customHeight="1">
      <c r="A73" s="3" t="s">
        <v>1347</v>
      </c>
      <c r="B73" s="4" t="s">
        <v>1348</v>
      </c>
      <c r="C73" s="4"/>
      <c r="D73" s="4"/>
      <c r="E73" s="4"/>
      <c r="F73" s="4"/>
    </row>
    <row r="74" spans="1:6" ht="58" customHeight="1">
      <c r="A74" s="3" t="s">
        <v>1349</v>
      </c>
      <c r="B74" s="4" t="s">
        <v>1339</v>
      </c>
      <c r="C74" s="4"/>
      <c r="D74" s="4"/>
      <c r="E74" s="4"/>
      <c r="F74" s="4"/>
    </row>
    <row r="75" spans="1:6" ht="58" customHeight="1">
      <c r="A75" s="3" t="s">
        <v>1350</v>
      </c>
      <c r="B75" s="4" t="s">
        <v>1351</v>
      </c>
      <c r="C75" s="4"/>
      <c r="D75" s="4"/>
      <c r="E75" s="4"/>
      <c r="F75" s="4"/>
    </row>
    <row r="77" spans="1:6">
      <c r="A77" s="1" t="s">
        <v>1352</v>
      </c>
    </row>
    <row r="78" spans="1:6">
      <c r="A78" s="28" t="s">
        <v>1353</v>
      </c>
    </row>
    <row r="79" spans="1:6">
      <c r="A79" s="28" t="s">
        <v>1354</v>
      </c>
    </row>
    <row r="80" spans="1:6">
      <c r="A80" s="28" t="s">
        <v>1355</v>
      </c>
    </row>
    <row r="81" spans="1:1">
      <c r="A81" s="28" t="s">
        <v>1356</v>
      </c>
    </row>
    <row r="82" spans="1:1">
      <c r="A82" s="28" t="s">
        <v>1357</v>
      </c>
    </row>
    <row r="83" spans="1:1">
      <c r="A83" s="28" t="s">
        <v>1358</v>
      </c>
    </row>
    <row r="84" spans="1:1">
      <c r="A84" s="28" t="s">
        <v>1359</v>
      </c>
    </row>
    <row r="85" spans="1:1">
      <c r="A85" s="28" t="s">
        <v>1360</v>
      </c>
    </row>
    <row r="86" spans="1:1">
      <c r="A86" s="28" t="s">
        <v>1361</v>
      </c>
    </row>
    <row r="87" spans="1:1">
      <c r="A87" s="28" t="s">
        <v>1362</v>
      </c>
    </row>
    <row r="88" spans="1:1">
      <c r="A88" s="28" t="s">
        <v>1363</v>
      </c>
    </row>
    <row r="89" spans="1:1">
      <c r="A89" s="28" t="s">
        <v>1364</v>
      </c>
    </row>
    <row r="90" spans="1:1">
      <c r="A90" s="28" t="s">
        <v>1365</v>
      </c>
    </row>
    <row r="91" spans="1:1">
      <c r="A91" s="28" t="s">
        <v>1366</v>
      </c>
    </row>
    <row r="92" spans="1:1">
      <c r="A92" s="28" t="s">
        <v>1367</v>
      </c>
    </row>
    <row r="93" spans="1:1">
      <c r="A93" s="28" t="s">
        <v>1368</v>
      </c>
    </row>
    <row r="94" spans="1:1">
      <c r="A94" s="28" t="s">
        <v>1369</v>
      </c>
    </row>
    <row r="95" spans="1:1">
      <c r="A95" s="28" t="s">
        <v>1370</v>
      </c>
    </row>
    <row r="96" spans="1:1">
      <c r="A96" s="28" t="s">
        <v>1371</v>
      </c>
    </row>
    <row r="97" spans="1:1">
      <c r="A97" s="28" t="s">
        <v>1372</v>
      </c>
    </row>
    <row r="98" spans="1:1">
      <c r="A98" s="28" t="s">
        <v>1373</v>
      </c>
    </row>
    <row r="99" spans="1:1">
      <c r="A99" s="28" t="s">
        <v>1374</v>
      </c>
    </row>
    <row r="100" spans="1:1">
      <c r="A100" s="28" t="s">
        <v>1375</v>
      </c>
    </row>
    <row r="101" spans="1:1">
      <c r="A101" s="28" t="s">
        <v>1376</v>
      </c>
    </row>
  </sheetData>
  <mergeCells count="49">
    <mergeCell ref="A2:F2"/>
    <mergeCell ref="B14:F14"/>
    <mergeCell ref="B15:F15"/>
    <mergeCell ref="B16:F16"/>
    <mergeCell ref="B17:F17"/>
    <mergeCell ref="B18:F18"/>
    <mergeCell ref="B19:F19"/>
    <mergeCell ref="B20:F20"/>
    <mergeCell ref="B23:F23"/>
    <mergeCell ref="B24:F24"/>
    <mergeCell ref="B25:F25"/>
    <mergeCell ref="B26:F26"/>
    <mergeCell ref="B27:F27"/>
    <mergeCell ref="B30:F30"/>
    <mergeCell ref="B31:F31"/>
    <mergeCell ref="B32:F32"/>
    <mergeCell ref="B33:F33"/>
    <mergeCell ref="B34:F34"/>
    <mergeCell ref="B37:F37"/>
    <mergeCell ref="B38:F38"/>
    <mergeCell ref="B39:F39"/>
    <mergeCell ref="B40:F40"/>
    <mergeCell ref="B41:F41"/>
    <mergeCell ref="B42:F42"/>
    <mergeCell ref="B43:F43"/>
    <mergeCell ref="B46:F46"/>
    <mergeCell ref="B47:F47"/>
    <mergeCell ref="B48:F48"/>
    <mergeCell ref="B49:F49"/>
    <mergeCell ref="B50:F50"/>
    <mergeCell ref="B51:F51"/>
    <mergeCell ref="B52:F52"/>
    <mergeCell ref="B55:F55"/>
    <mergeCell ref="B56:F56"/>
    <mergeCell ref="B57:F57"/>
    <mergeCell ref="B58:F58"/>
    <mergeCell ref="B59:F59"/>
    <mergeCell ref="B62:F62"/>
    <mergeCell ref="B63:F63"/>
    <mergeCell ref="B64:F64"/>
    <mergeCell ref="B67:F67"/>
    <mergeCell ref="B68:F68"/>
    <mergeCell ref="B69:F69"/>
    <mergeCell ref="B70:F70"/>
    <mergeCell ref="B71:F71"/>
    <mergeCell ref="B72:F72"/>
    <mergeCell ref="B73:F73"/>
    <mergeCell ref="B74:F74"/>
    <mergeCell ref="B75:F75"/>
  </mergeCells>
  <hyperlinks>
    <hyperlink ref="A78" r:id="rId1"/>
    <hyperlink ref="A79" r:id="rId2"/>
    <hyperlink ref="A80" r:id="rId3"/>
    <hyperlink ref="A81" r:id="rId4"/>
    <hyperlink ref="A82" r:id="rId5"/>
    <hyperlink ref="A83" r:id="rId6"/>
    <hyperlink ref="A84" r:id="rId7"/>
    <hyperlink ref="A85" r:id="rId8"/>
    <hyperlink ref="A86" r:id="rId9"/>
    <hyperlink ref="A87" r:id="rId10"/>
    <hyperlink ref="A88" r:id="rId11"/>
    <hyperlink ref="A89" r:id="rId12"/>
    <hyperlink ref="A90" r:id="rId13"/>
    <hyperlink ref="A91" r:id="rId14"/>
    <hyperlink ref="A92" r:id="rId15"/>
    <hyperlink ref="A93" r:id="rId16"/>
    <hyperlink ref="A94" r:id="rId17"/>
    <hyperlink ref="A95" r:id="rId18"/>
    <hyperlink ref="A96" r:id="rId19"/>
    <hyperlink ref="A97" r:id="rId20"/>
    <hyperlink ref="A98" r:id="rId21"/>
    <hyperlink ref="A99" r:id="rId22"/>
    <hyperlink ref="A100" r:id="rId23"/>
    <hyperlink ref="A101" r:id="rId24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20.7109375" customWidth="1"/>
    <col min="2" max="7" width="13.7109375" customWidth="1"/>
    <col min="8" max="9" width="14.7109375" customWidth="1"/>
  </cols>
  <sheetData>
    <row r="1" spans="1:9">
      <c r="A1" s="1" t="s">
        <v>1377</v>
      </c>
    </row>
    <row r="2" spans="1:9" ht="30" customHeight="1">
      <c r="A2" s="2" t="s">
        <v>1378</v>
      </c>
      <c r="B2" s="2"/>
      <c r="C2" s="2"/>
      <c r="D2" s="2"/>
      <c r="E2" s="2"/>
      <c r="F2" s="2"/>
      <c r="G2" s="2"/>
      <c r="H2" s="2"/>
    </row>
    <row r="4" spans="1:9">
      <c r="A4" s="20" t="s">
        <v>123</v>
      </c>
      <c r="B4" s="20" t="s">
        <v>1073</v>
      </c>
      <c r="C4" s="20" t="s">
        <v>1379</v>
      </c>
      <c r="D4" s="20" t="s">
        <v>1380</v>
      </c>
      <c r="E4" s="20" t="s">
        <v>1381</v>
      </c>
      <c r="F4" s="20" t="s">
        <v>1382</v>
      </c>
      <c r="G4" s="20" t="s">
        <v>131</v>
      </c>
      <c r="H4" s="20" t="s">
        <v>1383</v>
      </c>
      <c r="I4" s="20" t="s">
        <v>1384</v>
      </c>
    </row>
    <row r="5" spans="1:9">
      <c r="A5" s="10" t="s">
        <v>66</v>
      </c>
      <c r="B5" s="22">
        <v>177</v>
      </c>
      <c r="C5" s="29">
        <v>18</v>
      </c>
      <c r="D5" s="30">
        <v>0.06</v>
      </c>
      <c r="E5" s="30">
        <v>0.42</v>
      </c>
      <c r="F5" s="31">
        <v>0.055</v>
      </c>
      <c r="G5" s="18">
        <f>C5*(1-D5)*(1-E5)/B5</f>
        <v>0.05544406779661017</v>
      </c>
      <c r="H5" s="24" t="s">
        <v>237</v>
      </c>
      <c r="I5" s="24" t="s">
        <v>1385</v>
      </c>
    </row>
    <row r="6" spans="1:9">
      <c r="A6" s="10" t="s">
        <v>69</v>
      </c>
      <c r="B6" s="22">
        <v>197</v>
      </c>
      <c r="C6" s="29">
        <v>34</v>
      </c>
      <c r="D6" s="30">
        <v>0.15</v>
      </c>
      <c r="E6" s="30">
        <v>0.45</v>
      </c>
      <c r="F6" s="31">
        <v>0.08</v>
      </c>
      <c r="G6" s="18">
        <f>C6*(1-D6)*(1-E6)/B6</f>
        <v>0.08068527918781726</v>
      </c>
      <c r="H6" s="22">
        <v>17</v>
      </c>
      <c r="I6" s="24" t="s">
        <v>1386</v>
      </c>
    </row>
    <row r="7" spans="1:9">
      <c r="A7" s="10" t="s">
        <v>70</v>
      </c>
      <c r="B7" s="22">
        <v>247</v>
      </c>
      <c r="C7" s="29">
        <v>23</v>
      </c>
      <c r="D7" s="30">
        <v>0.08</v>
      </c>
      <c r="E7" s="30">
        <v>0.22</v>
      </c>
      <c r="F7" s="31">
        <v>0.0675</v>
      </c>
      <c r="G7" s="18">
        <f>C7*(1-D7)*(1-E7)/B7</f>
        <v>0.06682105263157895</v>
      </c>
      <c r="H7" s="22">
        <v>28</v>
      </c>
      <c r="I7" s="24" t="s">
        <v>1387</v>
      </c>
    </row>
    <row r="8" spans="1:9">
      <c r="A8" s="10" t="s">
        <v>67</v>
      </c>
      <c r="B8" s="22">
        <v>150</v>
      </c>
      <c r="C8" s="29">
        <v>12</v>
      </c>
      <c r="D8" s="30">
        <v>0.05</v>
      </c>
      <c r="E8" s="30">
        <v>0.15</v>
      </c>
      <c r="F8" s="31">
        <v>0.0625</v>
      </c>
      <c r="G8" s="18">
        <f>C8*(1-D8)*(1-E8)/B8</f>
        <v>0.06459999999999999</v>
      </c>
      <c r="H8" s="22">
        <v>19.4</v>
      </c>
      <c r="I8" s="24" t="s">
        <v>1385</v>
      </c>
    </row>
    <row r="9" spans="1:9">
      <c r="A9" s="10" t="s">
        <v>68</v>
      </c>
      <c r="B9" s="22">
        <v>136</v>
      </c>
      <c r="C9" s="29">
        <v>16</v>
      </c>
      <c r="D9" s="30">
        <v>0.1</v>
      </c>
      <c r="E9" s="30">
        <v>0.35</v>
      </c>
      <c r="F9" s="31">
        <v>0.0675</v>
      </c>
      <c r="G9" s="18">
        <f>C9*(1-D9)*(1-E9)/B9</f>
        <v>0.06882352941176471</v>
      </c>
      <c r="H9" s="22">
        <v>20.2</v>
      </c>
      <c r="I9" s="24" t="s">
        <v>1387</v>
      </c>
    </row>
    <row r="10" spans="1:9">
      <c r="A10" s="10" t="s">
        <v>71</v>
      </c>
      <c r="B10" s="22">
        <v>347</v>
      </c>
      <c r="C10" s="29">
        <v>100</v>
      </c>
      <c r="D10" s="30">
        <v>0.3</v>
      </c>
      <c r="E10" s="30">
        <v>0.62</v>
      </c>
      <c r="F10" s="31">
        <v>0.08500000000000001</v>
      </c>
      <c r="G10" s="18">
        <f>C10*(1-D10)*(1-E10)/B10</f>
        <v>0.07665706051873199</v>
      </c>
      <c r="H10" s="24" t="s">
        <v>237</v>
      </c>
      <c r="I10" s="24" t="s">
        <v>1386</v>
      </c>
    </row>
    <row r="11" spans="1:9">
      <c r="A11" s="10" t="s">
        <v>72</v>
      </c>
      <c r="B11" s="22">
        <v>365</v>
      </c>
      <c r="C11" s="29">
        <v>33</v>
      </c>
      <c r="D11" s="30">
        <v>0.1</v>
      </c>
      <c r="E11" s="30">
        <v>0.2</v>
      </c>
      <c r="F11" s="31">
        <v>0.065</v>
      </c>
      <c r="G11" s="18">
        <f>C11*(1-D11)*(1-E11)/B11</f>
        <v>0.06509589041095891</v>
      </c>
      <c r="H11" s="22">
        <v>22.6</v>
      </c>
      <c r="I11" s="24" t="s">
        <v>1386</v>
      </c>
    </row>
    <row r="12" spans="1:9">
      <c r="A12" s="10" t="s">
        <v>73</v>
      </c>
      <c r="B12" s="22">
        <v>345</v>
      </c>
      <c r="C12" s="29">
        <v>20</v>
      </c>
      <c r="D12" s="30">
        <v>0.08</v>
      </c>
      <c r="E12" s="30">
        <v>0.2</v>
      </c>
      <c r="F12" s="31">
        <v>0.07000000000000001</v>
      </c>
      <c r="G12" s="18">
        <f>C12*(1-D12)*(1-E12)/B12</f>
        <v>0.04266666666666667</v>
      </c>
      <c r="H12" s="24" t="s">
        <v>237</v>
      </c>
      <c r="I12" s="24" t="s">
        <v>1386</v>
      </c>
    </row>
    <row r="13" spans="1:9">
      <c r="A13" s="10" t="s">
        <v>74</v>
      </c>
      <c r="B13" s="22">
        <v>319</v>
      </c>
      <c r="C13" s="29">
        <v>22</v>
      </c>
      <c r="D13" s="30">
        <v>0.15</v>
      </c>
      <c r="E13" s="30">
        <v>0.3</v>
      </c>
      <c r="F13" s="31">
        <v>0.075</v>
      </c>
      <c r="G13" s="18">
        <f>C13*(1-D13)*(1-E13)/B13</f>
        <v>0.041034482758620684</v>
      </c>
      <c r="H13" s="22">
        <v>7.3</v>
      </c>
      <c r="I13" s="24" t="s">
        <v>1386</v>
      </c>
    </row>
    <row r="14" spans="1:9">
      <c r="A14" s="10" t="s">
        <v>65</v>
      </c>
      <c r="B14" s="22">
        <v>195</v>
      </c>
      <c r="C14" s="29">
        <v>22</v>
      </c>
      <c r="D14" s="30">
        <v>0.12</v>
      </c>
      <c r="E14" s="30">
        <v>0.3</v>
      </c>
      <c r="F14" s="31">
        <v>0.07000000000000001</v>
      </c>
      <c r="G14" s="18">
        <f>C14*(1-D14)*(1-E14)/B14</f>
        <v>0.0694974358974359</v>
      </c>
      <c r="H14" s="22">
        <v>26.5</v>
      </c>
      <c r="I14" s="24" t="s">
        <v>1385</v>
      </c>
    </row>
    <row r="16" spans="1:9">
      <c r="A16" s="2" t="s">
        <v>1388</v>
      </c>
    </row>
  </sheetData>
  <mergeCells count="1">
    <mergeCell ref="A2:H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1389</v>
      </c>
    </row>
    <row r="2" spans="1:7" ht="42" customHeight="1">
      <c r="A2" s="2" t="s">
        <v>1390</v>
      </c>
      <c r="B2" s="2"/>
      <c r="C2" s="2"/>
      <c r="D2" s="2"/>
      <c r="E2" s="2"/>
      <c r="F2" s="2"/>
      <c r="G2" s="2"/>
    </row>
    <row r="4" spans="1:7">
      <c r="A4" s="32" t="s">
        <v>1391</v>
      </c>
      <c r="B4" s="32"/>
      <c r="D4" s="32" t="s">
        <v>1410</v>
      </c>
      <c r="E4" s="32"/>
    </row>
    <row r="5" spans="1:7">
      <c r="A5" s="10" t="s">
        <v>1392</v>
      </c>
      <c r="B5" s="13">
        <v>1800000</v>
      </c>
      <c r="D5" s="3" t="s">
        <v>1411</v>
      </c>
      <c r="E5" s="14">
        <f>($B$6*$B$8*(1-$B$9))</f>
        <v>226761.84</v>
      </c>
    </row>
    <row r="6" spans="1:7">
      <c r="A6" s="10" t="s">
        <v>122</v>
      </c>
      <c r="B6" s="15">
        <v>13402</v>
      </c>
      <c r="D6" s="3" t="s">
        <v>1412</v>
      </c>
      <c r="E6" s="33">
        <f>E5*(1-$B$10)</f>
        <v>131521.8672</v>
      </c>
    </row>
    <row r="7" spans="1:7">
      <c r="A7" s="32" t="s">
        <v>1393</v>
      </c>
      <c r="B7" s="32"/>
      <c r="D7" s="3" t="s">
        <v>1413</v>
      </c>
      <c r="E7" s="18">
        <f>E6/$B$5</f>
        <v>0.07306770400000001</v>
      </c>
    </row>
    <row r="8" spans="1:7">
      <c r="A8" s="10" t="s">
        <v>1394</v>
      </c>
      <c r="B8" s="13">
        <v>18</v>
      </c>
      <c r="D8" s="3" t="s">
        <v>132</v>
      </c>
      <c r="E8" s="33">
        <f>E6/$B$11</f>
        <v>2391306.6763636363</v>
      </c>
    </row>
    <row r="9" spans="1:7">
      <c r="A9" s="10" t="s">
        <v>1395</v>
      </c>
      <c r="B9" s="34">
        <v>0.06</v>
      </c>
      <c r="D9" s="3" t="s">
        <v>1414</v>
      </c>
      <c r="E9" s="18">
        <f>$B$14+$B$16/10000</f>
        <v>0.0675</v>
      </c>
    </row>
    <row r="10" spans="1:7">
      <c r="A10" s="10" t="s">
        <v>1396</v>
      </c>
      <c r="B10" s="34">
        <v>0.42</v>
      </c>
      <c r="D10" s="3" t="s">
        <v>1415</v>
      </c>
      <c r="E10" s="14">
        <f>$B$5*$B$13</f>
        <v>1080000.0</v>
      </c>
    </row>
    <row r="11" spans="1:7">
      <c r="A11" s="10" t="s">
        <v>1397</v>
      </c>
      <c r="B11" s="35">
        <v>0.055</v>
      </c>
      <c r="D11" s="3" t="s">
        <v>1416</v>
      </c>
      <c r="E11" s="33">
        <f>$B$5*(1-$B$13)+$B$5*$B$23</f>
        <v>756000.0</v>
      </c>
    </row>
    <row r="12" spans="1:7">
      <c r="A12" s="32" t="s">
        <v>1398</v>
      </c>
      <c r="B12" s="32"/>
      <c r="D12" s="3" t="s">
        <v>1417</v>
      </c>
      <c r="E12" s="14">
        <f>E10*(E9/12)/(1-(1+E9/12)^-($B$15*12))*12</f>
        <v>89542.13366755907</v>
      </c>
    </row>
    <row r="13" spans="1:7">
      <c r="A13" s="10" t="s">
        <v>1399</v>
      </c>
      <c r="B13" s="34">
        <v>0.6</v>
      </c>
      <c r="D13" s="3" t="s">
        <v>1418</v>
      </c>
      <c r="E13" s="36">
        <f>E6/E12</f>
        <v>1.468826593839031</v>
      </c>
    </row>
    <row r="14" spans="1:7">
      <c r="A14" s="10" t="s">
        <v>1400</v>
      </c>
      <c r="B14" s="35">
        <v>0.0675</v>
      </c>
      <c r="D14" s="3" t="s">
        <v>1419</v>
      </c>
      <c r="E14" s="37">
        <f>E6/E10</f>
        <v>0.12177950666666668</v>
      </c>
    </row>
    <row r="15" spans="1:7">
      <c r="A15" s="10" t="s">
        <v>1401</v>
      </c>
      <c r="B15" s="15">
        <v>25</v>
      </c>
      <c r="D15" s="3" t="s">
        <v>1420</v>
      </c>
      <c r="E15" s="37">
        <f>(D29-E12)/E11</f>
        <v>0.06137776377307005</v>
      </c>
    </row>
    <row r="16" spans="1:7">
      <c r="A16" s="10" t="s">
        <v>1402</v>
      </c>
      <c r="B16" s="38">
        <v>0</v>
      </c>
      <c r="D16" s="3" t="s">
        <v>1421</v>
      </c>
      <c r="E16" s="14">
        <f>($B$6*$B$8*(1-$B$9))*(1+$B$19)^$B$21-(($B$6*$B$8*(1-$B$9))*$B$10)*(1+$B$20)^$B$21</f>
        <v>155123.83473116503</v>
      </c>
    </row>
    <row r="17" spans="1:7">
      <c r="A17" s="32" t="s">
        <v>1403</v>
      </c>
      <c r="B17" s="32"/>
      <c r="D17" s="3" t="s">
        <v>1422</v>
      </c>
      <c r="E17" s="33">
        <f>E16/$B$18</f>
        <v>2697805.8214115654</v>
      </c>
    </row>
    <row r="18" spans="1:7">
      <c r="A18" s="10" t="s">
        <v>1404</v>
      </c>
      <c r="B18" s="35">
        <v>0.0575</v>
      </c>
      <c r="D18" s="3" t="s">
        <v>1423</v>
      </c>
      <c r="E18" s="14">
        <f>E10*((1+E9/12)^($B$15*12)-(1+E9/12)^($B$21*12))/((1+E9/12)^($B$15*12)-1)</f>
        <v>981351.6127126849</v>
      </c>
    </row>
    <row r="19" spans="1:7">
      <c r="A19" s="10" t="s">
        <v>1405</v>
      </c>
      <c r="B19" s="34">
        <v>0.03</v>
      </c>
      <c r="D19" s="3" t="s">
        <v>1424</v>
      </c>
      <c r="E19" s="33">
        <f>E17*(1-$B$22)-E18</f>
        <v>1662498.092270649</v>
      </c>
    </row>
    <row r="20" spans="1:7">
      <c r="A20" s="10" t="s">
        <v>1406</v>
      </c>
      <c r="B20" s="34">
        <v>0.025</v>
      </c>
      <c r="D20" s="3" t="s">
        <v>1425</v>
      </c>
      <c r="E20" s="37">
        <f>IRR(G28:G38)</f>
        <v>0.22481131800675067</v>
      </c>
    </row>
    <row r="21" spans="1:7">
      <c r="A21" s="10" t="s">
        <v>1407</v>
      </c>
      <c r="B21" s="15">
        <v>5</v>
      </c>
      <c r="D21" s="3" t="s">
        <v>1426</v>
      </c>
      <c r="E21" s="36">
        <f>SUM(G29:G38)/E11</f>
        <v>2.5683680048856083</v>
      </c>
    </row>
    <row r="22" spans="1:7">
      <c r="A22" s="10" t="s">
        <v>1408</v>
      </c>
      <c r="B22" s="34">
        <v>0.02</v>
      </c>
    </row>
    <row r="23" spans="1:7">
      <c r="A23" s="10" t="s">
        <v>1409</v>
      </c>
      <c r="B23" s="34">
        <v>0.02</v>
      </c>
    </row>
    <row r="26" spans="1:7">
      <c r="A26" s="1" t="s">
        <v>1427</v>
      </c>
    </row>
    <row r="27" spans="1:7">
      <c r="A27" s="20" t="s">
        <v>1428</v>
      </c>
      <c r="B27" s="20" t="s">
        <v>1429</v>
      </c>
      <c r="C27" s="20" t="s">
        <v>1430</v>
      </c>
      <c r="D27" s="20" t="s">
        <v>1431</v>
      </c>
      <c r="E27" s="20" t="s">
        <v>1432</v>
      </c>
      <c r="F27" s="20" t="s">
        <v>1433</v>
      </c>
      <c r="G27" s="20" t="s">
        <v>1434</v>
      </c>
    </row>
    <row r="28" spans="1:7">
      <c r="A28" s="39">
        <v>0</v>
      </c>
      <c r="B28" s="24"/>
      <c r="C28" s="24"/>
      <c r="D28" s="24"/>
      <c r="E28" s="24"/>
      <c r="F28" s="24"/>
      <c r="G28" s="14">
        <f>-E11</f>
        <v>-756000.0</v>
      </c>
    </row>
    <row r="29" spans="1:7">
      <c r="A29" s="39">
        <v>1</v>
      </c>
      <c r="B29" s="14">
        <f>IF(1&lt;=$B$21,($B$6*$B$8*(1-$B$9))*(1+$B$19)^1,0)</f>
        <v>233564.69520000002</v>
      </c>
      <c r="C29" s="14">
        <f>IF(1&lt;=$B$21,(($B$6*$B$8*(1-$B$9))*$B$10)*(1+$B$20)^1,0)</f>
        <v>97620.97211999998</v>
      </c>
      <c r="D29" s="14">
        <f>B29-C29</f>
        <v>135943.72308000003</v>
      </c>
      <c r="E29" s="14">
        <f>IF(1&lt;=$B$21,E12,0)</f>
        <v>89542.13366755907</v>
      </c>
      <c r="F29" s="14">
        <f>IF(1&lt;=$B$21,D29-E29,0)</f>
        <v>46401.58941244095</v>
      </c>
      <c r="G29" s="14">
        <f>F29+IF(1=$B$21,E19,0)</f>
        <v>46401.58941244095</v>
      </c>
    </row>
    <row r="30" spans="1:7">
      <c r="A30" s="39">
        <v>2</v>
      </c>
      <c r="B30" s="14">
        <f>IF(2&lt;=$B$21,($B$6*$B$8*(1-$B$9))*(1+$B$19)^2,0)</f>
        <v>240571.636056</v>
      </c>
      <c r="C30" s="14">
        <f>IF(2&lt;=$B$21,(($B$6*$B$8*(1-$B$9))*$B$10)*(1+$B$20)^2,0)</f>
        <v>100061.49642299998</v>
      </c>
      <c r="D30" s="14">
        <f>B30-C30</f>
        <v>140510.139633</v>
      </c>
      <c r="E30" s="14">
        <f>IF(2&lt;=$B$21,E12,0)</f>
        <v>89542.13366755907</v>
      </c>
      <c r="F30" s="14">
        <f>IF(2&lt;=$B$21,D30-E30,0)</f>
        <v>50968.00596544094</v>
      </c>
      <c r="G30" s="14">
        <f>F30+IF(2=$B$21,E19,0)</f>
        <v>50968.00596544094</v>
      </c>
    </row>
    <row r="31" spans="1:7">
      <c r="A31" s="39">
        <v>3</v>
      </c>
      <c r="B31" s="14">
        <f>IF(3&lt;=$B$21,($B$6*$B$8*(1-$B$9))*(1+$B$19)^3,0)</f>
        <v>247788.78513768</v>
      </c>
      <c r="C31" s="14">
        <f>IF(3&lt;=$B$21,(($B$6*$B$8*(1-$B$9))*$B$10)*(1+$B$20)^3,0)</f>
        <v>102563.03383357495</v>
      </c>
      <c r="D31" s="14">
        <f>B31-C31</f>
        <v>145225.75130410504</v>
      </c>
      <c r="E31" s="14">
        <f>IF(3&lt;=$B$21,E12,0)</f>
        <v>89542.13366755907</v>
      </c>
      <c r="F31" s="14">
        <f>IF(3&lt;=$B$21,D31-E31,0)</f>
        <v>55683.61763654597</v>
      </c>
      <c r="G31" s="14">
        <f>F31+IF(3=$B$21,E19,0)</f>
        <v>55683.61763654597</v>
      </c>
    </row>
    <row r="32" spans="1:7">
      <c r="A32" s="39">
        <v>4</v>
      </c>
      <c r="B32" s="14">
        <f>IF(4&lt;=$B$21,($B$6*$B$8*(1-$B$9))*(1+$B$19)^4,0)</f>
        <v>255222.44869181042</v>
      </c>
      <c r="C32" s="14">
        <f>IF(4&lt;=$B$21,(($B$6*$B$8*(1-$B$9))*$B$10)*(1+$B$20)^4,0)</f>
        <v>105127.10967941432</v>
      </c>
      <c r="D32" s="14">
        <f>B32-C32</f>
        <v>150095.3390123961</v>
      </c>
      <c r="E32" s="14">
        <f>IF(4&lt;=$B$21,E12,0)</f>
        <v>89542.13366755907</v>
      </c>
      <c r="F32" s="14">
        <f>IF(4&lt;=$B$21,D32-E32,0)</f>
        <v>60553.20534483704</v>
      </c>
      <c r="G32" s="14">
        <f>F32+IF(4=$B$21,E19,0)</f>
        <v>60553.20534483704</v>
      </c>
    </row>
    <row r="33" spans="1:7">
      <c r="A33" s="39">
        <v>5</v>
      </c>
      <c r="B33" s="14">
        <f>IF(5&lt;=$B$21,($B$6*$B$8*(1-$B$9))*(1+$B$19)^5,0)</f>
        <v>262879.1221525647</v>
      </c>
      <c r="C33" s="14">
        <f>IF(5&lt;=$B$21,(($B$6*$B$8*(1-$B$9))*$B$10)*(1+$B$20)^5,0)</f>
        <v>107755.28742139967</v>
      </c>
      <c r="D33" s="14">
        <f>B33-C33</f>
        <v>155123.83473116503</v>
      </c>
      <c r="E33" s="14">
        <f>IF(5&lt;=$B$21,E12,0)</f>
        <v>89542.13366755907</v>
      </c>
      <c r="F33" s="14">
        <f>IF(5&lt;=$B$21,D33-E33,0)</f>
        <v>65581.70106360596</v>
      </c>
      <c r="G33" s="14">
        <f>F33+IF(5=$B$21,E19,0)</f>
        <v>1728079.793334255</v>
      </c>
    </row>
    <row r="34" spans="1:7">
      <c r="A34" s="39">
        <v>6</v>
      </c>
      <c r="B34" s="14">
        <f>IF(6&lt;=$B$21,($B$6*$B$8*(1-$B$9))*(1+$B$19)^6,0)</f>
        <v>0</v>
      </c>
      <c r="C34" s="14">
        <f>IF(6&lt;=$B$21,(($B$6*$B$8*(1-$B$9))*$B$10)*(1+$B$20)^6,0)</f>
        <v>0</v>
      </c>
      <c r="D34" s="14">
        <f>B34-C34</f>
        <v>0</v>
      </c>
      <c r="E34" s="14">
        <f>IF(6&lt;=$B$21,E12,0)</f>
        <v>0</v>
      </c>
      <c r="F34" s="14">
        <f>IF(6&lt;=$B$21,D34-E34,0)</f>
        <v>0</v>
      </c>
      <c r="G34" s="14">
        <f>F34+IF(6=$B$21,E19,0)</f>
        <v>0</v>
      </c>
    </row>
    <row r="35" spans="1:7">
      <c r="A35" s="39">
        <v>7</v>
      </c>
      <c r="B35" s="14">
        <f>IF(7&lt;=$B$21,($B$6*$B$8*(1-$B$9))*(1+$B$19)^7,0)</f>
        <v>0</v>
      </c>
      <c r="C35" s="14">
        <f>IF(7&lt;=$B$21,(($B$6*$B$8*(1-$B$9))*$B$10)*(1+$B$20)^7,0)</f>
        <v>0</v>
      </c>
      <c r="D35" s="14">
        <f>B35-C35</f>
        <v>0</v>
      </c>
      <c r="E35" s="14">
        <f>IF(7&lt;=$B$21,E12,0)</f>
        <v>0</v>
      </c>
      <c r="F35" s="14">
        <f>IF(7&lt;=$B$21,D35-E35,0)</f>
        <v>0</v>
      </c>
      <c r="G35" s="14">
        <f>F35+IF(7=$B$21,E19,0)</f>
        <v>0</v>
      </c>
    </row>
    <row r="36" spans="1:7">
      <c r="A36" s="39">
        <v>8</v>
      </c>
      <c r="B36" s="14">
        <f>IF(8&lt;=$B$21,($B$6*$B$8*(1-$B$9))*(1+$B$19)^8,0)</f>
        <v>0</v>
      </c>
      <c r="C36" s="14">
        <f>IF(8&lt;=$B$21,(($B$6*$B$8*(1-$B$9))*$B$10)*(1+$B$20)^8,0)</f>
        <v>0</v>
      </c>
      <c r="D36" s="14">
        <f>B36-C36</f>
        <v>0</v>
      </c>
      <c r="E36" s="14">
        <f>IF(8&lt;=$B$21,E12,0)</f>
        <v>0</v>
      </c>
      <c r="F36" s="14">
        <f>IF(8&lt;=$B$21,D36-E36,0)</f>
        <v>0</v>
      </c>
      <c r="G36" s="14">
        <f>F36+IF(8=$B$21,E19,0)</f>
        <v>0</v>
      </c>
    </row>
    <row r="37" spans="1:7">
      <c r="A37" s="39">
        <v>9</v>
      </c>
      <c r="B37" s="14">
        <f>IF(9&lt;=$B$21,($B$6*$B$8*(1-$B$9))*(1+$B$19)^9,0)</f>
        <v>0</v>
      </c>
      <c r="C37" s="14">
        <f>IF(9&lt;=$B$21,(($B$6*$B$8*(1-$B$9))*$B$10)*(1+$B$20)^9,0)</f>
        <v>0</v>
      </c>
      <c r="D37" s="14">
        <f>B37-C37</f>
        <v>0</v>
      </c>
      <c r="E37" s="14">
        <f>IF(9&lt;=$B$21,E12,0)</f>
        <v>0</v>
      </c>
      <c r="F37" s="14">
        <f>IF(9&lt;=$B$21,D37-E37,0)</f>
        <v>0</v>
      </c>
      <c r="G37" s="14">
        <f>F37+IF(9=$B$21,E19,0)</f>
        <v>0</v>
      </c>
    </row>
    <row r="38" spans="1:7">
      <c r="A38" s="39">
        <v>10</v>
      </c>
      <c r="B38" s="14">
        <f>IF(10&lt;=$B$21,($B$6*$B$8*(1-$B$9))*(1+$B$19)^10,0)</f>
        <v>0</v>
      </c>
      <c r="C38" s="14">
        <f>IF(10&lt;=$B$21,(($B$6*$B$8*(1-$B$9))*$B$10)*(1+$B$20)^10,0)</f>
        <v>0</v>
      </c>
      <c r="D38" s="14">
        <f>B38-C38</f>
        <v>0</v>
      </c>
      <c r="E38" s="14">
        <f>IF(10&lt;=$B$21,E12,0)</f>
        <v>0</v>
      </c>
      <c r="F38" s="14">
        <f>IF(10&lt;=$B$21,D38-E38,0)</f>
        <v>0</v>
      </c>
      <c r="G38" s="14">
        <f>F38+IF(10=$B$21,E19,0)</f>
        <v>0</v>
      </c>
    </row>
    <row r="40" spans="1:7">
      <c r="A40" s="1" t="s">
        <v>1435</v>
      </c>
    </row>
    <row r="41" spans="1:7">
      <c r="A41" s="20" t="s">
        <v>1436</v>
      </c>
      <c r="B41" s="20" t="s">
        <v>1422</v>
      </c>
      <c r="C41" s="20" t="s">
        <v>1437</v>
      </c>
      <c r="D41" s="20" t="s">
        <v>1426</v>
      </c>
    </row>
    <row r="42" spans="1:7">
      <c r="A42" s="40">
        <v>0.05</v>
      </c>
      <c r="B42" s="14">
        <f>$E$16/A42</f>
        <v>3102476.6946233003</v>
      </c>
      <c r="C42" s="14">
        <f>B42*(1-$B$22)-$E$18</f>
        <v>2059075.548018149</v>
      </c>
      <c r="D42" s="36">
        <f>$E$21+(C42-$E$19)/$E$11</f>
        <v>3.092941359048968</v>
      </c>
    </row>
    <row r="43" spans="1:7">
      <c r="A43" s="40">
        <v>0.0525</v>
      </c>
      <c r="B43" s="14">
        <f>$E$16/A43</f>
        <v>2954739.7091650483</v>
      </c>
      <c r="C43" s="14">
        <f>B43*(1-$B$22)-$E$18</f>
        <v>1914293.3022690625</v>
      </c>
      <c r="D43" s="36">
        <f>$E$21+(C43-$E$19)/$E$11</f>
        <v>2.901430451973457</v>
      </c>
    </row>
    <row r="44" spans="1:7">
      <c r="A44" s="40">
        <v>0.055</v>
      </c>
      <c r="B44" s="14">
        <f>$E$16/A44</f>
        <v>2820433.358748455</v>
      </c>
      <c r="C44" s="14">
        <f>B44*(1-$B$22)-$E$18</f>
        <v>1782673.0788608007</v>
      </c>
      <c r="D44" s="36">
        <f>$E$21+(C44-$E$19)/$E$11</f>
        <v>2.727329627359354</v>
      </c>
    </row>
    <row r="45" spans="1:7">
      <c r="A45" s="41">
        <v>0.0575</v>
      </c>
      <c r="B45" s="14">
        <f>$E$16/A45</f>
        <v>2697805.8214115654</v>
      </c>
      <c r="C45" s="14">
        <f>B45*(1-$B$22)-$E$18</f>
        <v>1662498.092270649</v>
      </c>
      <c r="D45" s="36">
        <f>$E$21+(C45-$E$19)/$E$11</f>
        <v>2.5683680048856083</v>
      </c>
    </row>
    <row r="46" spans="1:7">
      <c r="A46" s="40">
        <v>0.06</v>
      </c>
      <c r="B46" s="14">
        <f>$E$16/A46</f>
        <v>2585397.2455194173</v>
      </c>
      <c r="C46" s="14">
        <f>B46*(1-$B$22)-$E$18</f>
        <v>1552337.6878963439</v>
      </c>
      <c r="D46" s="36">
        <f>$E$21+(C46-$E$19)/$E$11</f>
        <v>2.4226531842846755</v>
      </c>
    </row>
    <row r="47" spans="1:7">
      <c r="A47" s="40">
        <v>0.0625</v>
      </c>
      <c r="B47" s="14">
        <f>$E$16/A47</f>
        <v>2481981.3556986405</v>
      </c>
      <c r="C47" s="14">
        <f>B47*(1-$B$22)-$E$18</f>
        <v>1450990.1158719826</v>
      </c>
      <c r="D47" s="36">
        <f>$E$21+(C47-$E$19)/$E$11</f>
        <v>2.288595549331817</v>
      </c>
    </row>
    <row r="48" spans="1:7">
      <c r="A48" s="40">
        <v>0.065</v>
      </c>
      <c r="B48" s="14">
        <f>$E$16/A48</f>
        <v>2386520.534325616</v>
      </c>
      <c r="C48" s="14">
        <f>B48*(1-$B$22)-$E$18</f>
        <v>1357438.5109264185</v>
      </c>
      <c r="D48" s="36">
        <f>$E$21+(C48-$E$19)/$E$11</f>
        <v>2.1648500401445627</v>
      </c>
    </row>
    <row r="49" spans="1:4">
      <c r="A49" s="40">
        <v>0.0675</v>
      </c>
      <c r="B49" s="14">
        <f>$E$16/A49</f>
        <v>2298130.8849061485</v>
      </c>
      <c r="C49" s="14">
        <f>B49*(1-$B$22)-$E$18</f>
        <v>1270816.6544953403</v>
      </c>
      <c r="D49" s="36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1" width="12.7109375" customWidth="1"/>
  </cols>
  <sheetData>
    <row r="1" spans="1:11">
      <c r="A1" s="1" t="s">
        <v>1438</v>
      </c>
    </row>
    <row r="2" spans="1:11" ht="30" customHeight="1">
      <c r="A2" s="2" t="s">
        <v>1439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>
      <c r="A4" s="20" t="s">
        <v>218</v>
      </c>
      <c r="B4" s="20" t="s">
        <v>1384</v>
      </c>
      <c r="C4" s="20" t="s">
        <v>1073</v>
      </c>
      <c r="D4" s="20" t="s">
        <v>1122</v>
      </c>
      <c r="E4" s="20" t="s">
        <v>1440</v>
      </c>
      <c r="F4" s="20" t="s">
        <v>1379</v>
      </c>
      <c r="G4" s="20" t="s">
        <v>1441</v>
      </c>
      <c r="H4" s="20" t="s">
        <v>1442</v>
      </c>
      <c r="I4" s="20" t="s">
        <v>1443</v>
      </c>
      <c r="J4" s="20" t="s">
        <v>1444</v>
      </c>
      <c r="K4" s="20" t="s">
        <v>131</v>
      </c>
    </row>
    <row r="5" spans="1:11">
      <c r="A5" s="4" t="s">
        <v>66</v>
      </c>
      <c r="B5" s="4" t="s">
        <v>1385</v>
      </c>
      <c r="C5" s="22">
        <v>177</v>
      </c>
      <c r="D5" s="21">
        <v>90</v>
      </c>
      <c r="E5" s="21">
        <v>21</v>
      </c>
      <c r="F5" s="22">
        <v>18</v>
      </c>
      <c r="G5" s="24" t="s">
        <v>237</v>
      </c>
      <c r="H5" s="42">
        <v>0.06</v>
      </c>
      <c r="I5" s="42">
        <v>0.42</v>
      </c>
      <c r="J5" s="23">
        <v>0.055</v>
      </c>
      <c r="K5" s="23">
        <v>0.0524</v>
      </c>
    </row>
    <row r="6" spans="1:11">
      <c r="A6" s="4" t="s">
        <v>69</v>
      </c>
      <c r="B6" s="4" t="s">
        <v>1386</v>
      </c>
      <c r="C6" s="22">
        <v>197</v>
      </c>
      <c r="D6" s="21">
        <v>29</v>
      </c>
      <c r="E6" s="21">
        <v>3</v>
      </c>
      <c r="F6" s="22">
        <v>34</v>
      </c>
      <c r="G6" s="22">
        <v>17</v>
      </c>
      <c r="H6" s="42">
        <v>0.15</v>
      </c>
      <c r="I6" s="42">
        <v>0.45</v>
      </c>
      <c r="J6" s="23">
        <v>0.08</v>
      </c>
      <c r="K6" s="23">
        <v>0.0906</v>
      </c>
    </row>
    <row r="7" spans="1:11">
      <c r="A7" s="4" t="s">
        <v>70</v>
      </c>
      <c r="B7" s="4" t="s">
        <v>1387</v>
      </c>
      <c r="C7" s="22">
        <v>247</v>
      </c>
      <c r="D7" s="21">
        <v>25</v>
      </c>
      <c r="E7" s="21">
        <v>6</v>
      </c>
      <c r="F7" s="22">
        <v>23</v>
      </c>
      <c r="G7" s="22">
        <v>28</v>
      </c>
      <c r="H7" s="42">
        <v>0.08</v>
      </c>
      <c r="I7" s="42">
        <v>0.22</v>
      </c>
      <c r="J7" s="23">
        <v>0.0675</v>
      </c>
      <c r="K7" s="23">
        <v>0.0672</v>
      </c>
    </row>
    <row r="8" spans="1:11">
      <c r="A8" s="4" t="s">
        <v>67</v>
      </c>
      <c r="B8" s="4" t="s">
        <v>1385</v>
      </c>
      <c r="C8" s="22">
        <v>150</v>
      </c>
      <c r="D8" s="21">
        <v>34</v>
      </c>
      <c r="E8" s="21">
        <v>11</v>
      </c>
      <c r="F8" s="22">
        <v>12</v>
      </c>
      <c r="G8" s="22">
        <v>19.4</v>
      </c>
      <c r="H8" s="42">
        <v>0.05</v>
      </c>
      <c r="I8" s="42">
        <v>0.15</v>
      </c>
      <c r="J8" s="23">
        <v>0.0625</v>
      </c>
      <c r="K8" s="23">
        <v>0.0658</v>
      </c>
    </row>
    <row r="9" spans="1:11">
      <c r="A9" s="4" t="s">
        <v>68</v>
      </c>
      <c r="B9" s="4" t="s">
        <v>1387</v>
      </c>
      <c r="C9" s="22">
        <v>136</v>
      </c>
      <c r="D9" s="21">
        <v>33</v>
      </c>
      <c r="E9" s="21">
        <v>5</v>
      </c>
      <c r="F9" s="22">
        <v>16</v>
      </c>
      <c r="G9" s="22">
        <v>20.2</v>
      </c>
      <c r="H9" s="42">
        <v>0.1</v>
      </c>
      <c r="I9" s="42">
        <v>0.35</v>
      </c>
      <c r="J9" s="23">
        <v>0.0675</v>
      </c>
      <c r="K9" s="23">
        <v>0.06859999999999999</v>
      </c>
    </row>
    <row r="10" spans="1:11">
      <c r="A10" s="4" t="s">
        <v>71</v>
      </c>
      <c r="B10" s="4" t="s">
        <v>1386</v>
      </c>
      <c r="C10" s="22">
        <v>347</v>
      </c>
      <c r="D10" s="21">
        <v>11</v>
      </c>
      <c r="E10" s="21">
        <v>0</v>
      </c>
      <c r="F10" s="22">
        <v>100</v>
      </c>
      <c r="G10" s="24" t="s">
        <v>237</v>
      </c>
      <c r="H10" s="42">
        <v>0.3</v>
      </c>
      <c r="I10" s="42">
        <v>0.62</v>
      </c>
      <c r="J10" s="23">
        <v>0.08500000000000001</v>
      </c>
      <c r="K10" s="23">
        <v>0.0665</v>
      </c>
    </row>
    <row r="11" spans="1:11">
      <c r="A11" s="4" t="s">
        <v>72</v>
      </c>
      <c r="B11" s="4" t="s">
        <v>1386</v>
      </c>
      <c r="C11" s="22">
        <v>365</v>
      </c>
      <c r="D11" s="21">
        <v>8</v>
      </c>
      <c r="E11" s="21">
        <v>3</v>
      </c>
      <c r="F11" s="22">
        <v>33</v>
      </c>
      <c r="G11" s="22">
        <v>22.6</v>
      </c>
      <c r="H11" s="42">
        <v>0.1</v>
      </c>
      <c r="I11" s="42">
        <v>0.2</v>
      </c>
      <c r="J11" s="23">
        <v>0.065</v>
      </c>
      <c r="K11" s="23">
        <v>0.08210000000000001</v>
      </c>
    </row>
    <row r="12" spans="1:11">
      <c r="A12" s="4" t="s">
        <v>73</v>
      </c>
      <c r="B12" s="4" t="s">
        <v>1386</v>
      </c>
      <c r="C12" s="22">
        <v>345</v>
      </c>
      <c r="D12" s="21">
        <v>3</v>
      </c>
      <c r="E12" s="21">
        <v>0</v>
      </c>
      <c r="F12" s="22">
        <v>20</v>
      </c>
      <c r="G12" s="24" t="s">
        <v>237</v>
      </c>
      <c r="H12" s="42">
        <v>0.08</v>
      </c>
      <c r="I12" s="42">
        <v>0.2</v>
      </c>
      <c r="J12" s="23">
        <v>0.07000000000000001</v>
      </c>
      <c r="K12" s="23">
        <v>0.0427</v>
      </c>
    </row>
    <row r="13" spans="1:11">
      <c r="A13" s="4" t="s">
        <v>74</v>
      </c>
      <c r="B13" s="4" t="s">
        <v>1386</v>
      </c>
      <c r="C13" s="22">
        <v>319</v>
      </c>
      <c r="D13" s="21">
        <v>2</v>
      </c>
      <c r="E13" s="21">
        <v>0</v>
      </c>
      <c r="F13" s="22">
        <v>22</v>
      </c>
      <c r="G13" s="22">
        <v>7.3</v>
      </c>
      <c r="H13" s="42">
        <v>0.15</v>
      </c>
      <c r="I13" s="42">
        <v>0.3</v>
      </c>
      <c r="J13" s="23">
        <v>0.075</v>
      </c>
      <c r="K13" s="23">
        <v>0.0522</v>
      </c>
    </row>
    <row r="14" spans="1:11">
      <c r="A14" s="4" t="s">
        <v>65</v>
      </c>
      <c r="B14" s="4" t="s">
        <v>1385</v>
      </c>
      <c r="C14" s="22">
        <v>195</v>
      </c>
      <c r="D14" s="21">
        <v>96</v>
      </c>
      <c r="E14" s="21">
        <v>20</v>
      </c>
      <c r="F14" s="22">
        <v>22</v>
      </c>
      <c r="G14" s="22">
        <v>26.5</v>
      </c>
      <c r="H14" s="42">
        <v>0.12</v>
      </c>
      <c r="I14" s="42">
        <v>0.3</v>
      </c>
      <c r="J14" s="23">
        <v>0.07000000000000001</v>
      </c>
      <c r="K14" s="23">
        <v>0.0644</v>
      </c>
    </row>
  </sheetData>
  <autoFilter ref="A4:K14"/>
  <mergeCells count="1">
    <mergeCell ref="A2:K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1445</v>
      </c>
    </row>
    <row r="2" spans="1:9" ht="30" customHeight="1">
      <c r="A2" s="2" t="s">
        <v>1446</v>
      </c>
      <c r="B2" s="2"/>
      <c r="C2" s="2"/>
      <c r="D2" s="2"/>
      <c r="E2" s="2"/>
      <c r="F2" s="2"/>
      <c r="G2" s="2"/>
      <c r="H2" s="2"/>
      <c r="I2" s="2"/>
    </row>
    <row r="4" spans="1:9">
      <c r="A4" s="20" t="s">
        <v>218</v>
      </c>
      <c r="B4" s="20" t="s">
        <v>1122</v>
      </c>
      <c r="C4" s="20" t="s">
        <v>1440</v>
      </c>
      <c r="D4" s="20" t="s">
        <v>1447</v>
      </c>
      <c r="E4" s="20" t="s">
        <v>1073</v>
      </c>
      <c r="F4" s="20" t="s">
        <v>985</v>
      </c>
    </row>
    <row r="5" spans="1:9">
      <c r="A5" s="4" t="s">
        <v>65</v>
      </c>
      <c r="B5" s="21">
        <v>96</v>
      </c>
      <c r="C5" s="21">
        <v>20</v>
      </c>
      <c r="D5" s="21">
        <v>13</v>
      </c>
      <c r="E5" s="22">
        <v>194.5</v>
      </c>
      <c r="F5" s="26">
        <v>11.7</v>
      </c>
    </row>
    <row r="6" spans="1:9">
      <c r="A6" s="4" t="s">
        <v>66</v>
      </c>
      <c r="B6" s="21">
        <v>90</v>
      </c>
      <c r="C6" s="21">
        <v>21</v>
      </c>
      <c r="D6" s="21">
        <v>16</v>
      </c>
      <c r="E6" s="22">
        <v>177.5</v>
      </c>
      <c r="F6" s="26">
        <v>13.7</v>
      </c>
    </row>
    <row r="7" spans="1:9">
      <c r="A7" s="4" t="s">
        <v>67</v>
      </c>
      <c r="B7" s="21">
        <v>34</v>
      </c>
      <c r="C7" s="21">
        <v>11</v>
      </c>
      <c r="D7" s="21">
        <v>3</v>
      </c>
      <c r="E7" s="22">
        <v>149.5</v>
      </c>
      <c r="F7" s="26">
        <v>4.9</v>
      </c>
    </row>
    <row r="8" spans="1:9">
      <c r="A8" s="4" t="s">
        <v>68</v>
      </c>
      <c r="B8" s="21">
        <v>33</v>
      </c>
      <c r="C8" s="21">
        <v>5</v>
      </c>
      <c r="D8" s="21">
        <v>9</v>
      </c>
      <c r="E8" s="22">
        <v>136</v>
      </c>
      <c r="F8" s="26">
        <v>32.4</v>
      </c>
    </row>
    <row r="9" spans="1:9">
      <c r="A9" s="4" t="s">
        <v>69</v>
      </c>
      <c r="B9" s="21">
        <v>29</v>
      </c>
      <c r="C9" s="21">
        <v>3</v>
      </c>
      <c r="D9" s="21">
        <v>5</v>
      </c>
      <c r="E9" s="22">
        <v>197</v>
      </c>
      <c r="F9" s="26">
        <v>30</v>
      </c>
    </row>
    <row r="10" spans="1:9">
      <c r="A10" s="4" t="s">
        <v>70</v>
      </c>
      <c r="B10" s="21">
        <v>25</v>
      </c>
      <c r="C10" s="21">
        <v>6</v>
      </c>
      <c r="D10" s="21">
        <v>5</v>
      </c>
      <c r="E10" s="22">
        <v>247</v>
      </c>
      <c r="F10" s="26">
        <v>15</v>
      </c>
    </row>
    <row r="11" spans="1:9">
      <c r="A11" s="4" t="s">
        <v>71</v>
      </c>
      <c r="B11" s="21">
        <v>11</v>
      </c>
      <c r="C11" s="21">
        <v>0</v>
      </c>
      <c r="D11" s="21">
        <v>2</v>
      </c>
      <c r="E11" s="22">
        <v>347</v>
      </c>
      <c r="F11" s="24" t="s">
        <v>237</v>
      </c>
    </row>
    <row r="12" spans="1:9">
      <c r="A12" s="4" t="s">
        <v>72</v>
      </c>
      <c r="B12" s="21">
        <v>8</v>
      </c>
      <c r="C12" s="21">
        <v>3</v>
      </c>
      <c r="D12" s="21">
        <v>1</v>
      </c>
      <c r="E12" s="22">
        <v>364.5</v>
      </c>
      <c r="F12" s="26">
        <v>6</v>
      </c>
    </row>
    <row r="13" spans="1:9">
      <c r="A13" s="4" t="s">
        <v>73</v>
      </c>
      <c r="B13" s="21">
        <v>3</v>
      </c>
      <c r="C13" s="21">
        <v>0</v>
      </c>
      <c r="D13" s="21">
        <v>1</v>
      </c>
      <c r="E13" s="22">
        <v>345</v>
      </c>
      <c r="F13" s="24" t="s">
        <v>237</v>
      </c>
    </row>
    <row r="14" spans="1:9">
      <c r="A14" s="4" t="s">
        <v>74</v>
      </c>
      <c r="B14" s="21">
        <v>2</v>
      </c>
      <c r="C14" s="21">
        <v>0</v>
      </c>
      <c r="D14" s="21">
        <v>1</v>
      </c>
      <c r="E14" s="22">
        <v>319</v>
      </c>
      <c r="F14" s="24" t="s">
        <v>237</v>
      </c>
    </row>
  </sheetData>
  <autoFilter ref="A4:F14"/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98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6.7109375" customWidth="1"/>
    <col min="3" max="4" width="15.7109375" customWidth="1"/>
    <col min="5" max="14" width="11.7109375" customWidth="1"/>
  </cols>
  <sheetData>
    <row r="1" spans="1:14">
      <c r="A1" s="1" t="s">
        <v>1448</v>
      </c>
    </row>
    <row r="2" spans="1:14" ht="30" customHeight="1">
      <c r="A2" s="2" t="s">
        <v>1449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>
      <c r="A4" s="20" t="s">
        <v>1450</v>
      </c>
      <c r="B4" s="20" t="s">
        <v>217</v>
      </c>
      <c r="C4" s="20" t="s">
        <v>978</v>
      </c>
      <c r="D4" s="20" t="s">
        <v>218</v>
      </c>
      <c r="E4" s="20" t="s">
        <v>220</v>
      </c>
      <c r="F4" s="20" t="s">
        <v>1451</v>
      </c>
      <c r="G4" s="20" t="s">
        <v>1145</v>
      </c>
      <c r="H4" s="20" t="s">
        <v>222</v>
      </c>
      <c r="I4" s="20" t="s">
        <v>1115</v>
      </c>
      <c r="J4" s="20" t="s">
        <v>1428</v>
      </c>
      <c r="K4" s="20" t="s">
        <v>134</v>
      </c>
      <c r="L4" s="20" t="s">
        <v>168</v>
      </c>
      <c r="M4" s="20" t="s">
        <v>1452</v>
      </c>
      <c r="N4" s="20" t="s">
        <v>1453</v>
      </c>
    </row>
    <row r="5" spans="1:14">
      <c r="A5" s="4" t="s">
        <v>1454</v>
      </c>
      <c r="B5" s="4" t="s">
        <v>1455</v>
      </c>
      <c r="C5" s="4" t="s">
        <v>107</v>
      </c>
      <c r="D5" s="4" t="s">
        <v>71</v>
      </c>
      <c r="E5" s="4" t="s">
        <v>1440</v>
      </c>
      <c r="F5" s="4" t="s">
        <v>1456</v>
      </c>
      <c r="G5" s="22">
        <v>11000000</v>
      </c>
      <c r="H5" s="24"/>
      <c r="I5" s="24"/>
      <c r="J5" s="21">
        <v>1957</v>
      </c>
      <c r="K5" s="4" t="s">
        <v>98</v>
      </c>
      <c r="L5" s="24"/>
      <c r="M5" s="4"/>
      <c r="N5" s="4" t="s">
        <v>1457</v>
      </c>
    </row>
    <row r="6" spans="1:14">
      <c r="A6" s="4" t="s">
        <v>1458</v>
      </c>
      <c r="B6" s="4" t="s">
        <v>1178</v>
      </c>
      <c r="C6" s="4" t="s">
        <v>78</v>
      </c>
      <c r="D6" s="4" t="s">
        <v>66</v>
      </c>
      <c r="E6" s="4" t="s">
        <v>1440</v>
      </c>
      <c r="F6" s="4" t="s">
        <v>1456</v>
      </c>
      <c r="G6" s="22">
        <v>6300000</v>
      </c>
      <c r="H6" s="21">
        <v>35087</v>
      </c>
      <c r="I6" s="22">
        <v>179.5536808504574</v>
      </c>
      <c r="J6" s="21">
        <v>1972</v>
      </c>
      <c r="K6" s="4" t="s">
        <v>97</v>
      </c>
      <c r="L6" s="24"/>
      <c r="M6" s="4"/>
      <c r="N6" s="4" t="s">
        <v>1459</v>
      </c>
    </row>
    <row r="7" spans="1:14">
      <c r="A7" s="4" t="s">
        <v>1460</v>
      </c>
      <c r="B7" s="4" t="s">
        <v>1183</v>
      </c>
      <c r="C7" s="4" t="s">
        <v>114</v>
      </c>
      <c r="D7" s="4" t="s">
        <v>65</v>
      </c>
      <c r="E7" s="4" t="s">
        <v>1440</v>
      </c>
      <c r="F7" s="4" t="s">
        <v>1456</v>
      </c>
      <c r="G7" s="22">
        <v>4500000</v>
      </c>
      <c r="H7" s="21">
        <v>25024</v>
      </c>
      <c r="I7" s="22">
        <v>179.8273657289002</v>
      </c>
      <c r="J7" s="21">
        <v>1962</v>
      </c>
      <c r="K7" s="4" t="s">
        <v>96</v>
      </c>
      <c r="L7" s="24"/>
      <c r="M7" s="4"/>
      <c r="N7" s="24" t="s">
        <v>237</v>
      </c>
    </row>
    <row r="8" spans="1:14">
      <c r="A8" s="4" t="s">
        <v>1461</v>
      </c>
      <c r="B8" s="4" t="s">
        <v>1201</v>
      </c>
      <c r="C8" s="4" t="s">
        <v>120</v>
      </c>
      <c r="D8" s="4" t="s">
        <v>66</v>
      </c>
      <c r="E8" s="4" t="s">
        <v>1440</v>
      </c>
      <c r="F8" s="4" t="s">
        <v>1456</v>
      </c>
      <c r="G8" s="22">
        <v>3767690</v>
      </c>
      <c r="H8" s="21">
        <v>10125</v>
      </c>
      <c r="I8" s="22">
        <v>372.1175308641975</v>
      </c>
      <c r="J8" s="21">
        <v>1959</v>
      </c>
      <c r="K8" s="4" t="s">
        <v>96</v>
      </c>
      <c r="L8" s="24"/>
      <c r="M8" s="4"/>
      <c r="N8" s="4" t="s">
        <v>1462</v>
      </c>
    </row>
    <row r="9" spans="1:14">
      <c r="A9" s="4" t="s">
        <v>1463</v>
      </c>
      <c r="B9" s="4" t="s">
        <v>1464</v>
      </c>
      <c r="C9" s="4" t="s">
        <v>80</v>
      </c>
      <c r="D9" s="4" t="s">
        <v>65</v>
      </c>
      <c r="E9" s="4" t="s">
        <v>1440</v>
      </c>
      <c r="F9" s="4" t="s">
        <v>1456</v>
      </c>
      <c r="G9" s="22">
        <v>30</v>
      </c>
      <c r="H9" s="21">
        <v>18597</v>
      </c>
      <c r="I9" s="22">
        <v>0.001613163413453783</v>
      </c>
      <c r="J9" s="21">
        <v>1974</v>
      </c>
      <c r="K9" s="4" t="s">
        <v>95</v>
      </c>
      <c r="L9" s="24"/>
      <c r="M9" s="4"/>
      <c r="N9" s="4" t="s">
        <v>1465</v>
      </c>
    </row>
    <row r="10" spans="1:14">
      <c r="A10" s="4" t="s">
        <v>1466</v>
      </c>
      <c r="B10" s="4" t="s">
        <v>1211</v>
      </c>
      <c r="C10" s="4" t="s">
        <v>77</v>
      </c>
      <c r="D10" s="4" t="s">
        <v>65</v>
      </c>
      <c r="E10" s="4" t="s">
        <v>1440</v>
      </c>
      <c r="F10" s="4" t="s">
        <v>1456</v>
      </c>
      <c r="G10" s="22">
        <v>3450000</v>
      </c>
      <c r="H10" s="21">
        <v>31542</v>
      </c>
      <c r="I10" s="22">
        <v>109.3779722275062</v>
      </c>
      <c r="J10" s="21">
        <v>1963</v>
      </c>
      <c r="K10" s="4" t="s">
        <v>96</v>
      </c>
      <c r="L10" s="24"/>
      <c r="M10" s="4"/>
      <c r="N10" s="4" t="s">
        <v>1467</v>
      </c>
    </row>
    <row r="11" spans="1:14">
      <c r="A11" s="4" t="s">
        <v>1468</v>
      </c>
      <c r="B11" s="4" t="s">
        <v>1191</v>
      </c>
      <c r="C11" s="4" t="s">
        <v>80</v>
      </c>
      <c r="D11" s="4" t="s">
        <v>67</v>
      </c>
      <c r="E11" s="4" t="s">
        <v>1440</v>
      </c>
      <c r="F11" s="4" t="s">
        <v>1456</v>
      </c>
      <c r="G11" s="22">
        <v>4050000</v>
      </c>
      <c r="H11" s="21">
        <v>31764</v>
      </c>
      <c r="I11" s="22">
        <v>127.5028333962977</v>
      </c>
      <c r="J11" s="21">
        <v>1957</v>
      </c>
      <c r="K11" s="4" t="s">
        <v>96</v>
      </c>
      <c r="L11" s="24"/>
      <c r="M11" s="4"/>
      <c r="N11" s="4" t="s">
        <v>1469</v>
      </c>
    </row>
    <row r="12" spans="1:14">
      <c r="A12" s="4" t="s">
        <v>1470</v>
      </c>
      <c r="B12" s="4" t="s">
        <v>1190</v>
      </c>
      <c r="C12" s="4" t="s">
        <v>117</v>
      </c>
      <c r="D12" s="4" t="s">
        <v>66</v>
      </c>
      <c r="E12" s="4" t="s">
        <v>1440</v>
      </c>
      <c r="F12" s="4" t="s">
        <v>1456</v>
      </c>
      <c r="G12" s="22">
        <v>3000000</v>
      </c>
      <c r="H12" s="21">
        <v>9445</v>
      </c>
      <c r="I12" s="22">
        <v>317.6283748014823</v>
      </c>
      <c r="J12" s="21">
        <v>1946</v>
      </c>
      <c r="K12" s="4" t="s">
        <v>96</v>
      </c>
      <c r="L12" s="24"/>
      <c r="M12" s="4"/>
      <c r="N12" s="4" t="s">
        <v>1471</v>
      </c>
    </row>
    <row r="13" spans="1:14">
      <c r="A13" s="4" t="s">
        <v>1472</v>
      </c>
      <c r="B13" s="4" t="s">
        <v>291</v>
      </c>
      <c r="C13" s="4" t="s">
        <v>76</v>
      </c>
      <c r="D13" s="4" t="s">
        <v>66</v>
      </c>
      <c r="E13" s="4" t="s">
        <v>1440</v>
      </c>
      <c r="F13" s="4" t="s">
        <v>1456</v>
      </c>
      <c r="G13" s="22">
        <v>3900000</v>
      </c>
      <c r="H13" s="24"/>
      <c r="I13" s="24"/>
      <c r="J13" s="21">
        <v>1973</v>
      </c>
      <c r="K13" s="4" t="s">
        <v>96</v>
      </c>
      <c r="L13" s="24"/>
      <c r="M13" s="4"/>
      <c r="N13" s="4" t="s">
        <v>1473</v>
      </c>
    </row>
    <row r="14" spans="1:14">
      <c r="A14" s="4" t="s">
        <v>1474</v>
      </c>
      <c r="B14" s="4" t="s">
        <v>1156</v>
      </c>
      <c r="C14" s="4" t="s">
        <v>109</v>
      </c>
      <c r="D14" s="4" t="s">
        <v>65</v>
      </c>
      <c r="E14" s="4" t="s">
        <v>1440</v>
      </c>
      <c r="F14" s="4" t="s">
        <v>1456</v>
      </c>
      <c r="G14" s="22">
        <v>3450000</v>
      </c>
      <c r="H14" s="21">
        <v>17001</v>
      </c>
      <c r="I14" s="22">
        <v>202.9292394565026</v>
      </c>
      <c r="J14" s="21">
        <v>1964</v>
      </c>
      <c r="K14" s="4" t="s">
        <v>96</v>
      </c>
      <c r="L14" s="24"/>
      <c r="M14" s="4"/>
      <c r="N14" s="4" t="s">
        <v>1475</v>
      </c>
    </row>
    <row r="15" spans="1:14">
      <c r="A15" s="4" t="s">
        <v>1476</v>
      </c>
      <c r="B15" s="4" t="s">
        <v>1155</v>
      </c>
      <c r="C15" s="4" t="s">
        <v>108</v>
      </c>
      <c r="D15" s="4" t="s">
        <v>68</v>
      </c>
      <c r="E15" s="4" t="s">
        <v>1440</v>
      </c>
      <c r="F15" s="4" t="s">
        <v>1456</v>
      </c>
      <c r="G15" s="22">
        <v>3500000</v>
      </c>
      <c r="H15" s="21">
        <v>36491</v>
      </c>
      <c r="I15" s="22">
        <v>95.9140610013428</v>
      </c>
      <c r="J15" s="21">
        <v>1960</v>
      </c>
      <c r="K15" s="4" t="s">
        <v>96</v>
      </c>
      <c r="L15" s="24"/>
      <c r="M15" s="4"/>
      <c r="N15" s="4" t="s">
        <v>1477</v>
      </c>
    </row>
    <row r="16" spans="1:14">
      <c r="A16" s="4" t="s">
        <v>1478</v>
      </c>
      <c r="B16" s="4" t="s">
        <v>1202</v>
      </c>
      <c r="C16" s="4" t="s">
        <v>120</v>
      </c>
      <c r="D16" s="4" t="s">
        <v>65</v>
      </c>
      <c r="E16" s="4" t="s">
        <v>1440</v>
      </c>
      <c r="F16" s="4" t="s">
        <v>1456</v>
      </c>
      <c r="G16" s="22">
        <v>3200000</v>
      </c>
      <c r="H16" s="21">
        <v>6997</v>
      </c>
      <c r="I16" s="22">
        <v>457.3388595112191</v>
      </c>
      <c r="J16" s="21">
        <v>1964</v>
      </c>
      <c r="K16" s="4" t="s">
        <v>96</v>
      </c>
      <c r="L16" s="24"/>
      <c r="M16" s="4"/>
      <c r="N16" s="4" t="s">
        <v>1479</v>
      </c>
    </row>
    <row r="17" spans="1:14">
      <c r="A17" s="4" t="s">
        <v>1480</v>
      </c>
      <c r="B17" s="4" t="s">
        <v>1149</v>
      </c>
      <c r="C17" s="4" t="s">
        <v>59</v>
      </c>
      <c r="D17" s="4" t="s">
        <v>66</v>
      </c>
      <c r="E17" s="4" t="s">
        <v>1440</v>
      </c>
      <c r="F17" s="4" t="s">
        <v>1456</v>
      </c>
      <c r="G17" s="22">
        <v>2700000</v>
      </c>
      <c r="H17" s="21">
        <v>12500</v>
      </c>
      <c r="I17" s="22">
        <v>216</v>
      </c>
      <c r="J17" s="21">
        <v>1959</v>
      </c>
      <c r="K17" s="4" t="s">
        <v>96</v>
      </c>
      <c r="L17" s="24"/>
      <c r="M17" s="4"/>
      <c r="N17" s="4" t="s">
        <v>1481</v>
      </c>
    </row>
    <row r="18" spans="1:14">
      <c r="A18" s="4" t="s">
        <v>1482</v>
      </c>
      <c r="B18" s="4" t="s">
        <v>1185</v>
      </c>
      <c r="C18" s="4" t="s">
        <v>115</v>
      </c>
      <c r="D18" s="4" t="s">
        <v>67</v>
      </c>
      <c r="E18" s="4" t="s">
        <v>1440</v>
      </c>
      <c r="F18" s="4" t="s">
        <v>1456</v>
      </c>
      <c r="G18" s="22">
        <v>2575000</v>
      </c>
      <c r="H18" s="21">
        <v>20250</v>
      </c>
      <c r="I18" s="22">
        <v>127.1604938271605</v>
      </c>
      <c r="J18" s="21">
        <v>1953</v>
      </c>
      <c r="K18" s="4" t="s">
        <v>96</v>
      </c>
      <c r="L18" s="24"/>
      <c r="M18" s="4"/>
      <c r="N18" s="4" t="s">
        <v>1483</v>
      </c>
    </row>
    <row r="19" spans="1:14">
      <c r="A19" s="4" t="s">
        <v>1484</v>
      </c>
      <c r="B19" s="4" t="s">
        <v>1157</v>
      </c>
      <c r="C19" s="4" t="s">
        <v>109</v>
      </c>
      <c r="D19" s="4" t="s">
        <v>66</v>
      </c>
      <c r="E19" s="4" t="s">
        <v>1440</v>
      </c>
      <c r="F19" s="4" t="s">
        <v>1456</v>
      </c>
      <c r="G19" s="22">
        <v>2700000</v>
      </c>
      <c r="H19" s="21">
        <v>22496</v>
      </c>
      <c r="I19" s="22">
        <v>120.0213371266003</v>
      </c>
      <c r="J19" s="21">
        <v>1957</v>
      </c>
      <c r="K19" s="4" t="s">
        <v>96</v>
      </c>
      <c r="L19" s="24"/>
      <c r="M19" s="4"/>
      <c r="N19" s="4" t="s">
        <v>1473</v>
      </c>
    </row>
    <row r="20" spans="1:14">
      <c r="A20" s="4" t="s">
        <v>1485</v>
      </c>
      <c r="B20" s="4" t="s">
        <v>1167</v>
      </c>
      <c r="C20" s="4" t="s">
        <v>79</v>
      </c>
      <c r="D20" s="4" t="s">
        <v>66</v>
      </c>
      <c r="E20" s="4" t="s">
        <v>1440</v>
      </c>
      <c r="F20" s="4" t="s">
        <v>1456</v>
      </c>
      <c r="G20" s="22">
        <v>2600000</v>
      </c>
      <c r="H20" s="21">
        <v>13683</v>
      </c>
      <c r="I20" s="22">
        <v>190.0168091792736</v>
      </c>
      <c r="J20" s="21">
        <v>1971</v>
      </c>
      <c r="K20" s="4" t="s">
        <v>96</v>
      </c>
      <c r="L20" s="24"/>
      <c r="M20" s="4"/>
      <c r="N20" s="4" t="s">
        <v>1486</v>
      </c>
    </row>
    <row r="21" spans="1:14">
      <c r="A21" s="4" t="s">
        <v>1487</v>
      </c>
      <c r="B21" s="4" t="s">
        <v>1158</v>
      </c>
      <c r="C21" s="4" t="s">
        <v>110</v>
      </c>
      <c r="D21" s="4" t="s">
        <v>66</v>
      </c>
      <c r="E21" s="4" t="s">
        <v>1440</v>
      </c>
      <c r="F21" s="4" t="s">
        <v>1456</v>
      </c>
      <c r="G21" s="22">
        <v>2550000</v>
      </c>
      <c r="H21" s="21">
        <v>12960</v>
      </c>
      <c r="I21" s="22">
        <v>196.7592592592593</v>
      </c>
      <c r="J21" s="21">
        <v>1955</v>
      </c>
      <c r="K21" s="4" t="s">
        <v>96</v>
      </c>
      <c r="L21" s="24"/>
      <c r="M21" s="4"/>
      <c r="N21" s="4" t="s">
        <v>1473</v>
      </c>
    </row>
    <row r="22" spans="1:14">
      <c r="A22" s="4" t="s">
        <v>1488</v>
      </c>
      <c r="B22" s="4" t="s">
        <v>1489</v>
      </c>
      <c r="C22" s="4" t="s">
        <v>108</v>
      </c>
      <c r="D22" s="4" t="s">
        <v>65</v>
      </c>
      <c r="E22" s="4" t="s">
        <v>1440</v>
      </c>
      <c r="F22" s="4" t="s">
        <v>1456</v>
      </c>
      <c r="G22" s="22">
        <v>2300000</v>
      </c>
      <c r="H22" s="24"/>
      <c r="I22" s="24"/>
      <c r="J22" s="21">
        <v>1958</v>
      </c>
      <c r="K22" s="4" t="s">
        <v>94</v>
      </c>
      <c r="L22" s="24"/>
      <c r="M22" s="4"/>
      <c r="N22" s="4" t="s">
        <v>1467</v>
      </c>
    </row>
    <row r="23" spans="1:14">
      <c r="A23" s="4" t="s">
        <v>1490</v>
      </c>
      <c r="B23" s="4" t="s">
        <v>406</v>
      </c>
      <c r="C23" s="4" t="s">
        <v>82</v>
      </c>
      <c r="D23" s="4" t="s">
        <v>67</v>
      </c>
      <c r="E23" s="4" t="s">
        <v>1440</v>
      </c>
      <c r="F23" s="4" t="s">
        <v>1456</v>
      </c>
      <c r="G23" s="22">
        <v>2464500</v>
      </c>
      <c r="H23" s="21">
        <v>13951</v>
      </c>
      <c r="I23" s="22">
        <v>176.6540032972547</v>
      </c>
      <c r="J23" s="21">
        <v>1957</v>
      </c>
      <c r="K23" s="4" t="s">
        <v>94</v>
      </c>
      <c r="L23" s="24"/>
      <c r="M23" s="4"/>
      <c r="N23" s="4" t="s">
        <v>1469</v>
      </c>
    </row>
    <row r="24" spans="1:14">
      <c r="A24" s="4" t="s">
        <v>1491</v>
      </c>
      <c r="B24" s="4" t="s">
        <v>428</v>
      </c>
      <c r="C24" s="4" t="s">
        <v>78</v>
      </c>
      <c r="D24" s="4" t="s">
        <v>72</v>
      </c>
      <c r="E24" s="4" t="s">
        <v>1440</v>
      </c>
      <c r="F24" s="4" t="s">
        <v>1456</v>
      </c>
      <c r="G24" s="22">
        <v>2150000</v>
      </c>
      <c r="H24" s="21">
        <v>7960</v>
      </c>
      <c r="I24" s="22">
        <v>270.1005025125628</v>
      </c>
      <c r="J24" s="21">
        <v>1962</v>
      </c>
      <c r="K24" s="4" t="s">
        <v>94</v>
      </c>
      <c r="L24" s="24"/>
      <c r="M24" s="4"/>
      <c r="N24" s="4" t="s">
        <v>1492</v>
      </c>
    </row>
    <row r="25" spans="1:14">
      <c r="A25" s="4" t="s">
        <v>1493</v>
      </c>
      <c r="B25" s="4" t="s">
        <v>1494</v>
      </c>
      <c r="C25" s="4" t="s">
        <v>80</v>
      </c>
      <c r="D25" s="4" t="s">
        <v>65</v>
      </c>
      <c r="E25" s="4" t="s">
        <v>1440</v>
      </c>
      <c r="F25" s="4" t="s">
        <v>1456</v>
      </c>
      <c r="G25" s="22">
        <v>2100000</v>
      </c>
      <c r="H25" s="24"/>
      <c r="I25" s="24"/>
      <c r="J25" s="24"/>
      <c r="K25" s="4" t="s">
        <v>94</v>
      </c>
      <c r="L25" s="24"/>
      <c r="M25" s="4"/>
      <c r="N25" s="24" t="s">
        <v>237</v>
      </c>
    </row>
    <row r="26" spans="1:14">
      <c r="A26" s="4" t="s">
        <v>1495</v>
      </c>
      <c r="B26" s="4" t="s">
        <v>1179</v>
      </c>
      <c r="C26" s="4" t="s">
        <v>78</v>
      </c>
      <c r="D26" s="4" t="s">
        <v>66</v>
      </c>
      <c r="E26" s="4" t="s">
        <v>1440</v>
      </c>
      <c r="F26" s="4" t="s">
        <v>1456</v>
      </c>
      <c r="G26" s="22">
        <v>2051000</v>
      </c>
      <c r="H26" s="21">
        <v>13512</v>
      </c>
      <c r="I26" s="22">
        <v>151.7910005920663</v>
      </c>
      <c r="J26" s="21">
        <v>1952</v>
      </c>
      <c r="K26" s="4" t="s">
        <v>94</v>
      </c>
      <c r="L26" s="24"/>
      <c r="M26" s="4"/>
      <c r="N26" s="4" t="s">
        <v>1496</v>
      </c>
    </row>
    <row r="27" spans="1:14">
      <c r="A27" s="4" t="s">
        <v>1497</v>
      </c>
      <c r="B27" s="4" t="s">
        <v>1188</v>
      </c>
      <c r="C27" s="4" t="s">
        <v>82</v>
      </c>
      <c r="D27" s="4" t="s">
        <v>68</v>
      </c>
      <c r="E27" s="4" t="s">
        <v>1440</v>
      </c>
      <c r="F27" s="4" t="s">
        <v>1456</v>
      </c>
      <c r="G27" s="22">
        <v>1726650</v>
      </c>
      <c r="H27" s="21">
        <v>15800</v>
      </c>
      <c r="I27" s="22">
        <v>109.2816455696203</v>
      </c>
      <c r="J27" s="24"/>
      <c r="K27" s="4" t="s">
        <v>94</v>
      </c>
      <c r="L27" s="24"/>
      <c r="M27" s="4"/>
      <c r="N27" s="24" t="s">
        <v>237</v>
      </c>
    </row>
    <row r="28" spans="1:14">
      <c r="A28" s="4" t="s">
        <v>1498</v>
      </c>
      <c r="B28" s="4" t="s">
        <v>1195</v>
      </c>
      <c r="C28" s="4" t="s">
        <v>76</v>
      </c>
      <c r="D28" s="4" t="s">
        <v>65</v>
      </c>
      <c r="E28" s="4" t="s">
        <v>1440</v>
      </c>
      <c r="F28" s="4" t="s">
        <v>1456</v>
      </c>
      <c r="G28" s="22">
        <v>1750000</v>
      </c>
      <c r="H28" s="21">
        <v>12300</v>
      </c>
      <c r="I28" s="22">
        <v>142.2764227642276</v>
      </c>
      <c r="J28" s="21">
        <v>1958</v>
      </c>
      <c r="K28" s="4" t="s">
        <v>94</v>
      </c>
      <c r="L28" s="24"/>
      <c r="M28" s="4"/>
      <c r="N28" s="4" t="s">
        <v>1467</v>
      </c>
    </row>
    <row r="29" spans="1:14">
      <c r="A29" s="4" t="s">
        <v>1499</v>
      </c>
      <c r="B29" s="4" t="s">
        <v>1160</v>
      </c>
      <c r="C29" s="4" t="s">
        <v>111</v>
      </c>
      <c r="D29" s="4" t="s">
        <v>66</v>
      </c>
      <c r="E29" s="4" t="s">
        <v>1440</v>
      </c>
      <c r="F29" s="4" t="s">
        <v>1456</v>
      </c>
      <c r="G29" s="22">
        <v>1950000</v>
      </c>
      <c r="H29" s="21">
        <v>5500</v>
      </c>
      <c r="I29" s="22">
        <v>354.5454545454546</v>
      </c>
      <c r="J29" s="21">
        <v>1956</v>
      </c>
      <c r="K29" s="4" t="s">
        <v>94</v>
      </c>
      <c r="L29" s="24"/>
      <c r="M29" s="4"/>
      <c r="N29" s="4" t="s">
        <v>1473</v>
      </c>
    </row>
    <row r="30" spans="1:14">
      <c r="A30" s="4" t="s">
        <v>1500</v>
      </c>
      <c r="B30" s="4" t="s">
        <v>1501</v>
      </c>
      <c r="C30" s="4" t="s">
        <v>111</v>
      </c>
      <c r="D30" s="4" t="s">
        <v>66</v>
      </c>
      <c r="E30" s="4" t="s">
        <v>1440</v>
      </c>
      <c r="F30" s="4" t="s">
        <v>1456</v>
      </c>
      <c r="G30" s="22">
        <v>1750000</v>
      </c>
      <c r="H30" s="24"/>
      <c r="I30" s="24"/>
      <c r="J30" s="21">
        <v>1966</v>
      </c>
      <c r="K30" s="4" t="s">
        <v>94</v>
      </c>
      <c r="L30" s="24"/>
      <c r="M30" s="4"/>
      <c r="N30" s="4" t="s">
        <v>1473</v>
      </c>
    </row>
    <row r="31" spans="1:14">
      <c r="A31" s="4" t="s">
        <v>1502</v>
      </c>
      <c r="B31" s="4" t="s">
        <v>1212</v>
      </c>
      <c r="C31" s="4" t="s">
        <v>77</v>
      </c>
      <c r="D31" s="4" t="s">
        <v>66</v>
      </c>
      <c r="E31" s="4" t="s">
        <v>1440</v>
      </c>
      <c r="F31" s="4" t="s">
        <v>1456</v>
      </c>
      <c r="G31" s="22">
        <v>1950000</v>
      </c>
      <c r="H31" s="21">
        <v>13500</v>
      </c>
      <c r="I31" s="22">
        <v>144.4444444444445</v>
      </c>
      <c r="J31" s="21">
        <v>1973</v>
      </c>
      <c r="K31" s="4" t="s">
        <v>94</v>
      </c>
      <c r="L31" s="24"/>
      <c r="M31" s="4"/>
      <c r="N31" s="4" t="s">
        <v>1473</v>
      </c>
    </row>
    <row r="32" spans="1:14">
      <c r="A32" s="4" t="s">
        <v>1503</v>
      </c>
      <c r="B32" s="4" t="s">
        <v>1180</v>
      </c>
      <c r="C32" s="4" t="s">
        <v>78</v>
      </c>
      <c r="D32" s="4" t="s">
        <v>66</v>
      </c>
      <c r="E32" s="4" t="s">
        <v>1440</v>
      </c>
      <c r="F32" s="4" t="s">
        <v>1456</v>
      </c>
      <c r="G32" s="22">
        <v>1750000</v>
      </c>
      <c r="H32" s="21">
        <v>11480</v>
      </c>
      <c r="I32" s="22">
        <v>152.4390243902439</v>
      </c>
      <c r="J32" s="21">
        <v>1969</v>
      </c>
      <c r="K32" s="4" t="s">
        <v>94</v>
      </c>
      <c r="L32" s="24"/>
      <c r="M32" s="4"/>
      <c r="N32" s="4" t="s">
        <v>1496</v>
      </c>
    </row>
    <row r="33" spans="1:14">
      <c r="A33" s="4" t="s">
        <v>1504</v>
      </c>
      <c r="B33" s="4" t="s">
        <v>1186</v>
      </c>
      <c r="C33" s="4" t="s">
        <v>83</v>
      </c>
      <c r="D33" s="4" t="s">
        <v>67</v>
      </c>
      <c r="E33" s="4" t="s">
        <v>1440</v>
      </c>
      <c r="F33" s="4" t="s">
        <v>1456</v>
      </c>
      <c r="G33" s="22">
        <v>2050000</v>
      </c>
      <c r="H33" s="21">
        <v>10125</v>
      </c>
      <c r="I33" s="22">
        <v>202.4691358024691</v>
      </c>
      <c r="J33" s="21">
        <v>1971</v>
      </c>
      <c r="K33" s="4" t="s">
        <v>94</v>
      </c>
      <c r="L33" s="24"/>
      <c r="M33" s="4"/>
      <c r="N33" s="4" t="s">
        <v>1483</v>
      </c>
    </row>
    <row r="34" spans="1:14">
      <c r="A34" s="4" t="s">
        <v>1505</v>
      </c>
      <c r="B34" s="4" t="s">
        <v>1203</v>
      </c>
      <c r="C34" s="4" t="s">
        <v>120</v>
      </c>
      <c r="D34" s="4" t="s">
        <v>70</v>
      </c>
      <c r="E34" s="4" t="s">
        <v>1440</v>
      </c>
      <c r="F34" s="4" t="s">
        <v>1456</v>
      </c>
      <c r="G34" s="22">
        <v>1600000</v>
      </c>
      <c r="H34" s="21">
        <v>5625</v>
      </c>
      <c r="I34" s="22">
        <v>284.4444444444445</v>
      </c>
      <c r="J34" s="21">
        <v>1959</v>
      </c>
      <c r="K34" s="4" t="s">
        <v>94</v>
      </c>
      <c r="L34" s="24"/>
      <c r="M34" s="4"/>
      <c r="N34" s="4" t="s">
        <v>1462</v>
      </c>
    </row>
    <row r="35" spans="1:14">
      <c r="A35" s="4" t="s">
        <v>1506</v>
      </c>
      <c r="B35" s="4" t="s">
        <v>1173</v>
      </c>
      <c r="C35" s="4" t="s">
        <v>79</v>
      </c>
      <c r="D35" s="4" t="s">
        <v>65</v>
      </c>
      <c r="E35" s="4" t="s">
        <v>1440</v>
      </c>
      <c r="F35" s="4" t="s">
        <v>1456</v>
      </c>
      <c r="G35" s="22">
        <v>1175000</v>
      </c>
      <c r="H35" s="21">
        <v>3429</v>
      </c>
      <c r="I35" s="22">
        <v>342.6655001458151</v>
      </c>
      <c r="J35" s="21">
        <v>1961</v>
      </c>
      <c r="K35" s="4" t="s">
        <v>94</v>
      </c>
      <c r="L35" s="24"/>
      <c r="M35" s="4"/>
      <c r="N35" s="4" t="s">
        <v>1467</v>
      </c>
    </row>
    <row r="36" spans="1:14">
      <c r="A36" s="4" t="s">
        <v>1507</v>
      </c>
      <c r="B36" s="4" t="s">
        <v>1168</v>
      </c>
      <c r="C36" s="4" t="s">
        <v>79</v>
      </c>
      <c r="D36" s="4" t="s">
        <v>65</v>
      </c>
      <c r="E36" s="4" t="s">
        <v>1440</v>
      </c>
      <c r="F36" s="4" t="s">
        <v>1456</v>
      </c>
      <c r="G36" s="22">
        <v>1765000</v>
      </c>
      <c r="H36" s="21">
        <v>9998</v>
      </c>
      <c r="I36" s="22">
        <v>176.5353070614123</v>
      </c>
      <c r="J36" s="21">
        <v>1959</v>
      </c>
      <c r="K36" s="4" t="s">
        <v>94</v>
      </c>
      <c r="L36" s="24"/>
      <c r="M36" s="4"/>
      <c r="N36" s="4" t="s">
        <v>1471</v>
      </c>
    </row>
    <row r="37" spans="1:14">
      <c r="A37" s="4" t="s">
        <v>1508</v>
      </c>
      <c r="B37" s="4" t="s">
        <v>1161</v>
      </c>
      <c r="C37" s="4" t="s">
        <v>111</v>
      </c>
      <c r="D37" s="4" t="s">
        <v>66</v>
      </c>
      <c r="E37" s="4" t="s">
        <v>1440</v>
      </c>
      <c r="F37" s="4" t="s">
        <v>1456</v>
      </c>
      <c r="G37" s="22">
        <v>1780000</v>
      </c>
      <c r="H37" s="21">
        <v>5500</v>
      </c>
      <c r="I37" s="22">
        <v>323.6363636363636</v>
      </c>
      <c r="J37" s="21">
        <v>1961</v>
      </c>
      <c r="K37" s="4" t="s">
        <v>94</v>
      </c>
      <c r="L37" s="24"/>
      <c r="M37" s="4"/>
      <c r="N37" s="4" t="s">
        <v>1496</v>
      </c>
    </row>
    <row r="38" spans="1:14">
      <c r="A38" s="4" t="s">
        <v>1509</v>
      </c>
      <c r="B38" s="4" t="s">
        <v>574</v>
      </c>
      <c r="C38" s="4" t="s">
        <v>575</v>
      </c>
      <c r="D38" s="4" t="s">
        <v>66</v>
      </c>
      <c r="E38" s="4" t="s">
        <v>1440</v>
      </c>
      <c r="F38" s="4" t="s">
        <v>1456</v>
      </c>
      <c r="G38" s="22">
        <v>1800000</v>
      </c>
      <c r="H38" s="21">
        <v>13402</v>
      </c>
      <c r="I38" s="22">
        <v>134.3083121922101</v>
      </c>
      <c r="J38" s="21">
        <v>1959</v>
      </c>
      <c r="K38" s="4" t="s">
        <v>94</v>
      </c>
      <c r="L38" s="24"/>
      <c r="M38" s="4"/>
      <c r="N38" s="4" t="s">
        <v>1510</v>
      </c>
    </row>
    <row r="39" spans="1:14">
      <c r="A39" s="4" t="s">
        <v>1511</v>
      </c>
      <c r="B39" s="4" t="s">
        <v>1169</v>
      </c>
      <c r="C39" s="4" t="s">
        <v>79</v>
      </c>
      <c r="D39" s="4" t="s">
        <v>65</v>
      </c>
      <c r="E39" s="4" t="s">
        <v>1440</v>
      </c>
      <c r="F39" s="4" t="s">
        <v>1456</v>
      </c>
      <c r="G39" s="22">
        <v>1725000</v>
      </c>
      <c r="H39" s="21">
        <v>16500</v>
      </c>
      <c r="I39" s="22">
        <v>104.5454545454545</v>
      </c>
      <c r="J39" s="21">
        <v>1968</v>
      </c>
      <c r="K39" s="4" t="s">
        <v>94</v>
      </c>
      <c r="L39" s="24"/>
      <c r="M39" s="4"/>
      <c r="N39" s="4" t="s">
        <v>1467</v>
      </c>
    </row>
    <row r="40" spans="1:14">
      <c r="A40" s="4" t="s">
        <v>1512</v>
      </c>
      <c r="B40" s="4" t="s">
        <v>1513</v>
      </c>
      <c r="C40" s="4" t="s">
        <v>117</v>
      </c>
      <c r="D40" s="4" t="s">
        <v>65</v>
      </c>
      <c r="E40" s="4" t="s">
        <v>1440</v>
      </c>
      <c r="F40" s="4" t="s">
        <v>1456</v>
      </c>
      <c r="G40" s="22">
        <v>2057000</v>
      </c>
      <c r="H40" s="24"/>
      <c r="I40" s="24"/>
      <c r="J40" s="21">
        <v>1980</v>
      </c>
      <c r="K40" s="4" t="s">
        <v>94</v>
      </c>
      <c r="L40" s="24"/>
      <c r="M40" s="4"/>
      <c r="N40" s="4" t="s">
        <v>1514</v>
      </c>
    </row>
    <row r="41" spans="1:14">
      <c r="A41" s="4" t="s">
        <v>1515</v>
      </c>
      <c r="B41" s="4" t="s">
        <v>1165</v>
      </c>
      <c r="C41" s="4" t="s">
        <v>112</v>
      </c>
      <c r="D41" s="4" t="s">
        <v>67</v>
      </c>
      <c r="E41" s="4" t="s">
        <v>1440</v>
      </c>
      <c r="F41" s="4" t="s">
        <v>1456</v>
      </c>
      <c r="G41" s="22">
        <v>1575244</v>
      </c>
      <c r="H41" s="21">
        <v>11736</v>
      </c>
      <c r="I41" s="22">
        <v>134.2232447171097</v>
      </c>
      <c r="J41" s="21">
        <v>1959</v>
      </c>
      <c r="K41" s="4" t="s">
        <v>94</v>
      </c>
      <c r="L41" s="24"/>
      <c r="M41" s="4"/>
      <c r="N41" s="4" t="s">
        <v>1469</v>
      </c>
    </row>
    <row r="42" spans="1:14">
      <c r="A42" s="4" t="s">
        <v>1516</v>
      </c>
      <c r="B42" s="4" t="s">
        <v>608</v>
      </c>
      <c r="C42" s="4" t="s">
        <v>82</v>
      </c>
      <c r="D42" s="4" t="s">
        <v>66</v>
      </c>
      <c r="E42" s="4" t="s">
        <v>1440</v>
      </c>
      <c r="F42" s="4" t="s">
        <v>1456</v>
      </c>
      <c r="G42" s="22">
        <v>1550000</v>
      </c>
      <c r="H42" s="21">
        <v>13802</v>
      </c>
      <c r="I42" s="22">
        <v>112.3025648456745</v>
      </c>
      <c r="J42" s="21">
        <v>1975</v>
      </c>
      <c r="K42" s="4" t="s">
        <v>94</v>
      </c>
      <c r="L42" s="24"/>
      <c r="M42" s="4"/>
      <c r="N42" s="4" t="s">
        <v>1517</v>
      </c>
    </row>
    <row r="43" spans="1:14">
      <c r="A43" s="4" t="s">
        <v>1518</v>
      </c>
      <c r="B43" s="4" t="s">
        <v>1153</v>
      </c>
      <c r="C43" s="4" t="s">
        <v>1154</v>
      </c>
      <c r="D43" s="4" t="s">
        <v>67</v>
      </c>
      <c r="E43" s="4" t="s">
        <v>1440</v>
      </c>
      <c r="F43" s="4" t="s">
        <v>1456</v>
      </c>
      <c r="G43" s="22">
        <v>1350000</v>
      </c>
      <c r="H43" s="21">
        <v>10289</v>
      </c>
      <c r="I43" s="22">
        <v>131.2080863057634</v>
      </c>
      <c r="J43" s="21">
        <v>1952</v>
      </c>
      <c r="K43" s="4" t="s">
        <v>94</v>
      </c>
      <c r="L43" s="24"/>
      <c r="M43" s="4"/>
      <c r="N43" s="4" t="s">
        <v>1483</v>
      </c>
    </row>
    <row r="44" spans="1:14">
      <c r="A44" s="4" t="s">
        <v>1519</v>
      </c>
      <c r="B44" s="4" t="s">
        <v>1192</v>
      </c>
      <c r="C44" s="4" t="s">
        <v>80</v>
      </c>
      <c r="D44" s="4" t="s">
        <v>65</v>
      </c>
      <c r="E44" s="4" t="s">
        <v>1440</v>
      </c>
      <c r="F44" s="4" t="s">
        <v>1456</v>
      </c>
      <c r="G44" s="22">
        <v>1262500</v>
      </c>
      <c r="H44" s="21">
        <v>4250</v>
      </c>
      <c r="I44" s="22">
        <v>297.0588235294118</v>
      </c>
      <c r="J44" s="21">
        <v>2003</v>
      </c>
      <c r="K44" s="4" t="s">
        <v>94</v>
      </c>
      <c r="L44" s="24"/>
      <c r="M44" s="4"/>
      <c r="N44" s="24" t="s">
        <v>237</v>
      </c>
    </row>
    <row r="45" spans="1:14">
      <c r="A45" s="4" t="s">
        <v>1520</v>
      </c>
      <c r="B45" s="4" t="s">
        <v>1193</v>
      </c>
      <c r="C45" s="4" t="s">
        <v>80</v>
      </c>
      <c r="D45" s="4" t="s">
        <v>65</v>
      </c>
      <c r="E45" s="4" t="s">
        <v>1440</v>
      </c>
      <c r="F45" s="4" t="s">
        <v>1456</v>
      </c>
      <c r="G45" s="22">
        <v>1262500</v>
      </c>
      <c r="H45" s="21">
        <v>5250</v>
      </c>
      <c r="I45" s="22">
        <v>240.4761904761905</v>
      </c>
      <c r="J45" s="21">
        <v>1990</v>
      </c>
      <c r="K45" s="4" t="s">
        <v>94</v>
      </c>
      <c r="L45" s="24"/>
      <c r="M45" s="4"/>
      <c r="N45" s="24" t="s">
        <v>237</v>
      </c>
    </row>
    <row r="46" spans="1:14">
      <c r="A46" s="4" t="s">
        <v>1521</v>
      </c>
      <c r="B46" s="4" t="s">
        <v>1205</v>
      </c>
      <c r="C46" s="4" t="s">
        <v>81</v>
      </c>
      <c r="D46" s="4" t="s">
        <v>65</v>
      </c>
      <c r="E46" s="4" t="s">
        <v>1440</v>
      </c>
      <c r="F46" s="4" t="s">
        <v>1456</v>
      </c>
      <c r="G46" s="22">
        <v>1400000</v>
      </c>
      <c r="H46" s="21">
        <v>7000</v>
      </c>
      <c r="I46" s="22">
        <v>200</v>
      </c>
      <c r="J46" s="21">
        <v>1960</v>
      </c>
      <c r="K46" s="4" t="s">
        <v>94</v>
      </c>
      <c r="L46" s="24"/>
      <c r="M46" s="4"/>
      <c r="N46" s="4" t="s">
        <v>1522</v>
      </c>
    </row>
    <row r="47" spans="1:14">
      <c r="A47" s="4" t="s">
        <v>1523</v>
      </c>
      <c r="B47" s="4" t="s">
        <v>1204</v>
      </c>
      <c r="C47" s="4" t="s">
        <v>120</v>
      </c>
      <c r="D47" s="4" t="s">
        <v>70</v>
      </c>
      <c r="E47" s="4" t="s">
        <v>1440</v>
      </c>
      <c r="F47" s="4" t="s">
        <v>1456</v>
      </c>
      <c r="G47" s="22">
        <v>950000</v>
      </c>
      <c r="H47" s="21">
        <v>12496</v>
      </c>
      <c r="I47" s="22">
        <v>76.02432778489117</v>
      </c>
      <c r="J47" s="21">
        <v>1961</v>
      </c>
      <c r="K47" s="4" t="s">
        <v>95</v>
      </c>
      <c r="L47" s="24"/>
      <c r="M47" s="4"/>
      <c r="N47" s="4" t="s">
        <v>1475</v>
      </c>
    </row>
    <row r="48" spans="1:14">
      <c r="A48" s="4" t="s">
        <v>1524</v>
      </c>
      <c r="B48" s="4" t="s">
        <v>1196</v>
      </c>
      <c r="C48" s="4" t="s">
        <v>76</v>
      </c>
      <c r="D48" s="4" t="s">
        <v>70</v>
      </c>
      <c r="E48" s="4" t="s">
        <v>1440</v>
      </c>
      <c r="F48" s="4" t="s">
        <v>1456</v>
      </c>
      <c r="G48" s="22">
        <v>1200000</v>
      </c>
      <c r="H48" s="21">
        <v>3921</v>
      </c>
      <c r="I48" s="22">
        <v>306.044376434583</v>
      </c>
      <c r="J48" s="21">
        <v>1959</v>
      </c>
      <c r="K48" s="4" t="s">
        <v>94</v>
      </c>
      <c r="L48" s="24"/>
      <c r="M48" s="4"/>
      <c r="N48" s="4" t="s">
        <v>1475</v>
      </c>
    </row>
    <row r="49" spans="1:14">
      <c r="A49" s="4" t="s">
        <v>1525</v>
      </c>
      <c r="B49" s="4" t="s">
        <v>1171</v>
      </c>
      <c r="C49" s="4" t="s">
        <v>79</v>
      </c>
      <c r="D49" s="4" t="s">
        <v>65</v>
      </c>
      <c r="E49" s="4" t="s">
        <v>1440</v>
      </c>
      <c r="F49" s="4" t="s">
        <v>1456</v>
      </c>
      <c r="G49" s="22">
        <v>1365000</v>
      </c>
      <c r="H49" s="21">
        <v>11662</v>
      </c>
      <c r="I49" s="22">
        <v>117.046818727491</v>
      </c>
      <c r="J49" s="21">
        <v>1950</v>
      </c>
      <c r="K49" s="4" t="s">
        <v>94</v>
      </c>
      <c r="L49" s="24"/>
      <c r="M49" s="4"/>
      <c r="N49" s="4" t="s">
        <v>1469</v>
      </c>
    </row>
    <row r="50" spans="1:14">
      <c r="A50" s="4" t="s">
        <v>1526</v>
      </c>
      <c r="B50" s="4" t="s">
        <v>1172</v>
      </c>
      <c r="C50" s="4" t="s">
        <v>79</v>
      </c>
      <c r="D50" s="4" t="s">
        <v>66</v>
      </c>
      <c r="E50" s="4" t="s">
        <v>1440</v>
      </c>
      <c r="F50" s="4" t="s">
        <v>1456</v>
      </c>
      <c r="G50" s="22">
        <v>1200000</v>
      </c>
      <c r="H50" s="21">
        <v>6003</v>
      </c>
      <c r="I50" s="22">
        <v>199.9000499750125</v>
      </c>
      <c r="J50" s="21">
        <v>1974</v>
      </c>
      <c r="K50" s="4" t="s">
        <v>94</v>
      </c>
      <c r="L50" s="24"/>
      <c r="M50" s="4"/>
      <c r="N50" s="4" t="s">
        <v>1473</v>
      </c>
    </row>
    <row r="51" spans="1:14">
      <c r="A51" s="4" t="s">
        <v>1527</v>
      </c>
      <c r="B51" s="4" t="s">
        <v>1170</v>
      </c>
      <c r="C51" s="4" t="s">
        <v>79</v>
      </c>
      <c r="D51" s="4" t="s">
        <v>66</v>
      </c>
      <c r="E51" s="4" t="s">
        <v>1440</v>
      </c>
      <c r="F51" s="4" t="s">
        <v>1456</v>
      </c>
      <c r="G51" s="22">
        <v>1395000</v>
      </c>
      <c r="H51" s="21">
        <v>11662</v>
      </c>
      <c r="I51" s="22">
        <v>119.6192762819414</v>
      </c>
      <c r="J51" s="21">
        <v>1950</v>
      </c>
      <c r="K51" s="4" t="s">
        <v>94</v>
      </c>
      <c r="L51" s="24"/>
      <c r="M51" s="4"/>
      <c r="N51" s="4" t="s">
        <v>1528</v>
      </c>
    </row>
    <row r="52" spans="1:14">
      <c r="A52" s="4" t="s">
        <v>1529</v>
      </c>
      <c r="B52" s="4" t="s">
        <v>1174</v>
      </c>
      <c r="C52" s="4" t="s">
        <v>79</v>
      </c>
      <c r="D52" s="4" t="s">
        <v>70</v>
      </c>
      <c r="E52" s="4" t="s">
        <v>1440</v>
      </c>
      <c r="F52" s="4" t="s">
        <v>1456</v>
      </c>
      <c r="G52" s="22">
        <v>1150000</v>
      </c>
      <c r="H52" s="21">
        <v>6110</v>
      </c>
      <c r="I52" s="22">
        <v>188.2160392798691</v>
      </c>
      <c r="J52" s="21">
        <v>1965</v>
      </c>
      <c r="K52" s="4" t="s">
        <v>94</v>
      </c>
      <c r="L52" s="24"/>
      <c r="M52" s="4"/>
      <c r="N52" s="4" t="s">
        <v>1528</v>
      </c>
    </row>
    <row r="53" spans="1:14">
      <c r="A53" s="4" t="s">
        <v>1530</v>
      </c>
      <c r="B53" s="4" t="s">
        <v>1531</v>
      </c>
      <c r="C53" s="4" t="s">
        <v>113</v>
      </c>
      <c r="D53" s="4" t="s">
        <v>65</v>
      </c>
      <c r="E53" s="4" t="s">
        <v>1440</v>
      </c>
      <c r="F53" s="4" t="s">
        <v>1456</v>
      </c>
      <c r="G53" s="22">
        <v>1200000</v>
      </c>
      <c r="H53" s="24"/>
      <c r="I53" s="24"/>
      <c r="J53" s="21">
        <v>1970</v>
      </c>
      <c r="K53" s="4" t="s">
        <v>94</v>
      </c>
      <c r="L53" s="24"/>
      <c r="M53" s="4"/>
      <c r="N53" s="4" t="s">
        <v>1467</v>
      </c>
    </row>
    <row r="54" spans="1:14">
      <c r="A54" s="4" t="s">
        <v>1532</v>
      </c>
      <c r="B54" s="4" t="s">
        <v>1533</v>
      </c>
      <c r="C54" s="4" t="s">
        <v>79</v>
      </c>
      <c r="D54" s="4" t="s">
        <v>65</v>
      </c>
      <c r="E54" s="4" t="s">
        <v>1440</v>
      </c>
      <c r="F54" s="4" t="s">
        <v>1456</v>
      </c>
      <c r="G54" s="22">
        <v>1175000</v>
      </c>
      <c r="H54" s="24"/>
      <c r="I54" s="24"/>
      <c r="J54" s="24"/>
      <c r="K54" s="4" t="s">
        <v>94</v>
      </c>
      <c r="L54" s="24"/>
      <c r="M54" s="4"/>
      <c r="N54" s="24" t="s">
        <v>237</v>
      </c>
    </row>
    <row r="55" spans="1:14">
      <c r="A55" s="4" t="s">
        <v>1534</v>
      </c>
      <c r="B55" s="4" t="s">
        <v>1166</v>
      </c>
      <c r="C55" s="4" t="s">
        <v>112</v>
      </c>
      <c r="D55" s="4" t="s">
        <v>67</v>
      </c>
      <c r="E55" s="4" t="s">
        <v>1440</v>
      </c>
      <c r="F55" s="4" t="s">
        <v>1456</v>
      </c>
      <c r="G55" s="22">
        <v>1075000</v>
      </c>
      <c r="H55" s="21">
        <v>10000</v>
      </c>
      <c r="I55" s="22">
        <v>107.5</v>
      </c>
      <c r="J55" s="21">
        <v>1952</v>
      </c>
      <c r="K55" s="4" t="s">
        <v>94</v>
      </c>
      <c r="L55" s="24"/>
      <c r="M55" s="4"/>
      <c r="N55" s="4" t="s">
        <v>1535</v>
      </c>
    </row>
    <row r="56" spans="1:14">
      <c r="A56" s="4" t="s">
        <v>1536</v>
      </c>
      <c r="B56" s="4" t="s">
        <v>1537</v>
      </c>
      <c r="C56" s="4" t="s">
        <v>119</v>
      </c>
      <c r="D56" s="4" t="s">
        <v>67</v>
      </c>
      <c r="E56" s="4" t="s">
        <v>1440</v>
      </c>
      <c r="F56" s="4" t="s">
        <v>1456</v>
      </c>
      <c r="G56" s="22">
        <v>1150000</v>
      </c>
      <c r="H56" s="24"/>
      <c r="I56" s="24"/>
      <c r="J56" s="21">
        <v>1957</v>
      </c>
      <c r="K56" s="4" t="s">
        <v>94</v>
      </c>
      <c r="L56" s="24"/>
      <c r="M56" s="4"/>
      <c r="N56" s="4" t="s">
        <v>1483</v>
      </c>
    </row>
    <row r="57" spans="1:14">
      <c r="A57" s="4" t="s">
        <v>1538</v>
      </c>
      <c r="B57" s="4" t="s">
        <v>1181</v>
      </c>
      <c r="C57" s="4" t="s">
        <v>78</v>
      </c>
      <c r="D57" s="4" t="s">
        <v>66</v>
      </c>
      <c r="E57" s="4" t="s">
        <v>1440</v>
      </c>
      <c r="F57" s="4" t="s">
        <v>1456</v>
      </c>
      <c r="G57" s="22">
        <v>1150000</v>
      </c>
      <c r="H57" s="21">
        <v>6752</v>
      </c>
      <c r="I57" s="22">
        <v>170.3199052132701</v>
      </c>
      <c r="J57" s="21">
        <v>1964</v>
      </c>
      <c r="K57" s="4" t="s">
        <v>94</v>
      </c>
      <c r="L57" s="24"/>
      <c r="M57" s="4"/>
      <c r="N57" s="4" t="s">
        <v>1496</v>
      </c>
    </row>
    <row r="58" spans="1:14">
      <c r="A58" s="4" t="s">
        <v>1539</v>
      </c>
      <c r="B58" s="4" t="s">
        <v>1184</v>
      </c>
      <c r="C58" s="4" t="s">
        <v>114</v>
      </c>
      <c r="D58" s="4" t="s">
        <v>72</v>
      </c>
      <c r="E58" s="4" t="s">
        <v>1440</v>
      </c>
      <c r="F58" s="4" t="s">
        <v>1456</v>
      </c>
      <c r="G58" s="22">
        <v>1140000</v>
      </c>
      <c r="H58" s="21">
        <v>6250</v>
      </c>
      <c r="I58" s="22">
        <v>182.4</v>
      </c>
      <c r="J58" s="21">
        <v>1954</v>
      </c>
      <c r="K58" s="4" t="s">
        <v>94</v>
      </c>
      <c r="L58" s="24"/>
      <c r="M58" s="4"/>
      <c r="N58" s="4" t="s">
        <v>1475</v>
      </c>
    </row>
    <row r="59" spans="1:14">
      <c r="A59" s="4" t="s">
        <v>1540</v>
      </c>
      <c r="B59" s="4" t="s">
        <v>1162</v>
      </c>
      <c r="C59" s="4" t="s">
        <v>111</v>
      </c>
      <c r="D59" s="4" t="s">
        <v>66</v>
      </c>
      <c r="E59" s="4" t="s">
        <v>1440</v>
      </c>
      <c r="F59" s="4" t="s">
        <v>1456</v>
      </c>
      <c r="G59" s="22">
        <v>1195000</v>
      </c>
      <c r="H59" s="21">
        <v>6192</v>
      </c>
      <c r="I59" s="22">
        <v>192.9909560723514</v>
      </c>
      <c r="J59" s="21">
        <v>1953</v>
      </c>
      <c r="K59" s="4" t="s">
        <v>94</v>
      </c>
      <c r="L59" s="24"/>
      <c r="M59" s="4"/>
      <c r="N59" s="4" t="s">
        <v>1496</v>
      </c>
    </row>
    <row r="60" spans="1:14">
      <c r="A60" s="4" t="s">
        <v>1541</v>
      </c>
      <c r="B60" s="4" t="s">
        <v>1163</v>
      </c>
      <c r="C60" s="4" t="s">
        <v>1164</v>
      </c>
      <c r="D60" s="4" t="s">
        <v>66</v>
      </c>
      <c r="E60" s="4" t="s">
        <v>1440</v>
      </c>
      <c r="F60" s="4" t="s">
        <v>1456</v>
      </c>
      <c r="G60" s="22">
        <v>1080000</v>
      </c>
      <c r="H60" s="21">
        <v>11349</v>
      </c>
      <c r="I60" s="22">
        <v>95.16256938937352</v>
      </c>
      <c r="J60" s="21">
        <v>1960</v>
      </c>
      <c r="K60" s="4" t="s">
        <v>94</v>
      </c>
      <c r="L60" s="24"/>
      <c r="M60" s="4" t="s">
        <v>1542</v>
      </c>
      <c r="N60" s="4" t="s">
        <v>1543</v>
      </c>
    </row>
    <row r="61" spans="1:14">
      <c r="A61" s="4" t="s">
        <v>1544</v>
      </c>
      <c r="B61" s="4" t="s">
        <v>1175</v>
      </c>
      <c r="C61" s="4" t="s">
        <v>79</v>
      </c>
      <c r="D61" s="4" t="s">
        <v>65</v>
      </c>
      <c r="E61" s="4" t="s">
        <v>1440</v>
      </c>
      <c r="F61" s="4" t="s">
        <v>1456</v>
      </c>
      <c r="G61" s="22">
        <v>1115000</v>
      </c>
      <c r="H61" s="21">
        <v>9828</v>
      </c>
      <c r="I61" s="22">
        <v>113.4513634513634</v>
      </c>
      <c r="J61" s="21">
        <v>2000</v>
      </c>
      <c r="K61" s="4" t="s">
        <v>94</v>
      </c>
      <c r="L61" s="24"/>
      <c r="M61" s="4"/>
      <c r="N61" s="4" t="s">
        <v>1545</v>
      </c>
    </row>
    <row r="62" spans="1:14">
      <c r="A62" s="4" t="s">
        <v>1546</v>
      </c>
      <c r="B62" s="4" t="s">
        <v>649</v>
      </c>
      <c r="C62" s="4" t="s">
        <v>120</v>
      </c>
      <c r="D62" s="4" t="s">
        <v>67</v>
      </c>
      <c r="E62" s="4" t="s">
        <v>1440</v>
      </c>
      <c r="F62" s="4" t="s">
        <v>1456</v>
      </c>
      <c r="G62" s="22">
        <v>1035000</v>
      </c>
      <c r="H62" s="24"/>
      <c r="I62" s="24"/>
      <c r="J62" s="21">
        <v>1979</v>
      </c>
      <c r="K62" s="4" t="s">
        <v>94</v>
      </c>
      <c r="L62" s="24"/>
      <c r="M62" s="4"/>
      <c r="N62" s="4" t="s">
        <v>1547</v>
      </c>
    </row>
    <row r="63" spans="1:14">
      <c r="A63" s="4" t="s">
        <v>1548</v>
      </c>
      <c r="B63" s="4" t="s">
        <v>1159</v>
      </c>
      <c r="C63" s="4" t="s">
        <v>110</v>
      </c>
      <c r="D63" s="4" t="s">
        <v>66</v>
      </c>
      <c r="E63" s="4" t="s">
        <v>1440</v>
      </c>
      <c r="F63" s="4" t="s">
        <v>1456</v>
      </c>
      <c r="G63" s="22">
        <v>1015000</v>
      </c>
      <c r="H63" s="21">
        <v>6750</v>
      </c>
      <c r="I63" s="22">
        <v>150.3703703703704</v>
      </c>
      <c r="J63" s="21">
        <v>1946</v>
      </c>
      <c r="K63" s="4" t="s">
        <v>94</v>
      </c>
      <c r="L63" s="24"/>
      <c r="M63" s="4"/>
      <c r="N63" s="4" t="s">
        <v>1473</v>
      </c>
    </row>
    <row r="64" spans="1:14">
      <c r="A64" s="4" t="s">
        <v>1549</v>
      </c>
      <c r="B64" s="4" t="s">
        <v>747</v>
      </c>
      <c r="C64" s="4" t="s">
        <v>81</v>
      </c>
      <c r="D64" s="4" t="s">
        <v>65</v>
      </c>
      <c r="E64" s="4" t="s">
        <v>1440</v>
      </c>
      <c r="F64" s="4" t="s">
        <v>1456</v>
      </c>
      <c r="G64" s="22">
        <v>985000</v>
      </c>
      <c r="H64" s="21">
        <v>1412</v>
      </c>
      <c r="I64" s="22">
        <v>697.5920679886685</v>
      </c>
      <c r="J64" s="21">
        <v>1939</v>
      </c>
      <c r="K64" s="4" t="s">
        <v>95</v>
      </c>
      <c r="L64" s="24"/>
      <c r="M64" s="4"/>
      <c r="N64" s="4" t="s">
        <v>1550</v>
      </c>
    </row>
    <row r="65" spans="1:14">
      <c r="A65" s="4" t="s">
        <v>1551</v>
      </c>
      <c r="B65" s="4" t="s">
        <v>1187</v>
      </c>
      <c r="C65" s="4" t="s">
        <v>83</v>
      </c>
      <c r="D65" s="4" t="s">
        <v>68</v>
      </c>
      <c r="E65" s="4" t="s">
        <v>1440</v>
      </c>
      <c r="F65" s="4" t="s">
        <v>1456</v>
      </c>
      <c r="G65" s="22">
        <v>875000</v>
      </c>
      <c r="H65" s="21">
        <v>12217</v>
      </c>
      <c r="I65" s="22">
        <v>71.6215110092494</v>
      </c>
      <c r="J65" s="21">
        <v>1963</v>
      </c>
      <c r="K65" s="4" t="s">
        <v>95</v>
      </c>
      <c r="L65" s="24"/>
      <c r="M65" s="4"/>
      <c r="N65" s="4" t="s">
        <v>1552</v>
      </c>
    </row>
    <row r="66" spans="1:14">
      <c r="A66" s="4" t="s">
        <v>1553</v>
      </c>
      <c r="B66" s="4" t="s">
        <v>1199</v>
      </c>
      <c r="C66" s="4" t="s">
        <v>1200</v>
      </c>
      <c r="D66" s="4" t="s">
        <v>72</v>
      </c>
      <c r="E66" s="4" t="s">
        <v>1440</v>
      </c>
      <c r="F66" s="4" t="s">
        <v>1456</v>
      </c>
      <c r="G66" s="22">
        <v>901000</v>
      </c>
      <c r="H66" s="21">
        <v>15756</v>
      </c>
      <c r="I66" s="22">
        <v>57.18456461030718</v>
      </c>
      <c r="J66" s="24"/>
      <c r="K66" s="4" t="s">
        <v>95</v>
      </c>
      <c r="L66" s="24"/>
      <c r="M66" s="4"/>
      <c r="N66" s="24" t="s">
        <v>237</v>
      </c>
    </row>
    <row r="67" spans="1:14">
      <c r="A67" s="4" t="s">
        <v>1554</v>
      </c>
      <c r="B67" s="4" t="s">
        <v>1176</v>
      </c>
      <c r="C67" s="4" t="s">
        <v>79</v>
      </c>
      <c r="D67" s="4" t="s">
        <v>66</v>
      </c>
      <c r="E67" s="4" t="s">
        <v>1440</v>
      </c>
      <c r="F67" s="4" t="s">
        <v>1456</v>
      </c>
      <c r="G67" s="22">
        <v>885000</v>
      </c>
      <c r="H67" s="21">
        <v>7004</v>
      </c>
      <c r="I67" s="22">
        <v>126.3563677898344</v>
      </c>
      <c r="J67" s="21">
        <v>1956</v>
      </c>
      <c r="K67" s="4" t="s">
        <v>95</v>
      </c>
      <c r="L67" s="24"/>
      <c r="M67" s="4"/>
      <c r="N67" s="4" t="s">
        <v>1555</v>
      </c>
    </row>
    <row r="68" spans="1:14">
      <c r="A68" s="4" t="s">
        <v>1556</v>
      </c>
      <c r="B68" s="4" t="s">
        <v>1206</v>
      </c>
      <c r="C68" s="4" t="s">
        <v>81</v>
      </c>
      <c r="D68" s="4" t="s">
        <v>67</v>
      </c>
      <c r="E68" s="4" t="s">
        <v>1440</v>
      </c>
      <c r="F68" s="4" t="s">
        <v>1456</v>
      </c>
      <c r="G68" s="22">
        <v>905000</v>
      </c>
      <c r="H68" s="21">
        <v>1671</v>
      </c>
      <c r="I68" s="22">
        <v>541.5918611609815</v>
      </c>
      <c r="J68" s="21">
        <v>1998</v>
      </c>
      <c r="K68" s="4" t="s">
        <v>95</v>
      </c>
      <c r="L68" s="24"/>
      <c r="M68" s="4"/>
      <c r="N68" s="4" t="s">
        <v>1469</v>
      </c>
    </row>
    <row r="69" spans="1:14">
      <c r="A69" s="4" t="s">
        <v>1557</v>
      </c>
      <c r="B69" s="4" t="s">
        <v>1147</v>
      </c>
      <c r="C69" s="4" t="s">
        <v>1148</v>
      </c>
      <c r="D69" s="4" t="s">
        <v>67</v>
      </c>
      <c r="E69" s="4" t="s">
        <v>1440</v>
      </c>
      <c r="F69" s="4" t="s">
        <v>1456</v>
      </c>
      <c r="G69" s="22">
        <v>895000</v>
      </c>
      <c r="H69" s="21">
        <v>1500</v>
      </c>
      <c r="I69" s="22">
        <v>596.6666666666666</v>
      </c>
      <c r="J69" s="21">
        <v>2004</v>
      </c>
      <c r="K69" s="4" t="s">
        <v>95</v>
      </c>
      <c r="L69" s="24"/>
      <c r="M69" s="4"/>
      <c r="N69" s="4" t="s">
        <v>1558</v>
      </c>
    </row>
    <row r="70" spans="1:14">
      <c r="A70" s="4" t="s">
        <v>1559</v>
      </c>
      <c r="B70" s="4" t="s">
        <v>1207</v>
      </c>
      <c r="C70" s="4" t="s">
        <v>81</v>
      </c>
      <c r="D70" s="4" t="s">
        <v>69</v>
      </c>
      <c r="E70" s="4" t="s">
        <v>1440</v>
      </c>
      <c r="F70" s="4" t="s">
        <v>1456</v>
      </c>
      <c r="G70" s="22">
        <v>700000</v>
      </c>
      <c r="H70" s="21">
        <v>6250</v>
      </c>
      <c r="I70" s="22">
        <v>112</v>
      </c>
      <c r="J70" s="21">
        <v>1925</v>
      </c>
      <c r="K70" s="4" t="s">
        <v>95</v>
      </c>
      <c r="L70" s="24"/>
      <c r="M70" s="4"/>
      <c r="N70" s="4" t="s">
        <v>1522</v>
      </c>
    </row>
    <row r="71" spans="1:14">
      <c r="A71" s="4" t="s">
        <v>1560</v>
      </c>
      <c r="B71" s="4" t="s">
        <v>1208</v>
      </c>
      <c r="C71" s="4" t="s">
        <v>81</v>
      </c>
      <c r="D71" s="4" t="s">
        <v>65</v>
      </c>
      <c r="E71" s="4" t="s">
        <v>1440</v>
      </c>
      <c r="F71" s="4" t="s">
        <v>1456</v>
      </c>
      <c r="G71" s="22">
        <v>660000</v>
      </c>
      <c r="H71" s="21">
        <v>6776</v>
      </c>
      <c r="I71" s="22">
        <v>97.40259740259741</v>
      </c>
      <c r="J71" s="21">
        <v>1959</v>
      </c>
      <c r="K71" s="4" t="s">
        <v>95</v>
      </c>
      <c r="L71" s="24"/>
      <c r="M71" s="4"/>
      <c r="N71" s="4" t="s">
        <v>1550</v>
      </c>
    </row>
    <row r="72" spans="1:14">
      <c r="A72" s="4" t="s">
        <v>1561</v>
      </c>
      <c r="B72" s="4" t="s">
        <v>1194</v>
      </c>
      <c r="C72" s="4" t="s">
        <v>80</v>
      </c>
      <c r="D72" s="4" t="s">
        <v>65</v>
      </c>
      <c r="E72" s="4" t="s">
        <v>1440</v>
      </c>
      <c r="F72" s="4" t="s">
        <v>1456</v>
      </c>
      <c r="G72" s="22">
        <v>700000</v>
      </c>
      <c r="H72" s="21">
        <v>6250</v>
      </c>
      <c r="I72" s="22">
        <v>112</v>
      </c>
      <c r="J72" s="21">
        <v>1971</v>
      </c>
      <c r="K72" s="4" t="s">
        <v>95</v>
      </c>
      <c r="L72" s="24"/>
      <c r="M72" s="4"/>
      <c r="N72" s="4" t="s">
        <v>1562</v>
      </c>
    </row>
    <row r="73" spans="1:14">
      <c r="A73" s="4" t="s">
        <v>1563</v>
      </c>
      <c r="B73" s="4" t="s">
        <v>1564</v>
      </c>
      <c r="C73" s="4" t="s">
        <v>83</v>
      </c>
      <c r="D73" s="4" t="s">
        <v>66</v>
      </c>
      <c r="E73" s="4" t="s">
        <v>1440</v>
      </c>
      <c r="F73" s="4" t="s">
        <v>1456</v>
      </c>
      <c r="G73" s="22">
        <v>733000</v>
      </c>
      <c r="H73" s="24"/>
      <c r="I73" s="24"/>
      <c r="J73" s="21">
        <v>1940</v>
      </c>
      <c r="K73" s="4" t="s">
        <v>95</v>
      </c>
      <c r="L73" s="24"/>
      <c r="M73" s="4"/>
      <c r="N73" s="4" t="s">
        <v>1473</v>
      </c>
    </row>
    <row r="74" spans="1:14">
      <c r="A74" s="4" t="s">
        <v>1565</v>
      </c>
      <c r="B74" s="4" t="s">
        <v>1566</v>
      </c>
      <c r="C74" s="4" t="s">
        <v>109</v>
      </c>
      <c r="D74" s="4" t="s">
        <v>69</v>
      </c>
      <c r="E74" s="4" t="s">
        <v>1440</v>
      </c>
      <c r="F74" s="4" t="s">
        <v>1456</v>
      </c>
      <c r="G74" s="22">
        <v>515000</v>
      </c>
      <c r="H74" s="21">
        <v>84506</v>
      </c>
      <c r="I74" s="22">
        <v>6.094241828982558</v>
      </c>
      <c r="J74" s="21">
        <v>1973</v>
      </c>
      <c r="K74" s="4" t="s">
        <v>95</v>
      </c>
      <c r="L74" s="24"/>
      <c r="M74" s="4"/>
      <c r="N74" s="4" t="s">
        <v>1467</v>
      </c>
    </row>
    <row r="75" spans="1:14">
      <c r="A75" s="4" t="s">
        <v>1567</v>
      </c>
      <c r="B75" s="4" t="s">
        <v>1568</v>
      </c>
      <c r="C75" s="4" t="s">
        <v>115</v>
      </c>
      <c r="D75" s="4" t="s">
        <v>65</v>
      </c>
      <c r="E75" s="4" t="s">
        <v>1440</v>
      </c>
      <c r="F75" s="4" t="s">
        <v>1456</v>
      </c>
      <c r="G75" s="22">
        <v>700000</v>
      </c>
      <c r="H75" s="24"/>
      <c r="I75" s="24"/>
      <c r="J75" s="21">
        <v>1959</v>
      </c>
      <c r="K75" s="4" t="s">
        <v>95</v>
      </c>
      <c r="L75" s="24"/>
      <c r="M75" s="4"/>
      <c r="N75" s="4" t="s">
        <v>1469</v>
      </c>
    </row>
    <row r="76" spans="1:14">
      <c r="A76" s="4" t="s">
        <v>1569</v>
      </c>
      <c r="B76" s="4" t="s">
        <v>1197</v>
      </c>
      <c r="C76" s="4" t="s">
        <v>76</v>
      </c>
      <c r="D76" s="4" t="s">
        <v>70</v>
      </c>
      <c r="E76" s="4" t="s">
        <v>1440</v>
      </c>
      <c r="F76" s="4" t="s">
        <v>1456</v>
      </c>
      <c r="G76" s="22">
        <v>675000</v>
      </c>
      <c r="H76" s="21">
        <v>1200</v>
      </c>
      <c r="I76" s="22">
        <v>562.5</v>
      </c>
      <c r="J76" s="21">
        <v>1962</v>
      </c>
      <c r="K76" s="4" t="s">
        <v>95</v>
      </c>
      <c r="L76" s="24"/>
      <c r="M76" s="4"/>
      <c r="N76" s="4" t="s">
        <v>1467</v>
      </c>
    </row>
    <row r="77" spans="1:14">
      <c r="A77" s="4" t="s">
        <v>1570</v>
      </c>
      <c r="B77" s="4" t="s">
        <v>1209</v>
      </c>
      <c r="C77" s="4" t="s">
        <v>81</v>
      </c>
      <c r="D77" s="4" t="s">
        <v>68</v>
      </c>
      <c r="E77" s="4" t="s">
        <v>1440</v>
      </c>
      <c r="F77" s="4" t="s">
        <v>1456</v>
      </c>
      <c r="G77" s="22">
        <v>600000</v>
      </c>
      <c r="H77" s="21">
        <v>4633</v>
      </c>
      <c r="I77" s="22">
        <v>129.5057198359594</v>
      </c>
      <c r="J77" s="21">
        <v>1949</v>
      </c>
      <c r="K77" s="4" t="s">
        <v>95</v>
      </c>
      <c r="L77" s="24"/>
      <c r="M77" s="4"/>
      <c r="N77" s="4" t="s">
        <v>1571</v>
      </c>
    </row>
    <row r="78" spans="1:14">
      <c r="A78" s="4" t="s">
        <v>1572</v>
      </c>
      <c r="B78" s="4" t="s">
        <v>1177</v>
      </c>
      <c r="C78" s="4" t="s">
        <v>79</v>
      </c>
      <c r="D78" s="4" t="s">
        <v>65</v>
      </c>
      <c r="E78" s="4" t="s">
        <v>1440</v>
      </c>
      <c r="F78" s="4" t="s">
        <v>1456</v>
      </c>
      <c r="G78" s="22">
        <v>580000</v>
      </c>
      <c r="H78" s="21">
        <v>1258</v>
      </c>
      <c r="I78" s="22">
        <v>461.0492845786964</v>
      </c>
      <c r="J78" s="21">
        <v>2006</v>
      </c>
      <c r="K78" s="4" t="s">
        <v>95</v>
      </c>
      <c r="L78" s="24"/>
      <c r="M78" s="4"/>
      <c r="N78" s="24" t="s">
        <v>237</v>
      </c>
    </row>
    <row r="79" spans="1:14">
      <c r="A79" s="4" t="s">
        <v>1573</v>
      </c>
      <c r="B79" s="4" t="s">
        <v>1182</v>
      </c>
      <c r="C79" s="4" t="s">
        <v>78</v>
      </c>
      <c r="D79" s="4" t="s">
        <v>65</v>
      </c>
      <c r="E79" s="4" t="s">
        <v>1440</v>
      </c>
      <c r="F79" s="4" t="s">
        <v>1456</v>
      </c>
      <c r="G79" s="22">
        <v>575000</v>
      </c>
      <c r="H79" s="21">
        <v>1276</v>
      </c>
      <c r="I79" s="22">
        <v>450.6269592476489</v>
      </c>
      <c r="J79" s="21">
        <v>2007</v>
      </c>
      <c r="K79" s="4" t="s">
        <v>95</v>
      </c>
      <c r="L79" s="24"/>
      <c r="M79" s="4"/>
      <c r="N79" s="4" t="s">
        <v>1469</v>
      </c>
    </row>
    <row r="80" spans="1:14">
      <c r="A80" s="4" t="s">
        <v>1574</v>
      </c>
      <c r="B80" s="4" t="s">
        <v>1575</v>
      </c>
      <c r="C80" s="4" t="s">
        <v>76</v>
      </c>
      <c r="D80" s="4" t="s">
        <v>69</v>
      </c>
      <c r="E80" s="4" t="s">
        <v>1440</v>
      </c>
      <c r="F80" s="4" t="s">
        <v>1456</v>
      </c>
      <c r="G80" s="22">
        <v>525000</v>
      </c>
      <c r="H80" s="24"/>
      <c r="I80" s="24"/>
      <c r="J80" s="21">
        <v>1959</v>
      </c>
      <c r="K80" s="4" t="s">
        <v>95</v>
      </c>
      <c r="L80" s="24"/>
      <c r="M80" s="4"/>
      <c r="N80" s="4" t="s">
        <v>1550</v>
      </c>
    </row>
    <row r="81" spans="1:14">
      <c r="A81" s="4" t="s">
        <v>1576</v>
      </c>
      <c r="B81" s="4" t="s">
        <v>1189</v>
      </c>
      <c r="C81" s="4" t="s">
        <v>82</v>
      </c>
      <c r="D81" s="4" t="s">
        <v>67</v>
      </c>
      <c r="E81" s="4" t="s">
        <v>1440</v>
      </c>
      <c r="F81" s="4" t="s">
        <v>1456</v>
      </c>
      <c r="G81" s="22">
        <v>595000</v>
      </c>
      <c r="H81" s="21">
        <v>1488</v>
      </c>
      <c r="I81" s="22">
        <v>399.8655913978495</v>
      </c>
      <c r="J81" s="21">
        <v>1999</v>
      </c>
      <c r="K81" s="4" t="s">
        <v>95</v>
      </c>
      <c r="L81" s="24"/>
      <c r="M81" s="4"/>
      <c r="N81" s="4" t="s">
        <v>1469</v>
      </c>
    </row>
    <row r="82" spans="1:14">
      <c r="A82" s="4" t="s">
        <v>1577</v>
      </c>
      <c r="B82" s="4" t="s">
        <v>1210</v>
      </c>
      <c r="C82" s="4" t="s">
        <v>81</v>
      </c>
      <c r="D82" s="4" t="s">
        <v>69</v>
      </c>
      <c r="E82" s="4" t="s">
        <v>1440</v>
      </c>
      <c r="F82" s="4" t="s">
        <v>1456</v>
      </c>
      <c r="G82" s="22">
        <v>505000</v>
      </c>
      <c r="H82" s="21">
        <v>7380</v>
      </c>
      <c r="I82" s="22">
        <v>68.42818428184282</v>
      </c>
      <c r="J82" s="21">
        <v>1960</v>
      </c>
      <c r="K82" s="4" t="s">
        <v>95</v>
      </c>
      <c r="L82" s="24"/>
      <c r="M82" s="4"/>
      <c r="N82" s="4" t="s">
        <v>1469</v>
      </c>
    </row>
    <row r="83" spans="1:14">
      <c r="A83" s="4" t="s">
        <v>1578</v>
      </c>
      <c r="B83" s="4" t="s">
        <v>1579</v>
      </c>
      <c r="C83" s="4" t="s">
        <v>116</v>
      </c>
      <c r="D83" s="4" t="s">
        <v>65</v>
      </c>
      <c r="E83" s="4" t="s">
        <v>1440</v>
      </c>
      <c r="F83" s="4" t="s">
        <v>1456</v>
      </c>
      <c r="G83" s="22">
        <v>500000</v>
      </c>
      <c r="H83" s="24"/>
      <c r="I83" s="24"/>
      <c r="J83" s="21">
        <v>2009</v>
      </c>
      <c r="K83" s="4" t="s">
        <v>95</v>
      </c>
      <c r="L83" s="24"/>
      <c r="M83" s="4"/>
      <c r="N83" s="4" t="s">
        <v>1580</v>
      </c>
    </row>
    <row r="84" spans="1:14">
      <c r="A84" s="4" t="s">
        <v>1581</v>
      </c>
      <c r="B84" s="4" t="s">
        <v>856</v>
      </c>
      <c r="C84" s="4" t="s">
        <v>115</v>
      </c>
      <c r="D84" s="4" t="s">
        <v>68</v>
      </c>
      <c r="E84" s="4" t="s">
        <v>1440</v>
      </c>
      <c r="F84" s="4" t="s">
        <v>1456</v>
      </c>
      <c r="G84" s="22">
        <v>500000</v>
      </c>
      <c r="H84" s="21">
        <v>5268</v>
      </c>
      <c r="I84" s="22">
        <v>94.91268033409264</v>
      </c>
      <c r="J84" s="21">
        <v>1968</v>
      </c>
      <c r="K84" s="4" t="s">
        <v>95</v>
      </c>
      <c r="L84" s="24"/>
      <c r="M84" s="4"/>
      <c r="N84" s="4" t="s">
        <v>1467</v>
      </c>
    </row>
    <row r="85" spans="1:14">
      <c r="A85" s="4" t="s">
        <v>1582</v>
      </c>
      <c r="B85" s="4" t="s">
        <v>1583</v>
      </c>
      <c r="C85" s="4" t="s">
        <v>116</v>
      </c>
      <c r="D85" s="4" t="s">
        <v>74</v>
      </c>
      <c r="E85" s="4" t="s">
        <v>1440</v>
      </c>
      <c r="F85" s="4" t="s">
        <v>1456</v>
      </c>
      <c r="G85" s="22">
        <v>498500</v>
      </c>
      <c r="H85" s="21">
        <v>202500</v>
      </c>
      <c r="I85" s="22">
        <v>2.461728395061729</v>
      </c>
      <c r="J85" s="21">
        <v>2009</v>
      </c>
      <c r="K85" s="4" t="s">
        <v>95</v>
      </c>
      <c r="L85" s="24"/>
      <c r="M85" s="4"/>
      <c r="N85" s="4" t="s">
        <v>1580</v>
      </c>
    </row>
    <row r="86" spans="1:14">
      <c r="A86" s="4" t="s">
        <v>1584</v>
      </c>
      <c r="B86" s="4" t="s">
        <v>1585</v>
      </c>
      <c r="C86" s="4" t="s">
        <v>111</v>
      </c>
      <c r="D86" s="4" t="s">
        <v>67</v>
      </c>
      <c r="E86" s="4" t="s">
        <v>1440</v>
      </c>
      <c r="F86" s="4" t="s">
        <v>1456</v>
      </c>
      <c r="G86" s="22">
        <v>450000</v>
      </c>
      <c r="H86" s="21">
        <v>202520</v>
      </c>
      <c r="I86" s="22">
        <v>2.222002765158997</v>
      </c>
      <c r="J86" s="21">
        <v>2009</v>
      </c>
      <c r="K86" s="4" t="s">
        <v>95</v>
      </c>
      <c r="L86" s="24"/>
      <c r="M86" s="4"/>
      <c r="N86" s="4" t="s">
        <v>1580</v>
      </c>
    </row>
    <row r="87" spans="1:14">
      <c r="A87" s="4" t="s">
        <v>1586</v>
      </c>
      <c r="B87" s="4" t="s">
        <v>1151</v>
      </c>
      <c r="C87" s="4" t="s">
        <v>59</v>
      </c>
      <c r="D87" s="4" t="s">
        <v>69</v>
      </c>
      <c r="E87" s="4" t="s">
        <v>1440</v>
      </c>
      <c r="F87" s="4" t="s">
        <v>1456</v>
      </c>
      <c r="G87" s="22">
        <v>200000</v>
      </c>
      <c r="H87" s="21">
        <v>5200</v>
      </c>
      <c r="I87" s="22">
        <v>38.46153846153846</v>
      </c>
      <c r="J87" s="21">
        <v>1974</v>
      </c>
      <c r="K87" s="4" t="s">
        <v>95</v>
      </c>
      <c r="L87" s="24"/>
      <c r="M87" s="4"/>
      <c r="N87" s="4" t="s">
        <v>1475</v>
      </c>
    </row>
    <row r="88" spans="1:14">
      <c r="A88" s="4" t="s">
        <v>1587</v>
      </c>
      <c r="B88" s="4" t="s">
        <v>1198</v>
      </c>
      <c r="C88" s="4" t="s">
        <v>76</v>
      </c>
      <c r="D88" s="4" t="s">
        <v>70</v>
      </c>
      <c r="E88" s="4" t="s">
        <v>1440</v>
      </c>
      <c r="F88" s="4" t="s">
        <v>1456</v>
      </c>
      <c r="G88" s="22">
        <v>483600</v>
      </c>
      <c r="H88" s="21">
        <v>1200</v>
      </c>
      <c r="I88" s="22">
        <v>403</v>
      </c>
      <c r="J88" s="21">
        <v>1961</v>
      </c>
      <c r="K88" s="4" t="s">
        <v>95</v>
      </c>
      <c r="L88" s="24"/>
      <c r="M88" s="4"/>
      <c r="N88" s="4" t="s">
        <v>1467</v>
      </c>
    </row>
    <row r="89" spans="1:14">
      <c r="A89" s="4" t="s">
        <v>1588</v>
      </c>
      <c r="B89" s="4" t="s">
        <v>1150</v>
      </c>
      <c r="C89" s="4" t="s">
        <v>59</v>
      </c>
      <c r="D89" s="4" t="s">
        <v>65</v>
      </c>
      <c r="E89" s="4" t="s">
        <v>1440</v>
      </c>
      <c r="F89" s="4" t="s">
        <v>1456</v>
      </c>
      <c r="G89" s="22">
        <v>325000</v>
      </c>
      <c r="H89" s="21">
        <v>1938</v>
      </c>
      <c r="I89" s="22">
        <v>167.6986584107327</v>
      </c>
      <c r="J89" s="24"/>
      <c r="K89" s="4" t="s">
        <v>95</v>
      </c>
      <c r="L89" s="24"/>
      <c r="M89" s="4"/>
      <c r="N89" s="4" t="s">
        <v>1475</v>
      </c>
    </row>
    <row r="90" spans="1:14">
      <c r="A90" s="4" t="s">
        <v>1589</v>
      </c>
      <c r="B90" s="4" t="s">
        <v>1590</v>
      </c>
      <c r="C90" s="4" t="s">
        <v>76</v>
      </c>
      <c r="D90" s="4" t="s">
        <v>65</v>
      </c>
      <c r="E90" s="4" t="s">
        <v>1440</v>
      </c>
      <c r="F90" s="4" t="s">
        <v>1456</v>
      </c>
      <c r="G90" s="22">
        <v>305000</v>
      </c>
      <c r="H90" s="24"/>
      <c r="I90" s="24"/>
      <c r="J90" s="24"/>
      <c r="K90" s="4" t="s">
        <v>95</v>
      </c>
      <c r="L90" s="24"/>
      <c r="M90" s="4"/>
      <c r="N90" s="4" t="s">
        <v>1591</v>
      </c>
    </row>
    <row r="91" spans="1:14">
      <c r="A91" s="4" t="s">
        <v>1592</v>
      </c>
      <c r="B91" s="4" t="s">
        <v>1593</v>
      </c>
      <c r="C91" s="4" t="s">
        <v>79</v>
      </c>
      <c r="D91" s="4" t="s">
        <v>69</v>
      </c>
      <c r="E91" s="4" t="s">
        <v>1440</v>
      </c>
      <c r="F91" s="4" t="s">
        <v>1456</v>
      </c>
      <c r="G91" s="22">
        <v>295000</v>
      </c>
      <c r="H91" s="21">
        <v>1</v>
      </c>
      <c r="I91" s="22">
        <v>295000</v>
      </c>
      <c r="J91" s="21">
        <v>1972</v>
      </c>
      <c r="K91" s="4" t="s">
        <v>95</v>
      </c>
      <c r="L91" s="24"/>
      <c r="M91" s="4"/>
      <c r="N91" s="4" t="s">
        <v>1467</v>
      </c>
    </row>
    <row r="92" spans="1:14">
      <c r="A92" s="4" t="s">
        <v>1594</v>
      </c>
      <c r="B92" s="4" t="s">
        <v>1152</v>
      </c>
      <c r="C92" s="4" t="s">
        <v>59</v>
      </c>
      <c r="D92" s="4" t="s">
        <v>65</v>
      </c>
      <c r="E92" s="4" t="s">
        <v>1440</v>
      </c>
      <c r="F92" s="4" t="s">
        <v>1456</v>
      </c>
      <c r="G92" s="22">
        <v>185000</v>
      </c>
      <c r="H92" s="21">
        <v>1938</v>
      </c>
      <c r="I92" s="22">
        <v>95.45923632610939</v>
      </c>
      <c r="J92" s="24"/>
      <c r="K92" s="4" t="s">
        <v>95</v>
      </c>
      <c r="L92" s="24"/>
      <c r="M92" s="4"/>
      <c r="N92" s="4" t="s">
        <v>1475</v>
      </c>
    </row>
    <row r="93" spans="1:14">
      <c r="A93" s="4" t="s">
        <v>1595</v>
      </c>
      <c r="B93" s="4" t="s">
        <v>527</v>
      </c>
      <c r="C93" s="4" t="s">
        <v>528</v>
      </c>
      <c r="D93" s="4" t="s">
        <v>72</v>
      </c>
      <c r="E93" s="4" t="s">
        <v>1440</v>
      </c>
      <c r="F93" s="4" t="s">
        <v>1596</v>
      </c>
      <c r="G93" s="22">
        <v>10624</v>
      </c>
      <c r="H93" s="21">
        <v>5200</v>
      </c>
      <c r="I93" s="22">
        <v>2.043076923076923</v>
      </c>
      <c r="J93" s="24"/>
      <c r="K93" s="4" t="s">
        <v>95</v>
      </c>
      <c r="L93" s="22">
        <v>24.51692307692308</v>
      </c>
      <c r="M93" s="4"/>
      <c r="N93" s="4" t="s">
        <v>1510</v>
      </c>
    </row>
    <row r="94" spans="1:14">
      <c r="A94" s="4" t="s">
        <v>1597</v>
      </c>
      <c r="B94" s="4" t="s">
        <v>1598</v>
      </c>
      <c r="C94" s="4" t="s">
        <v>118</v>
      </c>
      <c r="D94" s="4" t="s">
        <v>67</v>
      </c>
      <c r="E94" s="4" t="s">
        <v>1440</v>
      </c>
      <c r="F94" s="4" t="s">
        <v>1596</v>
      </c>
      <c r="G94" s="22">
        <v>9500</v>
      </c>
      <c r="H94" s="21">
        <v>10125</v>
      </c>
      <c r="I94" s="22">
        <v>0.9382716049382716</v>
      </c>
      <c r="J94" s="21">
        <v>1954</v>
      </c>
      <c r="K94" s="4" t="s">
        <v>95</v>
      </c>
      <c r="L94" s="22">
        <v>11.25925925925926</v>
      </c>
      <c r="M94" s="4"/>
      <c r="N94" s="4" t="s">
        <v>1483</v>
      </c>
    </row>
    <row r="95" spans="1:14">
      <c r="A95" s="4" t="s">
        <v>1599</v>
      </c>
      <c r="B95" s="4" t="s">
        <v>1600</v>
      </c>
      <c r="C95" s="4" t="s">
        <v>79</v>
      </c>
      <c r="D95" s="4" t="s">
        <v>70</v>
      </c>
      <c r="E95" s="4" t="s">
        <v>1440</v>
      </c>
      <c r="F95" s="4" t="s">
        <v>1596</v>
      </c>
      <c r="G95" s="22">
        <v>7750</v>
      </c>
      <c r="H95" s="21">
        <v>40000</v>
      </c>
      <c r="I95" s="22">
        <v>0.19375</v>
      </c>
      <c r="J95" s="24"/>
      <c r="K95" s="4" t="s">
        <v>95</v>
      </c>
      <c r="L95" s="24"/>
      <c r="M95" s="4"/>
      <c r="N95" s="24" t="s">
        <v>237</v>
      </c>
    </row>
    <row r="96" spans="1:14">
      <c r="A96" s="4" t="s">
        <v>1601</v>
      </c>
      <c r="B96" s="4" t="s">
        <v>1602</v>
      </c>
      <c r="C96" s="4" t="s">
        <v>528</v>
      </c>
      <c r="D96" s="4" t="s">
        <v>70</v>
      </c>
      <c r="E96" s="4" t="s">
        <v>1440</v>
      </c>
      <c r="F96" s="4" t="s">
        <v>1596</v>
      </c>
      <c r="G96" s="22">
        <v>6500</v>
      </c>
      <c r="H96" s="21">
        <v>11083</v>
      </c>
      <c r="I96" s="22">
        <v>0.5864838040241812</v>
      </c>
      <c r="J96" s="21">
        <v>1982</v>
      </c>
      <c r="K96" s="4" t="s">
        <v>95</v>
      </c>
      <c r="L96" s="22">
        <v>7.037805648290174</v>
      </c>
      <c r="M96" s="4"/>
      <c r="N96" s="4" t="s">
        <v>1603</v>
      </c>
    </row>
    <row r="97" spans="1:14">
      <c r="A97" s="4" t="s">
        <v>1604</v>
      </c>
      <c r="B97" s="4" t="s">
        <v>1605</v>
      </c>
      <c r="C97" s="4" t="s">
        <v>81</v>
      </c>
      <c r="D97" s="4" t="s">
        <v>69</v>
      </c>
      <c r="E97" s="4" t="s">
        <v>1440</v>
      </c>
      <c r="F97" s="4" t="s">
        <v>1596</v>
      </c>
      <c r="G97" s="22">
        <v>6000</v>
      </c>
      <c r="H97" s="21">
        <v>9360</v>
      </c>
      <c r="I97" s="22">
        <v>0.6410256410256411</v>
      </c>
      <c r="J97" s="21">
        <v>1966</v>
      </c>
      <c r="K97" s="4" t="s">
        <v>95</v>
      </c>
      <c r="L97" s="22">
        <v>7.692307692307693</v>
      </c>
      <c r="M97" s="4"/>
      <c r="N97" s="4" t="s">
        <v>1522</v>
      </c>
    </row>
    <row r="98" spans="1:14">
      <c r="A98" s="4" t="s">
        <v>1606</v>
      </c>
      <c r="B98" s="4" t="s">
        <v>1607</v>
      </c>
      <c r="C98" s="4" t="s">
        <v>108</v>
      </c>
      <c r="D98" s="4" t="s">
        <v>69</v>
      </c>
      <c r="E98" s="4" t="s">
        <v>1440</v>
      </c>
      <c r="F98" s="4" t="s">
        <v>1596</v>
      </c>
      <c r="G98" s="22">
        <v>4500</v>
      </c>
      <c r="H98" s="21">
        <v>15005</v>
      </c>
      <c r="I98" s="22">
        <v>0.2999000333222259</v>
      </c>
      <c r="J98" s="21">
        <v>1972</v>
      </c>
      <c r="K98" s="4" t="s">
        <v>95</v>
      </c>
      <c r="L98" s="24"/>
      <c r="M98" s="4"/>
      <c r="N98" s="4" t="s">
        <v>1475</v>
      </c>
    </row>
    <row r="99" spans="1:14">
      <c r="A99" s="4" t="s">
        <v>1608</v>
      </c>
      <c r="B99" s="4" t="s">
        <v>1609</v>
      </c>
      <c r="C99" s="4" t="s">
        <v>83</v>
      </c>
      <c r="D99" s="4" t="s">
        <v>67</v>
      </c>
      <c r="E99" s="4" t="s">
        <v>1440</v>
      </c>
      <c r="F99" s="4" t="s">
        <v>1596</v>
      </c>
      <c r="G99" s="22">
        <v>6000</v>
      </c>
      <c r="H99" s="21">
        <v>14000</v>
      </c>
      <c r="I99" s="22">
        <v>0.4285714285714285</v>
      </c>
      <c r="J99" s="21">
        <v>1958</v>
      </c>
      <c r="K99" s="4" t="s">
        <v>95</v>
      </c>
      <c r="L99" s="22">
        <v>5.142857142857143</v>
      </c>
      <c r="M99" s="4"/>
      <c r="N99" s="4" t="s">
        <v>1469</v>
      </c>
    </row>
    <row r="100" spans="1:14">
      <c r="A100" s="4" t="s">
        <v>1610</v>
      </c>
      <c r="B100" s="4" t="s">
        <v>1598</v>
      </c>
      <c r="C100" s="4" t="s">
        <v>118</v>
      </c>
      <c r="D100" s="4" t="s">
        <v>67</v>
      </c>
      <c r="E100" s="4" t="s">
        <v>1440</v>
      </c>
      <c r="F100" s="4" t="s">
        <v>1596</v>
      </c>
      <c r="G100" s="22">
        <v>4500</v>
      </c>
      <c r="H100" s="21">
        <v>10125</v>
      </c>
      <c r="I100" s="22">
        <v>0.4444444444444444</v>
      </c>
      <c r="J100" s="21">
        <v>1954</v>
      </c>
      <c r="K100" s="4" t="s">
        <v>95</v>
      </c>
      <c r="L100" s="22">
        <v>5.333333333333333</v>
      </c>
      <c r="M100" s="4"/>
      <c r="N100" s="4" t="s">
        <v>1483</v>
      </c>
    </row>
    <row r="101" spans="1:14">
      <c r="A101" s="4" t="s">
        <v>1611</v>
      </c>
      <c r="B101" s="4" t="s">
        <v>1612</v>
      </c>
      <c r="C101" s="4" t="s">
        <v>116</v>
      </c>
      <c r="D101" s="4" t="s">
        <v>67</v>
      </c>
      <c r="E101" s="4" t="s">
        <v>1440</v>
      </c>
      <c r="F101" s="4" t="s">
        <v>1596</v>
      </c>
      <c r="G101" s="22">
        <v>5000</v>
      </c>
      <c r="H101" s="21">
        <v>15855</v>
      </c>
      <c r="I101" s="22">
        <v>0.315357931251971</v>
      </c>
      <c r="J101" s="24"/>
      <c r="K101" s="4" t="s">
        <v>95</v>
      </c>
      <c r="L101" s="24"/>
      <c r="M101" s="4"/>
      <c r="N101" s="24" t="s">
        <v>237</v>
      </c>
    </row>
    <row r="102" spans="1:14">
      <c r="A102" s="4" t="s">
        <v>1613</v>
      </c>
      <c r="B102" s="4" t="s">
        <v>1614</v>
      </c>
      <c r="C102" s="4" t="s">
        <v>108</v>
      </c>
      <c r="D102" s="4" t="s">
        <v>69</v>
      </c>
      <c r="E102" s="4" t="s">
        <v>1440</v>
      </c>
      <c r="F102" s="4" t="s">
        <v>1596</v>
      </c>
      <c r="G102" s="22">
        <v>4427</v>
      </c>
      <c r="H102" s="21">
        <v>15000</v>
      </c>
      <c r="I102" s="22">
        <v>0.2951333333333334</v>
      </c>
      <c r="J102" s="21">
        <v>1983</v>
      </c>
      <c r="K102" s="4" t="s">
        <v>95</v>
      </c>
      <c r="L102" s="24"/>
      <c r="M102" s="4"/>
      <c r="N102" s="4" t="s">
        <v>1475</v>
      </c>
    </row>
    <row r="103" spans="1:14">
      <c r="A103" s="4" t="s">
        <v>1615</v>
      </c>
      <c r="B103" s="4" t="s">
        <v>1616</v>
      </c>
      <c r="C103" s="4" t="s">
        <v>107</v>
      </c>
      <c r="D103" s="4" t="s">
        <v>70</v>
      </c>
      <c r="E103" s="4" t="s">
        <v>1440</v>
      </c>
      <c r="F103" s="4" t="s">
        <v>1596</v>
      </c>
      <c r="G103" s="22">
        <v>3225</v>
      </c>
      <c r="H103" s="21">
        <v>2880</v>
      </c>
      <c r="I103" s="22">
        <v>1.119791666666667</v>
      </c>
      <c r="J103" s="21">
        <v>1968</v>
      </c>
      <c r="K103" s="4" t="s">
        <v>95</v>
      </c>
      <c r="L103" s="22">
        <v>13.4375</v>
      </c>
      <c r="M103" s="4"/>
      <c r="N103" s="4" t="s">
        <v>1467</v>
      </c>
    </row>
    <row r="104" spans="1:14">
      <c r="A104" s="4" t="s">
        <v>1617</v>
      </c>
      <c r="B104" s="4" t="s">
        <v>1618</v>
      </c>
      <c r="C104" s="4" t="s">
        <v>115</v>
      </c>
      <c r="D104" s="4" t="s">
        <v>68</v>
      </c>
      <c r="E104" s="4" t="s">
        <v>1440</v>
      </c>
      <c r="F104" s="4" t="s">
        <v>1596</v>
      </c>
      <c r="G104" s="22">
        <v>3800</v>
      </c>
      <c r="H104" s="21">
        <v>7289</v>
      </c>
      <c r="I104" s="22">
        <v>0.5213335162573741</v>
      </c>
      <c r="J104" s="21">
        <v>1949</v>
      </c>
      <c r="K104" s="4" t="s">
        <v>95</v>
      </c>
      <c r="L104" s="22">
        <v>6.25600219508849</v>
      </c>
      <c r="M104" s="4"/>
      <c r="N104" s="4" t="s">
        <v>1467</v>
      </c>
    </row>
    <row r="105" spans="1:14">
      <c r="A105" s="4" t="s">
        <v>1619</v>
      </c>
      <c r="B105" s="4" t="s">
        <v>1618</v>
      </c>
      <c r="C105" s="4" t="s">
        <v>115</v>
      </c>
      <c r="D105" s="4" t="s">
        <v>68</v>
      </c>
      <c r="E105" s="4" t="s">
        <v>1440</v>
      </c>
      <c r="F105" s="4" t="s">
        <v>1596</v>
      </c>
      <c r="G105" s="22">
        <v>3700</v>
      </c>
      <c r="H105" s="21">
        <v>7289</v>
      </c>
      <c r="I105" s="22">
        <v>0.5076142131979695</v>
      </c>
      <c r="J105" s="21">
        <v>1949</v>
      </c>
      <c r="K105" s="4" t="s">
        <v>95</v>
      </c>
      <c r="L105" s="22">
        <v>6.091370558375634</v>
      </c>
      <c r="M105" s="4"/>
      <c r="N105" s="4" t="s">
        <v>1467</v>
      </c>
    </row>
    <row r="106" spans="1:14">
      <c r="A106" s="4" t="s">
        <v>1620</v>
      </c>
      <c r="B106" s="4" t="s">
        <v>1621</v>
      </c>
      <c r="C106" s="4" t="s">
        <v>80</v>
      </c>
      <c r="D106" s="4" t="s">
        <v>73</v>
      </c>
      <c r="E106" s="4" t="s">
        <v>1440</v>
      </c>
      <c r="F106" s="4" t="s">
        <v>1596</v>
      </c>
      <c r="G106" s="22">
        <v>4000</v>
      </c>
      <c r="H106" s="21">
        <v>32862</v>
      </c>
      <c r="I106" s="22">
        <v>0.1217211368754184</v>
      </c>
      <c r="J106" s="21">
        <v>1958</v>
      </c>
      <c r="K106" s="4" t="s">
        <v>95</v>
      </c>
      <c r="L106" s="24"/>
      <c r="M106" s="4"/>
      <c r="N106" s="4" t="s">
        <v>1535</v>
      </c>
    </row>
    <row r="107" spans="1:14">
      <c r="A107" s="4" t="s">
        <v>1622</v>
      </c>
      <c r="B107" s="4" t="s">
        <v>1623</v>
      </c>
      <c r="C107" s="4" t="s">
        <v>119</v>
      </c>
      <c r="D107" s="4" t="s">
        <v>68</v>
      </c>
      <c r="E107" s="4" t="s">
        <v>1440</v>
      </c>
      <c r="F107" s="4" t="s">
        <v>1596</v>
      </c>
      <c r="G107" s="22">
        <v>3800</v>
      </c>
      <c r="H107" s="21">
        <v>0</v>
      </c>
      <c r="I107" s="22" t="e">
        <f>1/0</f>
        <v>#DIV/0!</v>
      </c>
      <c r="J107" s="21">
        <v>2024</v>
      </c>
      <c r="K107" s="4" t="s">
        <v>95</v>
      </c>
      <c r="L107" s="24"/>
      <c r="M107" s="4"/>
      <c r="N107" s="4" t="s">
        <v>1580</v>
      </c>
    </row>
    <row r="108" spans="1:14">
      <c r="A108" s="4" t="s">
        <v>1624</v>
      </c>
      <c r="B108" s="4" t="s">
        <v>1625</v>
      </c>
      <c r="C108" s="4" t="s">
        <v>119</v>
      </c>
      <c r="D108" s="4" t="s">
        <v>67</v>
      </c>
      <c r="E108" s="4" t="s">
        <v>1440</v>
      </c>
      <c r="F108" s="4" t="s">
        <v>1596</v>
      </c>
      <c r="G108" s="22">
        <v>3950</v>
      </c>
      <c r="H108" s="21">
        <v>200000</v>
      </c>
      <c r="I108" s="22">
        <v>0.01975</v>
      </c>
      <c r="J108" s="21">
        <v>2009</v>
      </c>
      <c r="K108" s="4" t="s">
        <v>95</v>
      </c>
      <c r="L108" s="24"/>
      <c r="M108" s="4"/>
      <c r="N108" s="4" t="s">
        <v>1580</v>
      </c>
    </row>
    <row r="109" spans="1:14">
      <c r="A109" s="4" t="s">
        <v>1626</v>
      </c>
      <c r="B109" s="4" t="s">
        <v>1627</v>
      </c>
      <c r="C109" s="4" t="s">
        <v>1628</v>
      </c>
      <c r="D109" s="4" t="s">
        <v>69</v>
      </c>
      <c r="E109" s="4" t="s">
        <v>1440</v>
      </c>
      <c r="F109" s="4" t="s">
        <v>1596</v>
      </c>
      <c r="G109" s="22">
        <v>3800</v>
      </c>
      <c r="H109" s="21">
        <v>6950</v>
      </c>
      <c r="I109" s="22">
        <v>0.5467625899280576</v>
      </c>
      <c r="J109" s="21">
        <v>1973</v>
      </c>
      <c r="K109" s="4" t="s">
        <v>95</v>
      </c>
      <c r="L109" s="22">
        <v>6.561151079136691</v>
      </c>
      <c r="M109" s="4"/>
      <c r="N109" s="4" t="s">
        <v>1522</v>
      </c>
    </row>
    <row r="110" spans="1:14">
      <c r="A110" s="4" t="s">
        <v>1629</v>
      </c>
      <c r="B110" s="4" t="s">
        <v>1630</v>
      </c>
      <c r="C110" s="4" t="s">
        <v>528</v>
      </c>
      <c r="D110" s="4" t="s">
        <v>70</v>
      </c>
      <c r="E110" s="4" t="s">
        <v>1440</v>
      </c>
      <c r="F110" s="4" t="s">
        <v>1596</v>
      </c>
      <c r="G110" s="22">
        <v>3800</v>
      </c>
      <c r="H110" s="21">
        <v>16873</v>
      </c>
      <c r="I110" s="22">
        <v>0.2252118769631956</v>
      </c>
      <c r="J110" s="21">
        <v>1955</v>
      </c>
      <c r="K110" s="4" t="s">
        <v>95</v>
      </c>
      <c r="L110" s="24"/>
      <c r="M110" s="4"/>
      <c r="N110" s="4" t="s">
        <v>1467</v>
      </c>
    </row>
    <row r="111" spans="1:14">
      <c r="A111" s="4" t="s">
        <v>1631</v>
      </c>
      <c r="B111" s="4" t="s">
        <v>1632</v>
      </c>
      <c r="C111" s="4" t="s">
        <v>113</v>
      </c>
      <c r="D111" s="4" t="s">
        <v>68</v>
      </c>
      <c r="E111" s="4" t="s">
        <v>1440</v>
      </c>
      <c r="F111" s="4" t="s">
        <v>1596</v>
      </c>
      <c r="G111" s="22">
        <v>3800</v>
      </c>
      <c r="H111" s="21">
        <v>14500</v>
      </c>
      <c r="I111" s="22">
        <v>0.2620689655172414</v>
      </c>
      <c r="J111" s="21">
        <v>1955</v>
      </c>
      <c r="K111" s="4" t="s">
        <v>95</v>
      </c>
      <c r="L111" s="24"/>
      <c r="M111" s="4"/>
      <c r="N111" s="4" t="s">
        <v>1510</v>
      </c>
    </row>
    <row r="112" spans="1:14">
      <c r="A112" s="4" t="s">
        <v>1633</v>
      </c>
      <c r="B112" s="4" t="s">
        <v>1634</v>
      </c>
      <c r="C112" s="4" t="s">
        <v>79</v>
      </c>
      <c r="D112" s="4" t="s">
        <v>73</v>
      </c>
      <c r="E112" s="4" t="s">
        <v>1440</v>
      </c>
      <c r="F112" s="4" t="s">
        <v>1596</v>
      </c>
      <c r="G112" s="22">
        <v>3600</v>
      </c>
      <c r="H112" s="21">
        <v>3000</v>
      </c>
      <c r="I112" s="22">
        <v>1.2</v>
      </c>
      <c r="J112" s="24"/>
      <c r="K112" s="4" t="s">
        <v>95</v>
      </c>
      <c r="L112" s="22">
        <v>14.4</v>
      </c>
      <c r="M112" s="4"/>
      <c r="N112" s="24" t="s">
        <v>237</v>
      </c>
    </row>
    <row r="113" spans="1:14">
      <c r="A113" s="4" t="s">
        <v>1635</v>
      </c>
      <c r="B113" s="4" t="s">
        <v>1210</v>
      </c>
      <c r="C113" s="4" t="s">
        <v>80</v>
      </c>
      <c r="D113" s="4" t="s">
        <v>69</v>
      </c>
      <c r="E113" s="4" t="s">
        <v>1440</v>
      </c>
      <c r="F113" s="4" t="s">
        <v>1596</v>
      </c>
      <c r="G113" s="22">
        <v>3600</v>
      </c>
      <c r="H113" s="21">
        <v>7380</v>
      </c>
      <c r="I113" s="22">
        <v>0.4878048780487805</v>
      </c>
      <c r="J113" s="21">
        <v>1960</v>
      </c>
      <c r="K113" s="4" t="s">
        <v>95</v>
      </c>
      <c r="L113" s="22">
        <v>5.853658536585366</v>
      </c>
      <c r="M113" s="4"/>
      <c r="N113" s="4" t="s">
        <v>1469</v>
      </c>
    </row>
    <row r="114" spans="1:14">
      <c r="A114" s="4" t="s">
        <v>1636</v>
      </c>
      <c r="B114" s="4" t="s">
        <v>1637</v>
      </c>
      <c r="C114" s="4" t="s">
        <v>246</v>
      </c>
      <c r="D114" s="4" t="s">
        <v>65</v>
      </c>
      <c r="E114" s="4" t="s">
        <v>1440</v>
      </c>
      <c r="F114" s="4" t="s">
        <v>1596</v>
      </c>
      <c r="G114" s="22">
        <v>3400</v>
      </c>
      <c r="H114" s="24"/>
      <c r="I114" s="24"/>
      <c r="J114" s="21">
        <v>1964</v>
      </c>
      <c r="K114" s="4" t="s">
        <v>95</v>
      </c>
      <c r="L114" s="24"/>
      <c r="M114" s="4"/>
      <c r="N114" s="4" t="s">
        <v>1475</v>
      </c>
    </row>
    <row r="115" spans="1:14">
      <c r="A115" s="4" t="s">
        <v>1638</v>
      </c>
      <c r="B115" s="4" t="s">
        <v>1639</v>
      </c>
      <c r="C115" s="4" t="s">
        <v>115</v>
      </c>
      <c r="D115" s="4" t="s">
        <v>69</v>
      </c>
      <c r="E115" s="4" t="s">
        <v>1440</v>
      </c>
      <c r="F115" s="4" t="s">
        <v>1596</v>
      </c>
      <c r="G115" s="22">
        <v>3000</v>
      </c>
      <c r="H115" s="21">
        <v>42820</v>
      </c>
      <c r="I115" s="22">
        <v>0.07006071929005138</v>
      </c>
      <c r="J115" s="21">
        <v>1975</v>
      </c>
      <c r="K115" s="4" t="s">
        <v>95</v>
      </c>
      <c r="L115" s="24"/>
      <c r="M115" s="4"/>
      <c r="N115" s="4" t="s">
        <v>1467</v>
      </c>
    </row>
    <row r="116" spans="1:14">
      <c r="A116" s="4" t="s">
        <v>1640</v>
      </c>
      <c r="B116" s="4" t="s">
        <v>1641</v>
      </c>
      <c r="C116" s="4" t="s">
        <v>469</v>
      </c>
      <c r="D116" s="4" t="s">
        <v>72</v>
      </c>
      <c r="E116" s="4" t="s">
        <v>1440</v>
      </c>
      <c r="F116" s="4" t="s">
        <v>1596</v>
      </c>
      <c r="G116" s="22">
        <v>2800</v>
      </c>
      <c r="H116" s="21">
        <v>1053</v>
      </c>
      <c r="I116" s="22">
        <v>2.659069325735993</v>
      </c>
      <c r="J116" s="21">
        <v>1957</v>
      </c>
      <c r="K116" s="4" t="s">
        <v>95</v>
      </c>
      <c r="L116" s="22">
        <v>31.90883190883191</v>
      </c>
      <c r="M116" s="4"/>
      <c r="N116" s="4" t="s">
        <v>1467</v>
      </c>
    </row>
    <row r="117" spans="1:14">
      <c r="A117" s="4" t="s">
        <v>1642</v>
      </c>
      <c r="B117" s="4" t="s">
        <v>1643</v>
      </c>
      <c r="C117" s="4" t="s">
        <v>112</v>
      </c>
      <c r="D117" s="4" t="s">
        <v>69</v>
      </c>
      <c r="E117" s="4" t="s">
        <v>1440</v>
      </c>
      <c r="F117" s="4" t="s">
        <v>1596</v>
      </c>
      <c r="G117" s="22">
        <v>2600</v>
      </c>
      <c r="H117" s="21">
        <v>33482</v>
      </c>
      <c r="I117" s="22">
        <v>0.07765366465563586</v>
      </c>
      <c r="J117" s="21">
        <v>1995</v>
      </c>
      <c r="K117" s="4" t="s">
        <v>95</v>
      </c>
      <c r="L117" s="24"/>
      <c r="M117" s="4"/>
      <c r="N117" s="4" t="s">
        <v>1467</v>
      </c>
    </row>
    <row r="118" spans="1:14">
      <c r="A118" s="4" t="s">
        <v>1644</v>
      </c>
      <c r="B118" s="4" t="s">
        <v>1645</v>
      </c>
      <c r="C118" s="4" t="s">
        <v>797</v>
      </c>
      <c r="D118" s="4" t="s">
        <v>67</v>
      </c>
      <c r="E118" s="4" t="s">
        <v>1440</v>
      </c>
      <c r="F118" s="4" t="s">
        <v>1596</v>
      </c>
      <c r="G118" s="22">
        <v>2500</v>
      </c>
      <c r="H118" s="21">
        <v>12753</v>
      </c>
      <c r="I118" s="22">
        <v>0.1960323061240492</v>
      </c>
      <c r="J118" s="21">
        <v>1963</v>
      </c>
      <c r="K118" s="4" t="s">
        <v>95</v>
      </c>
      <c r="L118" s="24"/>
      <c r="M118" s="4"/>
      <c r="N118" s="24" t="s">
        <v>237</v>
      </c>
    </row>
    <row r="119" spans="1:14">
      <c r="A119" s="4" t="s">
        <v>1646</v>
      </c>
      <c r="B119" s="4" t="s">
        <v>1647</v>
      </c>
      <c r="C119" s="4" t="s">
        <v>108</v>
      </c>
      <c r="D119" s="4" t="s">
        <v>69</v>
      </c>
      <c r="E119" s="4" t="s">
        <v>1440</v>
      </c>
      <c r="F119" s="4" t="s">
        <v>1596</v>
      </c>
      <c r="G119" s="22">
        <v>2500</v>
      </c>
      <c r="H119" s="21">
        <v>15000</v>
      </c>
      <c r="I119" s="22">
        <v>0.1666666666666667</v>
      </c>
      <c r="J119" s="24"/>
      <c r="K119" s="4" t="s">
        <v>95</v>
      </c>
      <c r="L119" s="24"/>
      <c r="M119" s="4"/>
      <c r="N119" s="24" t="s">
        <v>237</v>
      </c>
    </row>
    <row r="120" spans="1:14">
      <c r="A120" s="4" t="s">
        <v>1648</v>
      </c>
      <c r="B120" s="4" t="s">
        <v>1634</v>
      </c>
      <c r="C120" s="4" t="s">
        <v>79</v>
      </c>
      <c r="D120" s="4" t="s">
        <v>73</v>
      </c>
      <c r="E120" s="4" t="s">
        <v>1440</v>
      </c>
      <c r="F120" s="4" t="s">
        <v>1596</v>
      </c>
      <c r="G120" s="22">
        <v>2500</v>
      </c>
      <c r="H120" s="21">
        <v>10000</v>
      </c>
      <c r="I120" s="22">
        <v>0.25</v>
      </c>
      <c r="J120" s="24"/>
      <c r="K120" s="4" t="s">
        <v>95</v>
      </c>
      <c r="L120" s="24"/>
      <c r="M120" s="4"/>
      <c r="N120" s="24" t="s">
        <v>237</v>
      </c>
    </row>
    <row r="121" spans="1:14">
      <c r="A121" s="4" t="s">
        <v>1649</v>
      </c>
      <c r="B121" s="4" t="s">
        <v>1650</v>
      </c>
      <c r="C121" s="4" t="s">
        <v>743</v>
      </c>
      <c r="D121" s="4" t="s">
        <v>70</v>
      </c>
      <c r="E121" s="4" t="s">
        <v>1440</v>
      </c>
      <c r="F121" s="4" t="s">
        <v>1596</v>
      </c>
      <c r="G121" s="22">
        <v>2200</v>
      </c>
      <c r="H121" s="21">
        <v>6751</v>
      </c>
      <c r="I121" s="22">
        <v>0.325877647755888</v>
      </c>
      <c r="J121" s="21">
        <v>1961</v>
      </c>
      <c r="K121" s="4" t="s">
        <v>95</v>
      </c>
      <c r="L121" s="24"/>
      <c r="M121" s="4"/>
      <c r="N121" s="4" t="s">
        <v>1467</v>
      </c>
    </row>
    <row r="122" spans="1:14">
      <c r="A122" s="4" t="s">
        <v>1651</v>
      </c>
      <c r="B122" s="4" t="s">
        <v>1652</v>
      </c>
      <c r="C122" s="4" t="s">
        <v>80</v>
      </c>
      <c r="D122" s="4" t="s">
        <v>69</v>
      </c>
      <c r="E122" s="4" t="s">
        <v>1440</v>
      </c>
      <c r="F122" s="4" t="s">
        <v>1596</v>
      </c>
      <c r="G122" s="22">
        <v>2400</v>
      </c>
      <c r="H122" s="21">
        <v>13664</v>
      </c>
      <c r="I122" s="22">
        <v>0.1756440281030445</v>
      </c>
      <c r="J122" s="21">
        <v>1977</v>
      </c>
      <c r="K122" s="4" t="s">
        <v>95</v>
      </c>
      <c r="L122" s="24"/>
      <c r="M122" s="4"/>
      <c r="N122" s="4" t="s">
        <v>1550</v>
      </c>
    </row>
    <row r="123" spans="1:14">
      <c r="A123" s="4" t="s">
        <v>1653</v>
      </c>
      <c r="B123" s="4" t="s">
        <v>1654</v>
      </c>
      <c r="C123" s="4" t="s">
        <v>1655</v>
      </c>
      <c r="D123" s="4" t="s">
        <v>70</v>
      </c>
      <c r="E123" s="4" t="s">
        <v>1440</v>
      </c>
      <c r="F123" s="4" t="s">
        <v>1596</v>
      </c>
      <c r="G123" s="22">
        <v>2400</v>
      </c>
      <c r="H123" s="21">
        <v>23014</v>
      </c>
      <c r="I123" s="22">
        <v>0.104284348657339</v>
      </c>
      <c r="J123" s="21">
        <v>1974</v>
      </c>
      <c r="K123" s="4" t="s">
        <v>95</v>
      </c>
      <c r="L123" s="24"/>
      <c r="M123" s="4"/>
      <c r="N123" s="24" t="s">
        <v>237</v>
      </c>
    </row>
    <row r="124" spans="1:14">
      <c r="A124" s="4" t="s">
        <v>1656</v>
      </c>
      <c r="B124" s="4" t="s">
        <v>1652</v>
      </c>
      <c r="C124" s="4" t="s">
        <v>80</v>
      </c>
      <c r="D124" s="4" t="s">
        <v>69</v>
      </c>
      <c r="E124" s="4" t="s">
        <v>1440</v>
      </c>
      <c r="F124" s="4" t="s">
        <v>1596</v>
      </c>
      <c r="G124" s="22">
        <v>2390</v>
      </c>
      <c r="H124" s="21">
        <v>13664</v>
      </c>
      <c r="I124" s="22">
        <v>0.1749121779859485</v>
      </c>
      <c r="J124" s="21">
        <v>1975</v>
      </c>
      <c r="K124" s="4" t="s">
        <v>95</v>
      </c>
      <c r="L124" s="24"/>
      <c r="M124" s="4"/>
      <c r="N124" s="4" t="s">
        <v>1550</v>
      </c>
    </row>
    <row r="125" spans="1:14">
      <c r="A125" s="4" t="s">
        <v>1657</v>
      </c>
      <c r="B125" s="4" t="s">
        <v>1658</v>
      </c>
      <c r="C125" s="4" t="s">
        <v>108</v>
      </c>
      <c r="D125" s="4" t="s">
        <v>69</v>
      </c>
      <c r="E125" s="4" t="s">
        <v>1440</v>
      </c>
      <c r="F125" s="4" t="s">
        <v>1596</v>
      </c>
      <c r="G125" s="22">
        <v>2350</v>
      </c>
      <c r="H125" s="21">
        <v>15000</v>
      </c>
      <c r="I125" s="22">
        <v>0.1566666666666667</v>
      </c>
      <c r="J125" s="24"/>
      <c r="K125" s="4" t="s">
        <v>95</v>
      </c>
      <c r="L125" s="24"/>
      <c r="M125" s="4"/>
      <c r="N125" s="24" t="s">
        <v>237</v>
      </c>
    </row>
    <row r="126" spans="1:14">
      <c r="A126" s="4" t="s">
        <v>1659</v>
      </c>
      <c r="B126" s="4" t="s">
        <v>1660</v>
      </c>
      <c r="C126" s="4" t="s">
        <v>108</v>
      </c>
      <c r="D126" s="4" t="s">
        <v>69</v>
      </c>
      <c r="E126" s="4" t="s">
        <v>1440</v>
      </c>
      <c r="F126" s="4" t="s">
        <v>1596</v>
      </c>
      <c r="G126" s="22">
        <v>1905</v>
      </c>
      <c r="H126" s="21">
        <v>15000</v>
      </c>
      <c r="I126" s="22">
        <v>0.127</v>
      </c>
      <c r="J126" s="21">
        <v>1983</v>
      </c>
      <c r="K126" s="4" t="s">
        <v>95</v>
      </c>
      <c r="L126" s="24"/>
      <c r="M126" s="4"/>
      <c r="N126" s="4" t="s">
        <v>1475</v>
      </c>
    </row>
    <row r="127" spans="1:14">
      <c r="A127" s="4" t="s">
        <v>1661</v>
      </c>
      <c r="B127" s="4" t="s">
        <v>1662</v>
      </c>
      <c r="C127" s="4" t="s">
        <v>81</v>
      </c>
      <c r="D127" s="4" t="s">
        <v>69</v>
      </c>
      <c r="E127" s="4" t="s">
        <v>1440</v>
      </c>
      <c r="F127" s="4" t="s">
        <v>1596</v>
      </c>
      <c r="G127" s="22">
        <v>1900</v>
      </c>
      <c r="H127" s="21">
        <v>6250</v>
      </c>
      <c r="I127" s="22">
        <v>0.304</v>
      </c>
      <c r="J127" s="21">
        <v>1960</v>
      </c>
      <c r="K127" s="4" t="s">
        <v>95</v>
      </c>
      <c r="L127" s="24"/>
      <c r="M127" s="4"/>
      <c r="N127" s="4" t="s">
        <v>1663</v>
      </c>
    </row>
    <row r="128" spans="1:14">
      <c r="A128" s="4" t="s">
        <v>1664</v>
      </c>
      <c r="B128" s="4" t="s">
        <v>1665</v>
      </c>
      <c r="C128" s="4" t="s">
        <v>79</v>
      </c>
      <c r="D128" s="4" t="s">
        <v>68</v>
      </c>
      <c r="E128" s="4" t="s">
        <v>1440</v>
      </c>
      <c r="F128" s="4" t="s">
        <v>1596</v>
      </c>
      <c r="G128" s="22">
        <v>1900</v>
      </c>
      <c r="H128" s="21">
        <v>40000</v>
      </c>
      <c r="I128" s="22">
        <v>0.0475</v>
      </c>
      <c r="J128" s="24"/>
      <c r="K128" s="4" t="s">
        <v>95</v>
      </c>
      <c r="L128" s="24"/>
      <c r="M128" s="4"/>
      <c r="N128" s="4" t="s">
        <v>1471</v>
      </c>
    </row>
    <row r="129" spans="1:14">
      <c r="A129" s="4" t="s">
        <v>1666</v>
      </c>
      <c r="B129" s="4" t="s">
        <v>1667</v>
      </c>
      <c r="C129" s="4" t="s">
        <v>79</v>
      </c>
      <c r="D129" s="4" t="s">
        <v>67</v>
      </c>
      <c r="E129" s="4" t="s">
        <v>1440</v>
      </c>
      <c r="F129" s="4" t="s">
        <v>1596</v>
      </c>
      <c r="G129" s="22">
        <v>1800</v>
      </c>
      <c r="H129" s="21">
        <v>24725</v>
      </c>
      <c r="I129" s="22">
        <v>0.07280080889787664</v>
      </c>
      <c r="J129" s="21">
        <v>1961</v>
      </c>
      <c r="K129" s="4" t="s">
        <v>95</v>
      </c>
      <c r="L129" s="24"/>
      <c r="M129" s="4"/>
      <c r="N129" s="4" t="s">
        <v>1668</v>
      </c>
    </row>
    <row r="130" spans="1:14">
      <c r="A130" s="4" t="s">
        <v>1669</v>
      </c>
      <c r="B130" s="4" t="s">
        <v>1670</v>
      </c>
      <c r="C130" s="4" t="s">
        <v>79</v>
      </c>
      <c r="D130" s="4" t="s">
        <v>69</v>
      </c>
      <c r="E130" s="4" t="s">
        <v>1440</v>
      </c>
      <c r="F130" s="4" t="s">
        <v>1596</v>
      </c>
      <c r="G130" s="22">
        <v>1750</v>
      </c>
      <c r="H130" s="21">
        <v>5738</v>
      </c>
      <c r="I130" s="22">
        <v>0.3049843150923667</v>
      </c>
      <c r="J130" s="21">
        <v>1974</v>
      </c>
      <c r="K130" s="4" t="s">
        <v>95</v>
      </c>
      <c r="L130" s="24"/>
      <c r="M130" s="4"/>
      <c r="N130" s="4" t="s">
        <v>1467</v>
      </c>
    </row>
    <row r="131" spans="1:14">
      <c r="A131" s="4" t="s">
        <v>1671</v>
      </c>
      <c r="B131" s="4" t="s">
        <v>1672</v>
      </c>
      <c r="C131" s="4" t="s">
        <v>246</v>
      </c>
      <c r="D131" s="4" t="s">
        <v>65</v>
      </c>
      <c r="E131" s="4" t="s">
        <v>1440</v>
      </c>
      <c r="F131" s="4" t="s">
        <v>1596</v>
      </c>
      <c r="G131" s="22">
        <v>1600</v>
      </c>
      <c r="H131" s="24"/>
      <c r="I131" s="24"/>
      <c r="J131" s="21">
        <v>1964</v>
      </c>
      <c r="K131" s="4" t="s">
        <v>95</v>
      </c>
      <c r="L131" s="24"/>
      <c r="M131" s="4"/>
      <c r="N131" s="4" t="s">
        <v>1475</v>
      </c>
    </row>
    <row r="132" spans="1:14">
      <c r="A132" s="4" t="s">
        <v>1673</v>
      </c>
      <c r="B132" s="4" t="s">
        <v>1674</v>
      </c>
      <c r="C132" s="4" t="s">
        <v>81</v>
      </c>
      <c r="D132" s="4" t="s">
        <v>69</v>
      </c>
      <c r="E132" s="4" t="s">
        <v>1440</v>
      </c>
      <c r="F132" s="4" t="s">
        <v>1596</v>
      </c>
      <c r="G132" s="22">
        <v>1500</v>
      </c>
      <c r="H132" s="21">
        <v>0</v>
      </c>
      <c r="I132" s="22" t="e">
        <f>1/0</f>
        <v>#DIV/0!</v>
      </c>
      <c r="J132" s="21">
        <v>1986</v>
      </c>
      <c r="K132" s="4" t="s">
        <v>95</v>
      </c>
      <c r="L132" s="24"/>
      <c r="M132" s="4"/>
      <c r="N132" s="4" t="s">
        <v>1479</v>
      </c>
    </row>
    <row r="133" spans="1:14">
      <c r="A133" s="4" t="s">
        <v>1675</v>
      </c>
      <c r="B133" s="4" t="s">
        <v>1634</v>
      </c>
      <c r="C133" s="4" t="s">
        <v>79</v>
      </c>
      <c r="D133" s="4" t="s">
        <v>73</v>
      </c>
      <c r="E133" s="4" t="s">
        <v>1440</v>
      </c>
      <c r="F133" s="4" t="s">
        <v>1596</v>
      </c>
      <c r="G133" s="22">
        <v>1200</v>
      </c>
      <c r="H133" s="21">
        <v>10000</v>
      </c>
      <c r="I133" s="22">
        <v>0.12</v>
      </c>
      <c r="J133" s="24"/>
      <c r="K133" s="4" t="s">
        <v>95</v>
      </c>
      <c r="L133" s="24"/>
      <c r="M133" s="4"/>
      <c r="N133" s="24" t="s">
        <v>237</v>
      </c>
    </row>
    <row r="134" spans="1:14">
      <c r="A134" s="4" t="s">
        <v>1676</v>
      </c>
      <c r="B134" s="4" t="s">
        <v>1677</v>
      </c>
      <c r="C134" s="4" t="s">
        <v>108</v>
      </c>
      <c r="D134" s="4" t="s">
        <v>69</v>
      </c>
      <c r="E134" s="4" t="s">
        <v>1440</v>
      </c>
      <c r="F134" s="4" t="s">
        <v>1596</v>
      </c>
      <c r="G134" s="22">
        <v>950</v>
      </c>
      <c r="H134" s="21">
        <v>15005</v>
      </c>
      <c r="I134" s="22">
        <v>0.06331222925691436</v>
      </c>
      <c r="J134" s="21">
        <v>1972</v>
      </c>
      <c r="K134" s="4" t="s">
        <v>95</v>
      </c>
      <c r="L134" s="24"/>
      <c r="M134" s="4"/>
      <c r="N134" s="4" t="s">
        <v>1475</v>
      </c>
    </row>
    <row r="135" spans="1:14">
      <c r="A135" s="4" t="s">
        <v>1678</v>
      </c>
      <c r="B135" s="4" t="s">
        <v>1679</v>
      </c>
      <c r="C135" s="4" t="s">
        <v>80</v>
      </c>
      <c r="D135" s="4" t="s">
        <v>69</v>
      </c>
      <c r="E135" s="4" t="s">
        <v>1440</v>
      </c>
      <c r="F135" s="4" t="s">
        <v>1596</v>
      </c>
      <c r="G135" s="22">
        <v>775</v>
      </c>
      <c r="H135" s="21">
        <v>13664</v>
      </c>
      <c r="I135" s="22">
        <v>0.05671838407494145</v>
      </c>
      <c r="J135" s="21">
        <v>1975</v>
      </c>
      <c r="K135" s="4" t="s">
        <v>95</v>
      </c>
      <c r="L135" s="24"/>
      <c r="M135" s="4"/>
      <c r="N135" s="4" t="s">
        <v>1550</v>
      </c>
    </row>
    <row r="136" spans="1:14">
      <c r="A136" s="4" t="s">
        <v>1680</v>
      </c>
      <c r="B136" s="4" t="s">
        <v>1681</v>
      </c>
      <c r="C136" s="4" t="s">
        <v>80</v>
      </c>
      <c r="D136" s="4" t="s">
        <v>69</v>
      </c>
      <c r="E136" s="4" t="s">
        <v>1440</v>
      </c>
      <c r="F136" s="4" t="s">
        <v>1596</v>
      </c>
      <c r="G136" s="22">
        <v>745</v>
      </c>
      <c r="H136" s="21">
        <v>13664</v>
      </c>
      <c r="I136" s="22">
        <v>0.05452283372365339</v>
      </c>
      <c r="J136" s="21">
        <v>1975</v>
      </c>
      <c r="K136" s="4" t="s">
        <v>95</v>
      </c>
      <c r="L136" s="24"/>
      <c r="M136" s="4"/>
      <c r="N136" s="4" t="s">
        <v>1550</v>
      </c>
    </row>
    <row r="137" spans="1:14">
      <c r="A137" s="4" t="s">
        <v>1682</v>
      </c>
      <c r="B137" s="4" t="s">
        <v>1683</v>
      </c>
      <c r="C137" s="4" t="s">
        <v>80</v>
      </c>
      <c r="D137" s="4" t="s">
        <v>69</v>
      </c>
      <c r="E137" s="4" t="s">
        <v>1440</v>
      </c>
      <c r="F137" s="4" t="s">
        <v>1596</v>
      </c>
      <c r="G137" s="22">
        <v>740</v>
      </c>
      <c r="H137" s="21">
        <v>13664</v>
      </c>
      <c r="I137" s="22">
        <v>0.05415690866510538</v>
      </c>
      <c r="J137" s="21">
        <v>1975</v>
      </c>
      <c r="K137" s="4" t="s">
        <v>95</v>
      </c>
      <c r="L137" s="24"/>
      <c r="M137" s="4"/>
      <c r="N137" s="4" t="s">
        <v>1550</v>
      </c>
    </row>
    <row r="138" spans="1:14">
      <c r="A138" s="4" t="s">
        <v>1684</v>
      </c>
      <c r="B138" s="4" t="s">
        <v>1685</v>
      </c>
      <c r="C138" s="4" t="s">
        <v>108</v>
      </c>
      <c r="D138" s="4" t="s">
        <v>69</v>
      </c>
      <c r="E138" s="4" t="s">
        <v>1440</v>
      </c>
      <c r="F138" s="4" t="s">
        <v>1596</v>
      </c>
      <c r="G138" s="22">
        <v>700</v>
      </c>
      <c r="H138" s="21">
        <v>15000</v>
      </c>
      <c r="I138" s="22">
        <v>0.04666666666666667</v>
      </c>
      <c r="J138" s="24"/>
      <c r="K138" s="4" t="s">
        <v>95</v>
      </c>
      <c r="L138" s="24"/>
      <c r="M138" s="4"/>
      <c r="N138" s="24" t="s">
        <v>237</v>
      </c>
    </row>
    <row r="139" spans="1:14">
      <c r="A139" s="4" t="s">
        <v>1686</v>
      </c>
      <c r="B139" s="4" t="s">
        <v>1687</v>
      </c>
      <c r="C139" s="4" t="s">
        <v>108</v>
      </c>
      <c r="D139" s="4" t="s">
        <v>69</v>
      </c>
      <c r="E139" s="4" t="s">
        <v>1440</v>
      </c>
      <c r="F139" s="4" t="s">
        <v>1596</v>
      </c>
      <c r="G139" s="22">
        <v>700</v>
      </c>
      <c r="H139" s="21">
        <v>15000</v>
      </c>
      <c r="I139" s="22">
        <v>0.04666666666666667</v>
      </c>
      <c r="J139" s="24"/>
      <c r="K139" s="4" t="s">
        <v>95</v>
      </c>
      <c r="L139" s="24"/>
      <c r="M139" s="4"/>
      <c r="N139" s="24" t="s">
        <v>237</v>
      </c>
    </row>
    <row r="140" spans="1:14">
      <c r="A140" s="4" t="s">
        <v>1688</v>
      </c>
      <c r="B140" s="4" t="s">
        <v>1689</v>
      </c>
      <c r="C140" s="4" t="s">
        <v>80</v>
      </c>
      <c r="D140" s="4" t="s">
        <v>69</v>
      </c>
      <c r="E140" s="4" t="s">
        <v>1440</v>
      </c>
      <c r="F140" s="4" t="s">
        <v>1596</v>
      </c>
      <c r="G140" s="22">
        <v>690</v>
      </c>
      <c r="H140" s="21">
        <v>13664</v>
      </c>
      <c r="I140" s="22">
        <v>0.05049765807962529</v>
      </c>
      <c r="J140" s="21">
        <v>1977</v>
      </c>
      <c r="K140" s="4" t="s">
        <v>95</v>
      </c>
      <c r="L140" s="24"/>
      <c r="M140" s="4"/>
      <c r="N140" s="4" t="s">
        <v>1550</v>
      </c>
    </row>
    <row r="141" spans="1:14">
      <c r="A141" s="4" t="s">
        <v>1690</v>
      </c>
      <c r="B141" s="4" t="s">
        <v>1691</v>
      </c>
      <c r="C141" s="4" t="s">
        <v>80</v>
      </c>
      <c r="D141" s="4" t="s">
        <v>69</v>
      </c>
      <c r="E141" s="4" t="s">
        <v>1440</v>
      </c>
      <c r="F141" s="4" t="s">
        <v>1596</v>
      </c>
      <c r="G141" s="22">
        <v>625</v>
      </c>
      <c r="H141" s="21">
        <v>13664</v>
      </c>
      <c r="I141" s="22">
        <v>0.04574063231850117</v>
      </c>
      <c r="J141" s="21">
        <v>1975</v>
      </c>
      <c r="K141" s="4" t="s">
        <v>95</v>
      </c>
      <c r="L141" s="24"/>
      <c r="M141" s="4"/>
      <c r="N141" s="4" t="s">
        <v>1550</v>
      </c>
    </row>
    <row r="142" spans="1:14">
      <c r="A142" s="4" t="s">
        <v>1692</v>
      </c>
      <c r="B142" s="4" t="s">
        <v>1693</v>
      </c>
      <c r="C142" s="4" t="s">
        <v>80</v>
      </c>
      <c r="D142" s="4" t="s">
        <v>69</v>
      </c>
      <c r="E142" s="4" t="s">
        <v>1440</v>
      </c>
      <c r="F142" s="4" t="s">
        <v>1596</v>
      </c>
      <c r="G142" s="22">
        <v>625</v>
      </c>
      <c r="H142" s="21">
        <v>13664</v>
      </c>
      <c r="I142" s="22">
        <v>0.04574063231850117</v>
      </c>
      <c r="J142" s="21">
        <v>1975</v>
      </c>
      <c r="K142" s="4" t="s">
        <v>95</v>
      </c>
      <c r="L142" s="24"/>
      <c r="M142" s="4"/>
      <c r="N142" s="4" t="s">
        <v>1550</v>
      </c>
    </row>
    <row r="143" spans="1:14">
      <c r="A143" s="4" t="s">
        <v>1694</v>
      </c>
      <c r="B143" s="4" t="s">
        <v>1689</v>
      </c>
      <c r="C143" s="4" t="s">
        <v>80</v>
      </c>
      <c r="D143" s="4" t="s">
        <v>69</v>
      </c>
      <c r="E143" s="4" t="s">
        <v>1440</v>
      </c>
      <c r="F143" s="4" t="s">
        <v>1596</v>
      </c>
      <c r="G143" s="22">
        <v>650</v>
      </c>
      <c r="H143" s="21">
        <v>13664</v>
      </c>
      <c r="I143" s="22">
        <v>0.04757025761124122</v>
      </c>
      <c r="J143" s="21">
        <v>1977</v>
      </c>
      <c r="K143" s="4" t="s">
        <v>95</v>
      </c>
      <c r="L143" s="24"/>
      <c r="M143" s="4"/>
      <c r="N143" s="4" t="s">
        <v>1550</v>
      </c>
    </row>
    <row r="144" spans="1:14">
      <c r="A144" s="4" t="s">
        <v>1695</v>
      </c>
      <c r="B144" s="4" t="s">
        <v>1696</v>
      </c>
      <c r="C144" s="4" t="s">
        <v>118</v>
      </c>
      <c r="D144" s="4" t="s">
        <v>69</v>
      </c>
      <c r="E144" s="4" t="s">
        <v>1440</v>
      </c>
      <c r="F144" s="4" t="s">
        <v>1596</v>
      </c>
      <c r="G144" s="22">
        <v>900</v>
      </c>
      <c r="H144" s="21">
        <v>37500</v>
      </c>
      <c r="I144" s="22">
        <v>0.024</v>
      </c>
      <c r="J144" s="21">
        <v>1987</v>
      </c>
      <c r="K144" s="4" t="s">
        <v>95</v>
      </c>
      <c r="L144" s="24"/>
      <c r="M144" s="4"/>
      <c r="N144" s="4" t="s">
        <v>1479</v>
      </c>
    </row>
    <row r="145" spans="1:14">
      <c r="A145" s="4" t="s">
        <v>1697</v>
      </c>
      <c r="B145" s="4" t="s">
        <v>436</v>
      </c>
      <c r="C145" s="4" t="s">
        <v>82</v>
      </c>
      <c r="D145" s="4" t="s">
        <v>67</v>
      </c>
      <c r="E145" s="4" t="s">
        <v>1440</v>
      </c>
      <c r="F145" s="4" t="s">
        <v>1596</v>
      </c>
      <c r="G145" s="22">
        <v>40</v>
      </c>
      <c r="H145" s="21">
        <v>7000</v>
      </c>
      <c r="I145" s="22">
        <v>0.005714285714285714</v>
      </c>
      <c r="J145" s="21">
        <v>1954</v>
      </c>
      <c r="K145" s="4" t="s">
        <v>95</v>
      </c>
      <c r="L145" s="22">
        <v>40</v>
      </c>
      <c r="M145" s="4"/>
      <c r="N145" s="4" t="s">
        <v>1469</v>
      </c>
    </row>
    <row r="146" spans="1:14">
      <c r="A146" s="4" t="s">
        <v>1698</v>
      </c>
      <c r="B146" s="4" t="s">
        <v>1699</v>
      </c>
      <c r="C146" s="4" t="s">
        <v>111</v>
      </c>
      <c r="D146" s="4" t="s">
        <v>69</v>
      </c>
      <c r="E146" s="4" t="s">
        <v>1440</v>
      </c>
      <c r="F146" s="4" t="s">
        <v>1596</v>
      </c>
      <c r="G146" s="22">
        <v>36</v>
      </c>
      <c r="H146" s="21">
        <v>15010</v>
      </c>
      <c r="I146" s="22">
        <v>0.002398401065956029</v>
      </c>
      <c r="J146" s="21">
        <v>1966</v>
      </c>
      <c r="K146" s="4" t="s">
        <v>95</v>
      </c>
      <c r="L146" s="22">
        <v>36</v>
      </c>
      <c r="M146" s="4"/>
      <c r="N146" s="4" t="s">
        <v>1475</v>
      </c>
    </row>
    <row r="147" spans="1:14">
      <c r="A147" s="4" t="s">
        <v>1700</v>
      </c>
      <c r="B147" s="4" t="s">
        <v>1701</v>
      </c>
      <c r="C147" s="4" t="s">
        <v>79</v>
      </c>
      <c r="D147" s="4" t="s">
        <v>70</v>
      </c>
      <c r="E147" s="4" t="s">
        <v>1440</v>
      </c>
      <c r="F147" s="4" t="s">
        <v>1596</v>
      </c>
      <c r="G147" s="22">
        <v>24</v>
      </c>
      <c r="H147" s="21">
        <v>51631</v>
      </c>
      <c r="I147" s="22">
        <v>0.0004648370165210823</v>
      </c>
      <c r="J147" s="21">
        <v>1981</v>
      </c>
      <c r="K147" s="4" t="s">
        <v>95</v>
      </c>
      <c r="L147" s="22">
        <v>24</v>
      </c>
      <c r="M147" s="4"/>
      <c r="N147" s="4" t="s">
        <v>1467</v>
      </c>
    </row>
    <row r="148" spans="1:14">
      <c r="A148" s="4" t="s">
        <v>1702</v>
      </c>
      <c r="B148" s="4" t="s">
        <v>1703</v>
      </c>
      <c r="C148" s="4" t="s">
        <v>81</v>
      </c>
      <c r="D148" s="4" t="s">
        <v>69</v>
      </c>
      <c r="E148" s="4" t="s">
        <v>1440</v>
      </c>
      <c r="F148" s="4" t="s">
        <v>1596</v>
      </c>
      <c r="G148" s="22">
        <v>9139</v>
      </c>
      <c r="H148" s="21">
        <v>182000</v>
      </c>
      <c r="I148" s="22">
        <v>0.05021428571428571</v>
      </c>
      <c r="J148" s="21">
        <v>1986</v>
      </c>
      <c r="K148" s="4" t="s">
        <v>95</v>
      </c>
      <c r="L148" s="24"/>
      <c r="M148" s="4"/>
      <c r="N148" s="4" t="s">
        <v>1479</v>
      </c>
    </row>
    <row r="149" spans="1:14">
      <c r="A149" s="4" t="s">
        <v>1704</v>
      </c>
      <c r="B149" s="4" t="s">
        <v>1705</v>
      </c>
      <c r="C149" s="4" t="s">
        <v>111</v>
      </c>
      <c r="D149" s="4" t="s">
        <v>69</v>
      </c>
      <c r="E149" s="4" t="s">
        <v>1440</v>
      </c>
      <c r="F149" s="4" t="s">
        <v>1596</v>
      </c>
      <c r="G149" s="22">
        <v>29</v>
      </c>
      <c r="H149" s="21">
        <v>6750</v>
      </c>
      <c r="I149" s="22">
        <v>0.004296296296296296</v>
      </c>
      <c r="J149" s="21">
        <v>1958</v>
      </c>
      <c r="K149" s="4" t="s">
        <v>95</v>
      </c>
      <c r="L149" s="22">
        <v>29</v>
      </c>
      <c r="M149" s="4"/>
      <c r="N149" s="4" t="s">
        <v>1550</v>
      </c>
    </row>
    <row r="150" spans="1:14">
      <c r="A150" s="4" t="s">
        <v>1706</v>
      </c>
      <c r="B150" s="4" t="s">
        <v>1707</v>
      </c>
      <c r="C150" s="4" t="s">
        <v>108</v>
      </c>
      <c r="D150" s="4" t="s">
        <v>69</v>
      </c>
      <c r="E150" s="4" t="s">
        <v>1440</v>
      </c>
      <c r="F150" s="4" t="s">
        <v>1596</v>
      </c>
      <c r="G150" s="22">
        <v>4532</v>
      </c>
      <c r="H150" s="21">
        <v>15010</v>
      </c>
      <c r="I150" s="22">
        <v>0.3019320453031312</v>
      </c>
      <c r="J150" s="21">
        <v>1978</v>
      </c>
      <c r="K150" s="4" t="s">
        <v>95</v>
      </c>
      <c r="L150" s="24"/>
      <c r="M150" s="4"/>
      <c r="N150" s="4" t="s">
        <v>1475</v>
      </c>
    </row>
    <row r="151" spans="1:14">
      <c r="A151" s="4" t="s">
        <v>1708</v>
      </c>
      <c r="B151" s="4" t="s">
        <v>1709</v>
      </c>
      <c r="C151" s="4" t="s">
        <v>1710</v>
      </c>
      <c r="D151" s="4" t="s">
        <v>67</v>
      </c>
      <c r="E151" s="4" t="s">
        <v>1440</v>
      </c>
      <c r="F151" s="4" t="s">
        <v>1596</v>
      </c>
      <c r="G151" s="22">
        <v>19</v>
      </c>
      <c r="H151" s="21">
        <v>3225</v>
      </c>
      <c r="I151" s="22">
        <v>0.005891472868217054</v>
      </c>
      <c r="J151" s="21">
        <v>1975</v>
      </c>
      <c r="K151" s="4" t="s">
        <v>95</v>
      </c>
      <c r="L151" s="22">
        <v>19</v>
      </c>
      <c r="M151" s="4"/>
      <c r="N151" s="4" t="s">
        <v>1711</v>
      </c>
    </row>
    <row r="152" spans="1:14">
      <c r="A152" s="4" t="s">
        <v>1712</v>
      </c>
      <c r="B152" s="4" t="s">
        <v>1713</v>
      </c>
      <c r="C152" s="4" t="s">
        <v>1714</v>
      </c>
      <c r="D152" s="4" t="s">
        <v>70</v>
      </c>
      <c r="E152" s="4" t="s">
        <v>1440</v>
      </c>
      <c r="F152" s="4" t="s">
        <v>1596</v>
      </c>
      <c r="G152" s="22">
        <v>1300</v>
      </c>
      <c r="H152" s="21">
        <v>51631</v>
      </c>
      <c r="I152" s="22">
        <v>0.02517867172822529</v>
      </c>
      <c r="J152" s="21">
        <v>1981</v>
      </c>
      <c r="K152" s="4" t="s">
        <v>95</v>
      </c>
      <c r="L152" s="24"/>
      <c r="M152" s="4"/>
      <c r="N152" s="4" t="s">
        <v>1467</v>
      </c>
    </row>
    <row r="153" spans="1:14">
      <c r="A153" s="4" t="s">
        <v>1715</v>
      </c>
      <c r="B153" s="4" t="s">
        <v>1716</v>
      </c>
      <c r="C153" s="4" t="s">
        <v>1717</v>
      </c>
      <c r="D153" s="4" t="s">
        <v>70</v>
      </c>
      <c r="E153" s="4" t="s">
        <v>1440</v>
      </c>
      <c r="F153" s="4" t="s">
        <v>1596</v>
      </c>
      <c r="G153" s="22">
        <v>27</v>
      </c>
      <c r="H153" s="21">
        <v>51631</v>
      </c>
      <c r="I153" s="22">
        <v>0.0005229416435862176</v>
      </c>
      <c r="J153" s="21">
        <v>1981</v>
      </c>
      <c r="K153" s="4" t="s">
        <v>95</v>
      </c>
      <c r="L153" s="22">
        <v>27</v>
      </c>
      <c r="M153" s="4"/>
      <c r="N153" s="4" t="s">
        <v>1467</v>
      </c>
    </row>
    <row r="154" spans="1:14">
      <c r="A154" s="4" t="s">
        <v>1718</v>
      </c>
      <c r="B154" s="4" t="s">
        <v>1719</v>
      </c>
      <c r="C154" s="4" t="s">
        <v>83</v>
      </c>
      <c r="D154" s="4" t="s">
        <v>74</v>
      </c>
      <c r="E154" s="4" t="s">
        <v>1440</v>
      </c>
      <c r="F154" s="4" t="s">
        <v>1596</v>
      </c>
      <c r="G154" s="22">
        <v>568887</v>
      </c>
      <c r="H154" s="21">
        <v>73433</v>
      </c>
      <c r="I154" s="22">
        <v>7.747021094058529</v>
      </c>
      <c r="J154" s="21">
        <v>1990</v>
      </c>
      <c r="K154" s="4" t="s">
        <v>95</v>
      </c>
      <c r="L154" s="22">
        <v>7.747021094058529</v>
      </c>
      <c r="M154" s="4"/>
      <c r="N154" s="4" t="s">
        <v>1469</v>
      </c>
    </row>
    <row r="155" spans="1:14">
      <c r="A155" s="4" t="s">
        <v>1720</v>
      </c>
      <c r="B155" s="4" t="s">
        <v>1721</v>
      </c>
      <c r="C155" s="4" t="s">
        <v>118</v>
      </c>
      <c r="D155" s="4" t="s">
        <v>69</v>
      </c>
      <c r="E155" s="4" t="s">
        <v>1440</v>
      </c>
      <c r="F155" s="4" t="s">
        <v>1596</v>
      </c>
      <c r="G155" s="22">
        <v>1500</v>
      </c>
      <c r="H155" s="21">
        <v>37500</v>
      </c>
      <c r="I155" s="22">
        <v>0.04</v>
      </c>
      <c r="J155" s="21">
        <v>1987</v>
      </c>
      <c r="K155" s="4" t="s">
        <v>95</v>
      </c>
      <c r="L155" s="24"/>
      <c r="M155" s="4"/>
      <c r="N155" s="4" t="s">
        <v>1479</v>
      </c>
    </row>
    <row r="156" spans="1:14">
      <c r="A156" s="4" t="s">
        <v>1722</v>
      </c>
      <c r="B156" s="4" t="s">
        <v>1213</v>
      </c>
      <c r="C156" s="4" t="s">
        <v>1214</v>
      </c>
      <c r="D156" s="4" t="s">
        <v>67</v>
      </c>
      <c r="E156" s="4" t="s">
        <v>1440</v>
      </c>
      <c r="F156" s="4" t="s">
        <v>1456</v>
      </c>
      <c r="G156" s="22">
        <v>1725000</v>
      </c>
      <c r="H156" s="21">
        <v>5170</v>
      </c>
      <c r="I156" s="22">
        <v>333.6557059961315</v>
      </c>
      <c r="J156" s="21">
        <v>2000</v>
      </c>
      <c r="K156" s="4" t="s">
        <v>94</v>
      </c>
      <c r="L156" s="24"/>
      <c r="M156" s="4"/>
      <c r="N156" s="4" t="s">
        <v>1483</v>
      </c>
    </row>
    <row r="157" spans="1:14">
      <c r="A157" s="4" t="s">
        <v>1723</v>
      </c>
      <c r="B157" s="4" t="s">
        <v>1724</v>
      </c>
      <c r="C157" s="4" t="s">
        <v>1214</v>
      </c>
      <c r="D157" s="4" t="s">
        <v>74</v>
      </c>
      <c r="E157" s="4" t="s">
        <v>1440</v>
      </c>
      <c r="F157" s="4" t="s">
        <v>1596</v>
      </c>
      <c r="G157" s="22">
        <v>463002</v>
      </c>
      <c r="H157" s="21">
        <v>73433</v>
      </c>
      <c r="I157" s="22">
        <v>6.305094439829505</v>
      </c>
      <c r="J157" s="21">
        <v>1990</v>
      </c>
      <c r="K157" s="4" t="s">
        <v>95</v>
      </c>
      <c r="L157" s="22">
        <v>6.305094439829505</v>
      </c>
      <c r="M157" s="4"/>
      <c r="N157" s="4" t="s">
        <v>1469</v>
      </c>
    </row>
    <row r="158" spans="1:14">
      <c r="A158" s="4" t="s">
        <v>1725</v>
      </c>
      <c r="B158" s="4" t="s">
        <v>895</v>
      </c>
      <c r="C158" s="4" t="s">
        <v>76</v>
      </c>
      <c r="D158" s="4" t="s">
        <v>65</v>
      </c>
      <c r="E158" s="4" t="s">
        <v>896</v>
      </c>
      <c r="F158" s="4" t="s">
        <v>1456</v>
      </c>
      <c r="G158" s="22">
        <v>10500000</v>
      </c>
      <c r="H158" s="21">
        <v>47950</v>
      </c>
      <c r="I158" s="22">
        <v>218.978102189781</v>
      </c>
      <c r="J158" s="21">
        <v>1991</v>
      </c>
      <c r="K158" s="4" t="s">
        <v>98</v>
      </c>
      <c r="L158" s="24"/>
      <c r="M158" s="4"/>
      <c r="N158" s="4" t="s">
        <v>1467</v>
      </c>
    </row>
    <row r="159" spans="1:14">
      <c r="A159" s="4" t="s">
        <v>1726</v>
      </c>
      <c r="B159" s="4" t="s">
        <v>1727</v>
      </c>
      <c r="C159" s="4" t="s">
        <v>83</v>
      </c>
      <c r="D159" s="4" t="s">
        <v>67</v>
      </c>
      <c r="E159" s="4" t="s">
        <v>896</v>
      </c>
      <c r="F159" s="4" t="s">
        <v>1456</v>
      </c>
      <c r="G159" s="22">
        <v>3495000</v>
      </c>
      <c r="H159" s="24"/>
      <c r="I159" s="24"/>
      <c r="J159" s="21">
        <v>1969</v>
      </c>
      <c r="K159" s="4" t="s">
        <v>96</v>
      </c>
      <c r="L159" s="24"/>
      <c r="M159" s="4"/>
      <c r="N159" s="4" t="s">
        <v>1469</v>
      </c>
    </row>
    <row r="160" spans="1:14">
      <c r="A160" s="4" t="s">
        <v>1728</v>
      </c>
      <c r="B160" s="4" t="s">
        <v>1035</v>
      </c>
      <c r="C160" s="4" t="s">
        <v>116</v>
      </c>
      <c r="D160" s="4" t="s">
        <v>65</v>
      </c>
      <c r="E160" s="4" t="s">
        <v>896</v>
      </c>
      <c r="F160" s="4" t="s">
        <v>1456</v>
      </c>
      <c r="G160" s="22">
        <v>2900000</v>
      </c>
      <c r="H160" s="21">
        <v>21450</v>
      </c>
      <c r="I160" s="22">
        <v>135.1981351981352</v>
      </c>
      <c r="J160" s="21">
        <v>1967</v>
      </c>
      <c r="K160" s="4" t="s">
        <v>96</v>
      </c>
      <c r="L160" s="24"/>
      <c r="M160" s="4"/>
      <c r="N160" s="4" t="s">
        <v>1473</v>
      </c>
    </row>
    <row r="161" spans="1:14">
      <c r="A161" s="4" t="s">
        <v>1729</v>
      </c>
      <c r="B161" s="4" t="s">
        <v>1054</v>
      </c>
      <c r="C161" s="4" t="s">
        <v>110</v>
      </c>
      <c r="D161" s="4" t="s">
        <v>65</v>
      </c>
      <c r="E161" s="4" t="s">
        <v>896</v>
      </c>
      <c r="F161" s="4" t="s">
        <v>1456</v>
      </c>
      <c r="G161" s="22">
        <v>2400000</v>
      </c>
      <c r="H161" s="21">
        <v>1108</v>
      </c>
      <c r="I161" s="22">
        <v>2166.064981949458</v>
      </c>
      <c r="J161" s="21">
        <v>1957</v>
      </c>
      <c r="K161" s="4" t="s">
        <v>94</v>
      </c>
      <c r="L161" s="24"/>
      <c r="M161" s="4"/>
      <c r="N161" s="4" t="s">
        <v>1730</v>
      </c>
    </row>
    <row r="162" spans="1:14">
      <c r="A162" s="4" t="s">
        <v>1731</v>
      </c>
      <c r="B162" s="4" t="s">
        <v>1045</v>
      </c>
      <c r="C162" s="4" t="s">
        <v>81</v>
      </c>
      <c r="D162" s="4" t="s">
        <v>69</v>
      </c>
      <c r="E162" s="4" t="s">
        <v>896</v>
      </c>
      <c r="F162" s="4" t="s">
        <v>1456</v>
      </c>
      <c r="G162" s="22">
        <v>1995000</v>
      </c>
      <c r="H162" s="21">
        <v>21789</v>
      </c>
      <c r="I162" s="22">
        <v>91.55996144843728</v>
      </c>
      <c r="J162" s="21">
        <v>1974</v>
      </c>
      <c r="K162" s="4" t="s">
        <v>94</v>
      </c>
      <c r="L162" s="24"/>
      <c r="M162" s="4"/>
      <c r="N162" s="4" t="s">
        <v>1732</v>
      </c>
    </row>
    <row r="163" spans="1:14">
      <c r="A163" s="4" t="s">
        <v>1733</v>
      </c>
      <c r="B163" s="4" t="s">
        <v>950</v>
      </c>
      <c r="C163" s="4" t="s">
        <v>78</v>
      </c>
      <c r="D163" s="4" t="s">
        <v>68</v>
      </c>
      <c r="E163" s="4" t="s">
        <v>896</v>
      </c>
      <c r="F163" s="4" t="s">
        <v>1456</v>
      </c>
      <c r="G163" s="22">
        <v>1900000</v>
      </c>
      <c r="H163" s="21">
        <v>6385</v>
      </c>
      <c r="I163" s="22">
        <v>297.5724353954581</v>
      </c>
      <c r="J163" s="21">
        <v>1954</v>
      </c>
      <c r="K163" s="4" t="s">
        <v>94</v>
      </c>
      <c r="L163" s="24"/>
      <c r="M163" s="4"/>
      <c r="N163" s="4" t="s">
        <v>1469</v>
      </c>
    </row>
    <row r="164" spans="1:14">
      <c r="A164" s="4" t="s">
        <v>1734</v>
      </c>
      <c r="B164" s="4" t="s">
        <v>515</v>
      </c>
      <c r="C164" s="4" t="s">
        <v>77</v>
      </c>
      <c r="D164" s="4" t="s">
        <v>66</v>
      </c>
      <c r="E164" s="4" t="s">
        <v>896</v>
      </c>
      <c r="F164" s="4" t="s">
        <v>1456</v>
      </c>
      <c r="G164" s="22">
        <v>1900000</v>
      </c>
      <c r="H164" s="21">
        <v>10126</v>
      </c>
      <c r="I164" s="22">
        <v>187.6357890578708</v>
      </c>
      <c r="J164" s="21">
        <v>1973</v>
      </c>
      <c r="K164" s="4" t="s">
        <v>94</v>
      </c>
      <c r="L164" s="24"/>
      <c r="M164" s="4"/>
      <c r="N164" s="4" t="s">
        <v>1473</v>
      </c>
    </row>
    <row r="165" spans="1:14">
      <c r="A165" s="4" t="s">
        <v>1735</v>
      </c>
      <c r="B165" s="4" t="s">
        <v>626</v>
      </c>
      <c r="C165" s="4" t="s">
        <v>79</v>
      </c>
      <c r="D165" s="4" t="s">
        <v>66</v>
      </c>
      <c r="E165" s="4" t="s">
        <v>896</v>
      </c>
      <c r="F165" s="4" t="s">
        <v>1456</v>
      </c>
      <c r="G165" s="22">
        <v>1250000</v>
      </c>
      <c r="H165" s="24"/>
      <c r="I165" s="24"/>
      <c r="J165" s="21">
        <v>1958</v>
      </c>
      <c r="K165" s="4" t="s">
        <v>94</v>
      </c>
      <c r="L165" s="24"/>
      <c r="M165" s="4"/>
      <c r="N165" s="4" t="s">
        <v>1517</v>
      </c>
    </row>
    <row r="166" spans="1:14">
      <c r="A166" s="4" t="s">
        <v>1736</v>
      </c>
      <c r="B166" s="4" t="s">
        <v>1025</v>
      </c>
      <c r="C166" s="4" t="s">
        <v>82</v>
      </c>
      <c r="D166" s="4" t="s">
        <v>65</v>
      </c>
      <c r="E166" s="4" t="s">
        <v>896</v>
      </c>
      <c r="F166" s="4" t="s">
        <v>1456</v>
      </c>
      <c r="G166" s="22">
        <v>975000</v>
      </c>
      <c r="H166" s="21">
        <v>7000</v>
      </c>
      <c r="I166" s="22">
        <v>139.2857142857143</v>
      </c>
      <c r="J166" s="21">
        <v>1957</v>
      </c>
      <c r="K166" s="4" t="s">
        <v>95</v>
      </c>
      <c r="L166" s="24"/>
      <c r="M166" s="4"/>
      <c r="N166" s="24" t="s">
        <v>237</v>
      </c>
    </row>
    <row r="167" spans="1:14">
      <c r="A167" s="4" t="s">
        <v>1737</v>
      </c>
      <c r="B167" s="4" t="s">
        <v>724</v>
      </c>
      <c r="C167" s="4" t="s">
        <v>77</v>
      </c>
      <c r="D167" s="4" t="s">
        <v>66</v>
      </c>
      <c r="E167" s="4" t="s">
        <v>896</v>
      </c>
      <c r="F167" s="4" t="s">
        <v>1456</v>
      </c>
      <c r="G167" s="22">
        <v>975000</v>
      </c>
      <c r="H167" s="21">
        <v>6750</v>
      </c>
      <c r="I167" s="22">
        <v>144.4444444444445</v>
      </c>
      <c r="J167" s="21">
        <v>1972</v>
      </c>
      <c r="K167" s="4" t="s">
        <v>95</v>
      </c>
      <c r="L167" s="24"/>
      <c r="M167" s="4"/>
      <c r="N167" s="4" t="s">
        <v>1473</v>
      </c>
    </row>
    <row r="168" spans="1:14">
      <c r="A168" s="4" t="s">
        <v>1738</v>
      </c>
      <c r="B168" s="4" t="s">
        <v>776</v>
      </c>
      <c r="C168" s="4" t="s">
        <v>118</v>
      </c>
      <c r="D168" s="4" t="s">
        <v>68</v>
      </c>
      <c r="E168" s="4" t="s">
        <v>896</v>
      </c>
      <c r="F168" s="4" t="s">
        <v>1456</v>
      </c>
      <c r="G168" s="22">
        <v>799900</v>
      </c>
      <c r="H168" s="21">
        <v>11136</v>
      </c>
      <c r="I168" s="22">
        <v>71.83010057471265</v>
      </c>
      <c r="J168" s="24"/>
      <c r="K168" s="4" t="s">
        <v>95</v>
      </c>
      <c r="L168" s="24"/>
      <c r="M168" s="4"/>
      <c r="N168" s="4" t="s">
        <v>1471</v>
      </c>
    </row>
    <row r="169" spans="1:14">
      <c r="A169" s="4" t="s">
        <v>1739</v>
      </c>
      <c r="B169" s="4" t="s">
        <v>570</v>
      </c>
      <c r="C169" s="4" t="s">
        <v>81</v>
      </c>
      <c r="D169" s="4" t="s">
        <v>66</v>
      </c>
      <c r="E169" s="4" t="s">
        <v>1030</v>
      </c>
      <c r="F169" s="4" t="s">
        <v>1456</v>
      </c>
      <c r="G169" s="22">
        <v>1750000</v>
      </c>
      <c r="H169" s="21">
        <v>14299</v>
      </c>
      <c r="I169" s="22">
        <v>122.3861808518078</v>
      </c>
      <c r="J169" s="21">
        <v>1977</v>
      </c>
      <c r="K169" s="4" t="s">
        <v>94</v>
      </c>
      <c r="L169" s="24"/>
      <c r="M169" s="4"/>
      <c r="N169" s="4" t="s">
        <v>1473</v>
      </c>
    </row>
    <row r="170" spans="1:14">
      <c r="A170" s="4" t="s">
        <v>1740</v>
      </c>
      <c r="B170" s="4" t="s">
        <v>1741</v>
      </c>
      <c r="C170" s="4" t="s">
        <v>120</v>
      </c>
      <c r="D170" s="4" t="s">
        <v>65</v>
      </c>
      <c r="E170" s="4" t="s">
        <v>1030</v>
      </c>
      <c r="F170" s="4" t="s">
        <v>1596</v>
      </c>
      <c r="G170" s="22">
        <v>1000</v>
      </c>
      <c r="H170" s="21">
        <v>12250</v>
      </c>
      <c r="I170" s="22">
        <v>0.08163265306122448</v>
      </c>
      <c r="J170" s="24"/>
      <c r="K170" s="4" t="s">
        <v>95</v>
      </c>
      <c r="L170" s="24"/>
      <c r="M170" s="4"/>
      <c r="N170" s="4" t="s">
        <v>1479</v>
      </c>
    </row>
    <row r="171" spans="1:14">
      <c r="A171" s="4" t="s">
        <v>1742</v>
      </c>
      <c r="B171" s="4" t="s">
        <v>1743</v>
      </c>
      <c r="C171" s="4" t="s">
        <v>80</v>
      </c>
      <c r="D171" s="4" t="s">
        <v>70</v>
      </c>
      <c r="E171" s="4" t="s">
        <v>1030</v>
      </c>
      <c r="F171" s="4" t="s">
        <v>1596</v>
      </c>
      <c r="G171" s="22">
        <v>45</v>
      </c>
      <c r="H171" s="24"/>
      <c r="I171" s="24"/>
      <c r="J171" s="21">
        <v>2025</v>
      </c>
      <c r="K171" s="4" t="s">
        <v>95</v>
      </c>
      <c r="L171" s="24"/>
      <c r="M171" s="4"/>
      <c r="N171" s="4" t="s">
        <v>1562</v>
      </c>
    </row>
    <row r="172" spans="1:14">
      <c r="A172" s="4" t="s">
        <v>1744</v>
      </c>
      <c r="B172" s="4" t="s">
        <v>1745</v>
      </c>
      <c r="C172" s="4" t="s">
        <v>79</v>
      </c>
      <c r="D172" s="4" t="s">
        <v>65</v>
      </c>
      <c r="E172" s="4" t="s">
        <v>1030</v>
      </c>
      <c r="F172" s="4" t="s">
        <v>1596</v>
      </c>
      <c r="G172" s="22">
        <v>29</v>
      </c>
      <c r="H172" s="21">
        <v>11893</v>
      </c>
      <c r="I172" s="22">
        <v>0.00243840914823846</v>
      </c>
      <c r="J172" s="24"/>
      <c r="K172" s="4" t="s">
        <v>95</v>
      </c>
      <c r="L172" s="22">
        <v>29</v>
      </c>
      <c r="M172" s="4"/>
      <c r="N172" s="4" t="s">
        <v>1469</v>
      </c>
    </row>
    <row r="173" spans="1:14">
      <c r="A173" s="4" t="s">
        <v>1746</v>
      </c>
      <c r="B173" s="4" t="s">
        <v>1747</v>
      </c>
      <c r="C173" s="4" t="s">
        <v>77</v>
      </c>
      <c r="D173" s="4" t="s">
        <v>67</v>
      </c>
      <c r="E173" s="4" t="s">
        <v>1030</v>
      </c>
      <c r="F173" s="4" t="s">
        <v>1596</v>
      </c>
      <c r="G173" s="22">
        <v>20</v>
      </c>
      <c r="H173" s="21">
        <v>14000</v>
      </c>
      <c r="I173" s="22">
        <v>0.001428571428571429</v>
      </c>
      <c r="J173" s="21">
        <v>1958</v>
      </c>
      <c r="K173" s="4" t="s">
        <v>95</v>
      </c>
      <c r="L173" s="22">
        <v>20</v>
      </c>
      <c r="M173" s="4"/>
      <c r="N173" s="4" t="s">
        <v>1469</v>
      </c>
    </row>
    <row r="174" spans="1:14">
      <c r="A174" s="4" t="s">
        <v>1748</v>
      </c>
      <c r="B174" s="4" t="s">
        <v>1749</v>
      </c>
      <c r="C174" s="4" t="s">
        <v>59</v>
      </c>
      <c r="D174" s="4" t="s">
        <v>70</v>
      </c>
      <c r="E174" s="4" t="s">
        <v>901</v>
      </c>
      <c r="F174" s="4" t="s">
        <v>1456</v>
      </c>
      <c r="G174" s="22">
        <v>18192200</v>
      </c>
      <c r="H174" s="24"/>
      <c r="I174" s="24"/>
      <c r="J174" s="21">
        <v>1974</v>
      </c>
      <c r="K174" s="4" t="s">
        <v>98</v>
      </c>
      <c r="L174" s="24"/>
      <c r="M174" s="4"/>
      <c r="N174" s="4" t="s">
        <v>1750</v>
      </c>
    </row>
    <row r="175" spans="1:14">
      <c r="A175" s="4" t="s">
        <v>1751</v>
      </c>
      <c r="B175" s="4" t="s">
        <v>1063</v>
      </c>
      <c r="C175" s="4" t="s">
        <v>59</v>
      </c>
      <c r="D175" s="4" t="s">
        <v>66</v>
      </c>
      <c r="E175" s="4" t="s">
        <v>901</v>
      </c>
      <c r="F175" s="4" t="s">
        <v>1456</v>
      </c>
      <c r="G175" s="22">
        <v>18000000</v>
      </c>
      <c r="H175" s="24"/>
      <c r="I175" s="24"/>
      <c r="J175" s="21">
        <v>1947</v>
      </c>
      <c r="K175" s="4" t="s">
        <v>98</v>
      </c>
      <c r="L175" s="24"/>
      <c r="M175" s="4"/>
      <c r="N175" s="4" t="s">
        <v>1457</v>
      </c>
    </row>
    <row r="176" spans="1:14">
      <c r="A176" s="4" t="s">
        <v>1752</v>
      </c>
      <c r="B176" s="4" t="s">
        <v>1753</v>
      </c>
      <c r="C176" s="4" t="s">
        <v>80</v>
      </c>
      <c r="D176" s="4" t="s">
        <v>68</v>
      </c>
      <c r="E176" s="4" t="s">
        <v>901</v>
      </c>
      <c r="F176" s="4" t="s">
        <v>1456</v>
      </c>
      <c r="G176" s="22">
        <v>12000000</v>
      </c>
      <c r="H176" s="24"/>
      <c r="I176" s="24"/>
      <c r="J176" s="21">
        <v>1959</v>
      </c>
      <c r="K176" s="4" t="s">
        <v>98</v>
      </c>
      <c r="L176" s="24"/>
      <c r="M176" s="4"/>
      <c r="N176" s="4" t="s">
        <v>1571</v>
      </c>
    </row>
    <row r="177" spans="1:14">
      <c r="A177" s="4" t="s">
        <v>1754</v>
      </c>
      <c r="B177" s="4" t="s">
        <v>1755</v>
      </c>
      <c r="C177" s="4" t="s">
        <v>59</v>
      </c>
      <c r="D177" s="4" t="s">
        <v>70</v>
      </c>
      <c r="E177" s="4" t="s">
        <v>901</v>
      </c>
      <c r="F177" s="4" t="s">
        <v>1456</v>
      </c>
      <c r="G177" s="22">
        <v>9721350</v>
      </c>
      <c r="H177" s="24"/>
      <c r="I177" s="24"/>
      <c r="J177" s="21">
        <v>1958</v>
      </c>
      <c r="K177" s="4" t="s">
        <v>97</v>
      </c>
      <c r="L177" s="24"/>
      <c r="M177" s="4"/>
      <c r="N177" s="4" t="s">
        <v>1750</v>
      </c>
    </row>
    <row r="178" spans="1:14">
      <c r="A178" s="4" t="s">
        <v>1756</v>
      </c>
      <c r="B178" s="4" t="s">
        <v>1043</v>
      </c>
      <c r="C178" s="4" t="s">
        <v>79</v>
      </c>
      <c r="D178" s="4" t="s">
        <v>71</v>
      </c>
      <c r="E178" s="4" t="s">
        <v>901</v>
      </c>
      <c r="F178" s="4" t="s">
        <v>1456</v>
      </c>
      <c r="G178" s="22">
        <v>7995000</v>
      </c>
      <c r="H178" s="21">
        <v>36407</v>
      </c>
      <c r="I178" s="22">
        <v>219.6006262531931</v>
      </c>
      <c r="J178" s="21">
        <v>1957</v>
      </c>
      <c r="K178" s="4" t="s">
        <v>97</v>
      </c>
      <c r="L178" s="24"/>
      <c r="M178" s="4"/>
      <c r="N178" s="4" t="s">
        <v>1757</v>
      </c>
    </row>
    <row r="179" spans="1:14">
      <c r="A179" s="4" t="s">
        <v>1758</v>
      </c>
      <c r="B179" s="4" t="s">
        <v>1759</v>
      </c>
      <c r="C179" s="4" t="s">
        <v>79</v>
      </c>
      <c r="D179" s="4" t="s">
        <v>70</v>
      </c>
      <c r="E179" s="4" t="s">
        <v>901</v>
      </c>
      <c r="F179" s="4" t="s">
        <v>1456</v>
      </c>
      <c r="G179" s="22">
        <v>7500000</v>
      </c>
      <c r="H179" s="24"/>
      <c r="I179" s="24"/>
      <c r="J179" s="21">
        <v>1962</v>
      </c>
      <c r="K179" s="4" t="s">
        <v>97</v>
      </c>
      <c r="L179" s="24"/>
      <c r="M179" s="4"/>
      <c r="N179" s="4" t="s">
        <v>1760</v>
      </c>
    </row>
    <row r="180" spans="1:14">
      <c r="A180" s="4" t="s">
        <v>1761</v>
      </c>
      <c r="B180" s="4" t="s">
        <v>1033</v>
      </c>
      <c r="C180" s="4" t="s">
        <v>76</v>
      </c>
      <c r="D180" s="4" t="s">
        <v>71</v>
      </c>
      <c r="E180" s="4" t="s">
        <v>901</v>
      </c>
      <c r="F180" s="4" t="s">
        <v>1456</v>
      </c>
      <c r="G180" s="22">
        <v>6000000</v>
      </c>
      <c r="H180" s="21">
        <v>21450</v>
      </c>
      <c r="I180" s="22">
        <v>279.7202797202797</v>
      </c>
      <c r="J180" s="21">
        <v>1960</v>
      </c>
      <c r="K180" s="4" t="s">
        <v>97</v>
      </c>
      <c r="L180" s="24"/>
      <c r="M180" s="4"/>
      <c r="N180" s="4" t="s">
        <v>1550</v>
      </c>
    </row>
    <row r="181" spans="1:14">
      <c r="A181" s="4" t="s">
        <v>1762</v>
      </c>
      <c r="B181" s="4" t="s">
        <v>1051</v>
      </c>
      <c r="C181" s="4" t="s">
        <v>77</v>
      </c>
      <c r="D181" s="4" t="s">
        <v>65</v>
      </c>
      <c r="E181" s="4" t="s">
        <v>901</v>
      </c>
      <c r="F181" s="4" t="s">
        <v>1456</v>
      </c>
      <c r="G181" s="22">
        <v>6000000</v>
      </c>
      <c r="H181" s="21">
        <v>8126</v>
      </c>
      <c r="I181" s="22">
        <v>738.3706620723603</v>
      </c>
      <c r="J181" s="21">
        <v>1959</v>
      </c>
      <c r="K181" s="4" t="s">
        <v>97</v>
      </c>
      <c r="L181" s="24"/>
      <c r="M181" s="4"/>
      <c r="N181" s="4" t="s">
        <v>1462</v>
      </c>
    </row>
    <row r="182" spans="1:14">
      <c r="A182" s="4" t="s">
        <v>1763</v>
      </c>
      <c r="B182" s="4" t="s">
        <v>1764</v>
      </c>
      <c r="C182" s="4" t="s">
        <v>109</v>
      </c>
      <c r="D182" s="4" t="s">
        <v>65</v>
      </c>
      <c r="E182" s="4" t="s">
        <v>901</v>
      </c>
      <c r="F182" s="4" t="s">
        <v>1456</v>
      </c>
      <c r="G182" s="22">
        <v>5000000</v>
      </c>
      <c r="H182" s="24"/>
      <c r="I182" s="24"/>
      <c r="J182" s="21">
        <v>1958</v>
      </c>
      <c r="K182" s="4" t="s">
        <v>97</v>
      </c>
      <c r="L182" s="24"/>
      <c r="M182" s="4"/>
      <c r="N182" s="4" t="s">
        <v>1467</v>
      </c>
    </row>
    <row r="183" spans="1:14">
      <c r="A183" s="4" t="s">
        <v>1765</v>
      </c>
      <c r="B183" s="4" t="s">
        <v>299</v>
      </c>
      <c r="C183" s="4" t="s">
        <v>77</v>
      </c>
      <c r="D183" s="4" t="s">
        <v>65</v>
      </c>
      <c r="E183" s="4" t="s">
        <v>901</v>
      </c>
      <c r="F183" s="4" t="s">
        <v>1456</v>
      </c>
      <c r="G183" s="22">
        <v>5000000</v>
      </c>
      <c r="H183" s="21">
        <v>6375</v>
      </c>
      <c r="I183" s="22">
        <v>784.3137254901961</v>
      </c>
      <c r="J183" s="24"/>
      <c r="K183" s="4" t="s">
        <v>97</v>
      </c>
      <c r="L183" s="24"/>
      <c r="M183" s="4"/>
      <c r="N183" s="4" t="s">
        <v>1462</v>
      </c>
    </row>
    <row r="184" spans="1:14">
      <c r="A184" s="4" t="s">
        <v>1766</v>
      </c>
      <c r="B184" s="4" t="s">
        <v>900</v>
      </c>
      <c r="C184" s="4" t="s">
        <v>78</v>
      </c>
      <c r="D184" s="4" t="s">
        <v>65</v>
      </c>
      <c r="E184" s="4" t="s">
        <v>901</v>
      </c>
      <c r="F184" s="4" t="s">
        <v>1456</v>
      </c>
      <c r="G184" s="22">
        <v>4900000</v>
      </c>
      <c r="H184" s="21">
        <v>13525</v>
      </c>
      <c r="I184" s="22">
        <v>362.2920517560074</v>
      </c>
      <c r="J184" s="21">
        <v>1961</v>
      </c>
      <c r="K184" s="4" t="s">
        <v>96</v>
      </c>
      <c r="L184" s="24"/>
      <c r="M184" s="4"/>
      <c r="N184" s="4" t="s">
        <v>1475</v>
      </c>
    </row>
    <row r="185" spans="1:14">
      <c r="A185" s="4" t="s">
        <v>1767</v>
      </c>
      <c r="B185" s="4" t="s">
        <v>905</v>
      </c>
      <c r="C185" s="4" t="s">
        <v>78</v>
      </c>
      <c r="D185" s="4" t="s">
        <v>65</v>
      </c>
      <c r="E185" s="4" t="s">
        <v>901</v>
      </c>
      <c r="F185" s="4" t="s">
        <v>1456</v>
      </c>
      <c r="G185" s="22">
        <v>4900000</v>
      </c>
      <c r="H185" s="21">
        <v>16250</v>
      </c>
      <c r="I185" s="22">
        <v>301.5384615384615</v>
      </c>
      <c r="J185" s="21">
        <v>1958</v>
      </c>
      <c r="K185" s="4" t="s">
        <v>96</v>
      </c>
      <c r="L185" s="24"/>
      <c r="M185" s="4"/>
      <c r="N185" s="4" t="s">
        <v>1462</v>
      </c>
    </row>
    <row r="186" spans="1:14">
      <c r="A186" s="4" t="s">
        <v>1768</v>
      </c>
      <c r="B186" s="4" t="s">
        <v>1769</v>
      </c>
      <c r="C186" s="4" t="s">
        <v>76</v>
      </c>
      <c r="D186" s="4" t="s">
        <v>66</v>
      </c>
      <c r="E186" s="4" t="s">
        <v>901</v>
      </c>
      <c r="F186" s="4" t="s">
        <v>1456</v>
      </c>
      <c r="G186" s="22">
        <v>4800000</v>
      </c>
      <c r="H186" s="24"/>
      <c r="I186" s="24"/>
      <c r="J186" s="21">
        <v>1969</v>
      </c>
      <c r="K186" s="4" t="s">
        <v>96</v>
      </c>
      <c r="L186" s="24"/>
      <c r="M186" s="4"/>
      <c r="N186" s="4" t="s">
        <v>1473</v>
      </c>
    </row>
    <row r="187" spans="1:14">
      <c r="A187" s="4" t="s">
        <v>1770</v>
      </c>
      <c r="B187" s="4" t="s">
        <v>1771</v>
      </c>
      <c r="C187" s="4" t="s">
        <v>59</v>
      </c>
      <c r="D187" s="4" t="s">
        <v>70</v>
      </c>
      <c r="E187" s="4" t="s">
        <v>901</v>
      </c>
      <c r="F187" s="4" t="s">
        <v>1456</v>
      </c>
      <c r="G187" s="22">
        <v>4559050</v>
      </c>
      <c r="H187" s="24"/>
      <c r="I187" s="24"/>
      <c r="J187" s="21">
        <v>1964</v>
      </c>
      <c r="K187" s="4" t="s">
        <v>96</v>
      </c>
      <c r="L187" s="24"/>
      <c r="M187" s="4"/>
      <c r="N187" s="4" t="s">
        <v>1750</v>
      </c>
    </row>
    <row r="188" spans="1:14">
      <c r="A188" s="4" t="s">
        <v>1772</v>
      </c>
      <c r="B188" s="4" t="s">
        <v>1040</v>
      </c>
      <c r="C188" s="4" t="s">
        <v>76</v>
      </c>
      <c r="D188" s="4" t="s">
        <v>68</v>
      </c>
      <c r="E188" s="4" t="s">
        <v>901</v>
      </c>
      <c r="F188" s="4" t="s">
        <v>1456</v>
      </c>
      <c r="G188" s="22">
        <v>4250000</v>
      </c>
      <c r="H188" s="21">
        <v>33723</v>
      </c>
      <c r="I188" s="22">
        <v>126.026747323785</v>
      </c>
      <c r="J188" s="21">
        <v>2001</v>
      </c>
      <c r="K188" s="4" t="s">
        <v>96</v>
      </c>
      <c r="L188" s="24"/>
      <c r="M188" s="4"/>
      <c r="N188" s="4" t="s">
        <v>1471</v>
      </c>
    </row>
    <row r="189" spans="1:14">
      <c r="A189" s="4" t="s">
        <v>1773</v>
      </c>
      <c r="B189" s="4" t="s">
        <v>909</v>
      </c>
      <c r="C189" s="4" t="s">
        <v>910</v>
      </c>
      <c r="D189" s="4" t="s">
        <v>66</v>
      </c>
      <c r="E189" s="4" t="s">
        <v>901</v>
      </c>
      <c r="F189" s="4" t="s">
        <v>1456</v>
      </c>
      <c r="G189" s="22">
        <v>4000000</v>
      </c>
      <c r="H189" s="21">
        <v>18898</v>
      </c>
      <c r="I189" s="22">
        <v>211.6626097999788</v>
      </c>
      <c r="J189" s="21">
        <v>1972</v>
      </c>
      <c r="K189" s="4" t="s">
        <v>96</v>
      </c>
      <c r="L189" s="24"/>
      <c r="M189" s="4"/>
      <c r="N189" s="4" t="s">
        <v>1469</v>
      </c>
    </row>
    <row r="190" spans="1:14">
      <c r="A190" s="4" t="s">
        <v>1774</v>
      </c>
      <c r="B190" s="4" t="s">
        <v>914</v>
      </c>
      <c r="C190" s="4" t="s">
        <v>910</v>
      </c>
      <c r="D190" s="4" t="s">
        <v>66</v>
      </c>
      <c r="E190" s="4" t="s">
        <v>901</v>
      </c>
      <c r="F190" s="4" t="s">
        <v>1456</v>
      </c>
      <c r="G190" s="22">
        <v>4000000</v>
      </c>
      <c r="H190" s="21">
        <v>18898</v>
      </c>
      <c r="I190" s="22">
        <v>211.6626097999788</v>
      </c>
      <c r="J190" s="21">
        <v>1975</v>
      </c>
      <c r="K190" s="4" t="s">
        <v>96</v>
      </c>
      <c r="L190" s="24"/>
      <c r="M190" s="4"/>
      <c r="N190" s="24" t="s">
        <v>237</v>
      </c>
    </row>
    <row r="191" spans="1:14">
      <c r="A191" s="4" t="s">
        <v>1775</v>
      </c>
      <c r="B191" s="4" t="s">
        <v>916</v>
      </c>
      <c r="C191" s="4" t="s">
        <v>79</v>
      </c>
      <c r="D191" s="4" t="s">
        <v>74</v>
      </c>
      <c r="E191" s="4" t="s">
        <v>901</v>
      </c>
      <c r="F191" s="4" t="s">
        <v>1456</v>
      </c>
      <c r="G191" s="22">
        <v>3995000</v>
      </c>
      <c r="H191" s="21">
        <v>20250</v>
      </c>
      <c r="I191" s="22">
        <v>197.2839506172839</v>
      </c>
      <c r="J191" s="24"/>
      <c r="K191" s="4" t="s">
        <v>96</v>
      </c>
      <c r="L191" s="24"/>
      <c r="M191" s="4"/>
      <c r="N191" s="4" t="s">
        <v>1473</v>
      </c>
    </row>
    <row r="192" spans="1:14">
      <c r="A192" s="4" t="s">
        <v>1776</v>
      </c>
      <c r="B192" s="4" t="s">
        <v>1777</v>
      </c>
      <c r="C192" s="4" t="s">
        <v>80</v>
      </c>
      <c r="D192" s="4" t="s">
        <v>70</v>
      </c>
      <c r="E192" s="4" t="s">
        <v>901</v>
      </c>
      <c r="F192" s="4" t="s">
        <v>1456</v>
      </c>
      <c r="G192" s="22">
        <v>3800000</v>
      </c>
      <c r="H192" s="24"/>
      <c r="I192" s="24"/>
      <c r="J192" s="21">
        <v>1961</v>
      </c>
      <c r="K192" s="4" t="s">
        <v>96</v>
      </c>
      <c r="L192" s="24"/>
      <c r="M192" s="4"/>
      <c r="N192" s="4" t="s">
        <v>1479</v>
      </c>
    </row>
    <row r="193" spans="1:14">
      <c r="A193" s="4" t="s">
        <v>1778</v>
      </c>
      <c r="B193" s="4" t="s">
        <v>920</v>
      </c>
      <c r="C193" s="4" t="s">
        <v>77</v>
      </c>
      <c r="D193" s="4" t="s">
        <v>66</v>
      </c>
      <c r="E193" s="4" t="s">
        <v>901</v>
      </c>
      <c r="F193" s="4" t="s">
        <v>1456</v>
      </c>
      <c r="G193" s="22">
        <v>3749000</v>
      </c>
      <c r="H193" s="21">
        <v>6750</v>
      </c>
      <c r="I193" s="22">
        <v>555.4074074074074</v>
      </c>
      <c r="J193" s="21">
        <v>2023</v>
      </c>
      <c r="K193" s="4" t="s">
        <v>96</v>
      </c>
      <c r="L193" s="24"/>
      <c r="M193" s="4"/>
      <c r="N193" s="4" t="s">
        <v>1462</v>
      </c>
    </row>
    <row r="194" spans="1:14">
      <c r="A194" s="4" t="s">
        <v>1779</v>
      </c>
      <c r="B194" s="4" t="s">
        <v>377</v>
      </c>
      <c r="C194" s="4" t="s">
        <v>80</v>
      </c>
      <c r="D194" s="4" t="s">
        <v>67</v>
      </c>
      <c r="E194" s="4" t="s">
        <v>901</v>
      </c>
      <c r="F194" s="4" t="s">
        <v>1456</v>
      </c>
      <c r="G194" s="22">
        <v>3495000</v>
      </c>
      <c r="H194" s="21">
        <v>20827</v>
      </c>
      <c r="I194" s="22">
        <v>167.8110145484227</v>
      </c>
      <c r="J194" s="21">
        <v>1959</v>
      </c>
      <c r="K194" s="4" t="s">
        <v>96</v>
      </c>
      <c r="L194" s="24"/>
      <c r="M194" s="4"/>
      <c r="N194" s="4" t="s">
        <v>1459</v>
      </c>
    </row>
    <row r="195" spans="1:14">
      <c r="A195" s="4" t="s">
        <v>1780</v>
      </c>
      <c r="B195" s="4" t="s">
        <v>1781</v>
      </c>
      <c r="C195" s="4" t="s">
        <v>111</v>
      </c>
      <c r="D195" s="4" t="s">
        <v>66</v>
      </c>
      <c r="E195" s="4" t="s">
        <v>901</v>
      </c>
      <c r="F195" s="4" t="s">
        <v>1456</v>
      </c>
      <c r="G195" s="22">
        <v>3300000</v>
      </c>
      <c r="H195" s="24"/>
      <c r="I195" s="24"/>
      <c r="J195" s="21">
        <v>1953</v>
      </c>
      <c r="K195" s="4" t="s">
        <v>96</v>
      </c>
      <c r="L195" s="24"/>
      <c r="M195" s="4"/>
      <c r="N195" s="4" t="s">
        <v>1496</v>
      </c>
    </row>
    <row r="196" spans="1:14">
      <c r="A196" s="4" t="s">
        <v>1782</v>
      </c>
      <c r="B196" s="4" t="s">
        <v>1044</v>
      </c>
      <c r="C196" s="4" t="s">
        <v>82</v>
      </c>
      <c r="D196" s="4" t="s">
        <v>66</v>
      </c>
      <c r="E196" s="4" t="s">
        <v>901</v>
      </c>
      <c r="F196" s="4" t="s">
        <v>1456</v>
      </c>
      <c r="G196" s="22">
        <v>2940000</v>
      </c>
      <c r="H196" s="21">
        <v>17500</v>
      </c>
      <c r="I196" s="22">
        <v>168</v>
      </c>
      <c r="J196" s="21">
        <v>1976</v>
      </c>
      <c r="K196" s="4" t="s">
        <v>96</v>
      </c>
      <c r="L196" s="24"/>
      <c r="M196" s="4"/>
      <c r="N196" s="4" t="s">
        <v>1517</v>
      </c>
    </row>
    <row r="197" spans="1:14">
      <c r="A197" s="4" t="s">
        <v>1783</v>
      </c>
      <c r="B197" s="4" t="s">
        <v>924</v>
      </c>
      <c r="C197" s="4" t="s">
        <v>79</v>
      </c>
      <c r="D197" s="4" t="s">
        <v>68</v>
      </c>
      <c r="E197" s="4" t="s">
        <v>901</v>
      </c>
      <c r="F197" s="4" t="s">
        <v>1456</v>
      </c>
      <c r="G197" s="22">
        <v>2800000</v>
      </c>
      <c r="H197" s="21">
        <v>11761</v>
      </c>
      <c r="I197" s="22">
        <v>238.0749936229912</v>
      </c>
      <c r="J197" s="21">
        <v>1957</v>
      </c>
      <c r="K197" s="4" t="s">
        <v>96</v>
      </c>
      <c r="L197" s="24"/>
      <c r="M197" s="4"/>
      <c r="N197" s="4" t="s">
        <v>1784</v>
      </c>
    </row>
    <row r="198" spans="1:14">
      <c r="A198" s="4" t="s">
        <v>1785</v>
      </c>
      <c r="B198" s="4" t="s">
        <v>1786</v>
      </c>
      <c r="C198" s="4" t="s">
        <v>81</v>
      </c>
      <c r="D198" s="4" t="s">
        <v>69</v>
      </c>
      <c r="E198" s="4" t="s">
        <v>901</v>
      </c>
      <c r="F198" s="4" t="s">
        <v>1456</v>
      </c>
      <c r="G198" s="22">
        <v>2750000</v>
      </c>
      <c r="H198" s="21">
        <v>0</v>
      </c>
      <c r="I198" s="22" t="e">
        <f>1/0</f>
        <v>#DIV/0!</v>
      </c>
      <c r="J198" s="21">
        <v>2006</v>
      </c>
      <c r="K198" s="4" t="s">
        <v>96</v>
      </c>
      <c r="L198" s="24"/>
      <c r="M198" s="4"/>
      <c r="N198" s="4" t="s">
        <v>1479</v>
      </c>
    </row>
    <row r="199" spans="1:14">
      <c r="A199" s="4" t="s">
        <v>1787</v>
      </c>
      <c r="B199" s="4" t="s">
        <v>1041</v>
      </c>
      <c r="C199" s="4" t="s">
        <v>81</v>
      </c>
      <c r="D199" s="4" t="s">
        <v>65</v>
      </c>
      <c r="E199" s="4" t="s">
        <v>901</v>
      </c>
      <c r="F199" s="4" t="s">
        <v>1456</v>
      </c>
      <c r="G199" s="22">
        <v>2695000</v>
      </c>
      <c r="H199" s="21">
        <v>14000</v>
      </c>
      <c r="I199" s="22">
        <v>192.5</v>
      </c>
      <c r="J199" s="21">
        <v>1986</v>
      </c>
      <c r="K199" s="4" t="s">
        <v>96</v>
      </c>
      <c r="L199" s="24"/>
      <c r="M199" s="4"/>
      <c r="N199" s="4" t="s">
        <v>1479</v>
      </c>
    </row>
    <row r="200" spans="1:14">
      <c r="A200" s="4" t="s">
        <v>1788</v>
      </c>
      <c r="B200" s="4" t="s">
        <v>444</v>
      </c>
      <c r="C200" s="4" t="s">
        <v>82</v>
      </c>
      <c r="D200" s="4" t="s">
        <v>70</v>
      </c>
      <c r="E200" s="4" t="s">
        <v>901</v>
      </c>
      <c r="F200" s="4" t="s">
        <v>1456</v>
      </c>
      <c r="G200" s="22">
        <v>2650000</v>
      </c>
      <c r="H200" s="24"/>
      <c r="I200" s="24"/>
      <c r="J200" s="21">
        <v>1954</v>
      </c>
      <c r="K200" s="4" t="s">
        <v>96</v>
      </c>
      <c r="L200" s="24"/>
      <c r="M200" s="4"/>
      <c r="N200" s="4" t="s">
        <v>1467</v>
      </c>
    </row>
    <row r="201" spans="1:14">
      <c r="A201" s="4" t="s">
        <v>1789</v>
      </c>
      <c r="B201" s="4" t="s">
        <v>1790</v>
      </c>
      <c r="C201" s="4" t="s">
        <v>78</v>
      </c>
      <c r="D201" s="4" t="s">
        <v>66</v>
      </c>
      <c r="E201" s="4" t="s">
        <v>901</v>
      </c>
      <c r="F201" s="4" t="s">
        <v>1456</v>
      </c>
      <c r="G201" s="22">
        <v>2600000</v>
      </c>
      <c r="H201" s="24"/>
      <c r="I201" s="24"/>
      <c r="J201" s="21">
        <v>1949</v>
      </c>
      <c r="K201" s="4" t="s">
        <v>96</v>
      </c>
      <c r="L201" s="24"/>
      <c r="M201" s="4"/>
      <c r="N201" s="4" t="s">
        <v>1496</v>
      </c>
    </row>
    <row r="202" spans="1:14">
      <c r="A202" s="4" t="s">
        <v>1791</v>
      </c>
      <c r="B202" s="4" t="s">
        <v>928</v>
      </c>
      <c r="C202" s="4" t="s">
        <v>81</v>
      </c>
      <c r="D202" s="4" t="s">
        <v>66</v>
      </c>
      <c r="E202" s="4" t="s">
        <v>901</v>
      </c>
      <c r="F202" s="4" t="s">
        <v>1456</v>
      </c>
      <c r="G202" s="22">
        <v>2500000</v>
      </c>
      <c r="H202" s="21">
        <v>9566</v>
      </c>
      <c r="I202" s="22">
        <v>261.3422538155969</v>
      </c>
      <c r="J202" s="21">
        <v>1963</v>
      </c>
      <c r="K202" s="4" t="s">
        <v>96</v>
      </c>
      <c r="L202" s="24"/>
      <c r="M202" s="4"/>
      <c r="N202" s="4" t="s">
        <v>1473</v>
      </c>
    </row>
    <row r="203" spans="1:14">
      <c r="A203" s="4" t="s">
        <v>1792</v>
      </c>
      <c r="B203" s="4" t="s">
        <v>1039</v>
      </c>
      <c r="C203" s="4" t="s">
        <v>113</v>
      </c>
      <c r="D203" s="4" t="s">
        <v>66</v>
      </c>
      <c r="E203" s="4" t="s">
        <v>901</v>
      </c>
      <c r="F203" s="4" t="s">
        <v>1456</v>
      </c>
      <c r="G203" s="22">
        <v>2499999</v>
      </c>
      <c r="H203" s="21">
        <v>13510</v>
      </c>
      <c r="I203" s="22">
        <v>185.0480384900074</v>
      </c>
      <c r="J203" s="21">
        <v>1954</v>
      </c>
      <c r="K203" s="4" t="s">
        <v>94</v>
      </c>
      <c r="L203" s="24"/>
      <c r="M203" s="4"/>
      <c r="N203" s="4" t="s">
        <v>1793</v>
      </c>
    </row>
    <row r="204" spans="1:14">
      <c r="A204" s="4" t="s">
        <v>1794</v>
      </c>
      <c r="B204" s="4" t="s">
        <v>473</v>
      </c>
      <c r="C204" s="4" t="s">
        <v>109</v>
      </c>
      <c r="D204" s="4" t="s">
        <v>66</v>
      </c>
      <c r="E204" s="4" t="s">
        <v>901</v>
      </c>
      <c r="F204" s="4" t="s">
        <v>1456</v>
      </c>
      <c r="G204" s="22">
        <v>2475000</v>
      </c>
      <c r="H204" s="21">
        <v>10400</v>
      </c>
      <c r="I204" s="22">
        <v>237.9807692307692</v>
      </c>
      <c r="J204" s="21">
        <v>1948</v>
      </c>
      <c r="K204" s="4" t="s">
        <v>94</v>
      </c>
      <c r="L204" s="24"/>
      <c r="M204" s="4"/>
      <c r="N204" s="4" t="s">
        <v>1473</v>
      </c>
    </row>
    <row r="205" spans="1:14">
      <c r="A205" s="4" t="s">
        <v>1795</v>
      </c>
      <c r="B205" s="4" t="s">
        <v>1796</v>
      </c>
      <c r="C205" s="4" t="s">
        <v>79</v>
      </c>
      <c r="D205" s="4" t="s">
        <v>70</v>
      </c>
      <c r="E205" s="4" t="s">
        <v>901</v>
      </c>
      <c r="F205" s="4" t="s">
        <v>1456</v>
      </c>
      <c r="G205" s="22">
        <v>2450000</v>
      </c>
      <c r="H205" s="24"/>
      <c r="I205" s="24"/>
      <c r="J205" s="21">
        <v>1957</v>
      </c>
      <c r="K205" s="4" t="s">
        <v>94</v>
      </c>
      <c r="L205" s="24"/>
      <c r="M205" s="4"/>
      <c r="N205" s="4" t="s">
        <v>1467</v>
      </c>
    </row>
    <row r="206" spans="1:14">
      <c r="A206" s="4" t="s">
        <v>1797</v>
      </c>
      <c r="B206" s="4" t="s">
        <v>1798</v>
      </c>
      <c r="C206" s="4" t="s">
        <v>79</v>
      </c>
      <c r="D206" s="4" t="s">
        <v>66</v>
      </c>
      <c r="E206" s="4" t="s">
        <v>901</v>
      </c>
      <c r="F206" s="4" t="s">
        <v>1456</v>
      </c>
      <c r="G206" s="22">
        <v>2450000</v>
      </c>
      <c r="H206" s="24"/>
      <c r="I206" s="24"/>
      <c r="J206" s="21">
        <v>1970</v>
      </c>
      <c r="K206" s="4" t="s">
        <v>94</v>
      </c>
      <c r="L206" s="24"/>
      <c r="M206" s="4"/>
      <c r="N206" s="4" t="s">
        <v>1477</v>
      </c>
    </row>
    <row r="207" spans="1:14">
      <c r="A207" s="4" t="s">
        <v>1799</v>
      </c>
      <c r="B207" s="4" t="s">
        <v>1031</v>
      </c>
      <c r="C207" s="4" t="s">
        <v>78</v>
      </c>
      <c r="D207" s="4" t="s">
        <v>66</v>
      </c>
      <c r="E207" s="4" t="s">
        <v>901</v>
      </c>
      <c r="F207" s="4" t="s">
        <v>1456</v>
      </c>
      <c r="G207" s="22">
        <v>2399000</v>
      </c>
      <c r="H207" s="21">
        <v>13011</v>
      </c>
      <c r="I207" s="22">
        <v>184.3824456229344</v>
      </c>
      <c r="J207" s="21">
        <v>1968</v>
      </c>
      <c r="K207" s="4" t="s">
        <v>94</v>
      </c>
      <c r="L207" s="24"/>
      <c r="M207" s="4"/>
      <c r="N207" s="4" t="s">
        <v>1459</v>
      </c>
    </row>
    <row r="208" spans="1:14">
      <c r="A208" s="4" t="s">
        <v>1800</v>
      </c>
      <c r="B208" s="4" t="s">
        <v>1027</v>
      </c>
      <c r="C208" s="4" t="s">
        <v>81</v>
      </c>
      <c r="D208" s="4" t="s">
        <v>65</v>
      </c>
      <c r="E208" s="4" t="s">
        <v>901</v>
      </c>
      <c r="F208" s="4" t="s">
        <v>1456</v>
      </c>
      <c r="G208" s="22">
        <v>2350000</v>
      </c>
      <c r="H208" s="21">
        <v>27878</v>
      </c>
      <c r="I208" s="22">
        <v>84.29586053518904</v>
      </c>
      <c r="J208" s="21">
        <v>1926</v>
      </c>
      <c r="K208" s="4" t="s">
        <v>94</v>
      </c>
      <c r="L208" s="24"/>
      <c r="M208" s="4"/>
      <c r="N208" s="4" t="s">
        <v>1663</v>
      </c>
    </row>
    <row r="209" spans="1:14">
      <c r="A209" s="4" t="s">
        <v>1801</v>
      </c>
      <c r="B209" s="4" t="s">
        <v>460</v>
      </c>
      <c r="C209" s="4" t="s">
        <v>79</v>
      </c>
      <c r="D209" s="4" t="s">
        <v>68</v>
      </c>
      <c r="E209" s="4" t="s">
        <v>901</v>
      </c>
      <c r="F209" s="4" t="s">
        <v>1456</v>
      </c>
      <c r="G209" s="22">
        <v>2299000</v>
      </c>
      <c r="H209" s="21">
        <v>5664</v>
      </c>
      <c r="I209" s="22">
        <v>405.8968926553673</v>
      </c>
      <c r="J209" s="21">
        <v>2012</v>
      </c>
      <c r="K209" s="4" t="s">
        <v>94</v>
      </c>
      <c r="L209" s="24"/>
      <c r="M209" s="4"/>
      <c r="N209" s="4" t="s">
        <v>1492</v>
      </c>
    </row>
    <row r="210" spans="1:14">
      <c r="A210" s="4" t="s">
        <v>1802</v>
      </c>
      <c r="B210" s="4" t="s">
        <v>1803</v>
      </c>
      <c r="C210" s="4" t="s">
        <v>79</v>
      </c>
      <c r="D210" s="4" t="s">
        <v>66</v>
      </c>
      <c r="E210" s="4" t="s">
        <v>901</v>
      </c>
      <c r="F210" s="4" t="s">
        <v>1456</v>
      </c>
      <c r="G210" s="22">
        <v>2295000</v>
      </c>
      <c r="H210" s="24"/>
      <c r="I210" s="24"/>
      <c r="J210" s="21">
        <v>1948</v>
      </c>
      <c r="K210" s="4" t="s">
        <v>94</v>
      </c>
      <c r="L210" s="24"/>
      <c r="M210" s="4"/>
      <c r="N210" s="4" t="s">
        <v>1459</v>
      </c>
    </row>
    <row r="211" spans="1:14">
      <c r="A211" s="4" t="s">
        <v>1804</v>
      </c>
      <c r="B211" s="4" t="s">
        <v>935</v>
      </c>
      <c r="C211" s="4" t="s">
        <v>110</v>
      </c>
      <c r="D211" s="4" t="s">
        <v>66</v>
      </c>
      <c r="E211" s="4" t="s">
        <v>901</v>
      </c>
      <c r="F211" s="4" t="s">
        <v>1456</v>
      </c>
      <c r="G211" s="22">
        <v>2149000</v>
      </c>
      <c r="H211" s="21">
        <v>6633</v>
      </c>
      <c r="I211" s="22">
        <v>323.9861299562792</v>
      </c>
      <c r="J211" s="21">
        <v>1961</v>
      </c>
      <c r="K211" s="4" t="s">
        <v>94</v>
      </c>
      <c r="L211" s="24"/>
      <c r="M211" s="4"/>
      <c r="N211" s="4" t="s">
        <v>1805</v>
      </c>
    </row>
    <row r="212" spans="1:14">
      <c r="A212" s="4" t="s">
        <v>1806</v>
      </c>
      <c r="B212" s="4" t="s">
        <v>939</v>
      </c>
      <c r="C212" s="4" t="s">
        <v>108</v>
      </c>
      <c r="D212" s="4" t="s">
        <v>65</v>
      </c>
      <c r="E212" s="4" t="s">
        <v>901</v>
      </c>
      <c r="F212" s="4" t="s">
        <v>1456</v>
      </c>
      <c r="G212" s="22">
        <v>2100000</v>
      </c>
      <c r="H212" s="21">
        <v>7503</v>
      </c>
      <c r="I212" s="22">
        <v>279.8880447820871</v>
      </c>
      <c r="J212" s="21">
        <v>1960</v>
      </c>
      <c r="K212" s="4" t="s">
        <v>94</v>
      </c>
      <c r="L212" s="24"/>
      <c r="M212" s="4"/>
      <c r="N212" s="4" t="s">
        <v>1475</v>
      </c>
    </row>
    <row r="213" spans="1:14">
      <c r="A213" s="4" t="s">
        <v>1807</v>
      </c>
      <c r="B213" s="4" t="s">
        <v>1808</v>
      </c>
      <c r="C213" s="4" t="s">
        <v>110</v>
      </c>
      <c r="D213" s="4" t="s">
        <v>66</v>
      </c>
      <c r="E213" s="4" t="s">
        <v>901</v>
      </c>
      <c r="F213" s="4" t="s">
        <v>1456</v>
      </c>
      <c r="G213" s="22">
        <v>2100000</v>
      </c>
      <c r="H213" s="24"/>
      <c r="I213" s="24"/>
      <c r="J213" s="21">
        <v>1967</v>
      </c>
      <c r="K213" s="4" t="s">
        <v>94</v>
      </c>
      <c r="L213" s="24"/>
      <c r="M213" s="4"/>
      <c r="N213" s="4" t="s">
        <v>1473</v>
      </c>
    </row>
    <row r="214" spans="1:14">
      <c r="A214" s="4" t="s">
        <v>1809</v>
      </c>
      <c r="B214" s="4" t="s">
        <v>943</v>
      </c>
      <c r="C214" s="4" t="s">
        <v>81</v>
      </c>
      <c r="D214" s="4" t="s">
        <v>69</v>
      </c>
      <c r="E214" s="4" t="s">
        <v>901</v>
      </c>
      <c r="F214" s="4" t="s">
        <v>1456</v>
      </c>
      <c r="G214" s="22">
        <v>2100000</v>
      </c>
      <c r="H214" s="21">
        <v>9289</v>
      </c>
      <c r="I214" s="22">
        <v>226.0738507912585</v>
      </c>
      <c r="J214" s="21">
        <v>1976</v>
      </c>
      <c r="K214" s="4" t="s">
        <v>94</v>
      </c>
      <c r="L214" s="24"/>
      <c r="M214" s="4"/>
      <c r="N214" s="4" t="s">
        <v>1522</v>
      </c>
    </row>
    <row r="215" spans="1:14">
      <c r="A215" s="4" t="s">
        <v>1810</v>
      </c>
      <c r="B215" s="4" t="s">
        <v>1811</v>
      </c>
      <c r="C215" s="4" t="s">
        <v>82</v>
      </c>
      <c r="D215" s="4" t="s">
        <v>68</v>
      </c>
      <c r="E215" s="4" t="s">
        <v>901</v>
      </c>
      <c r="F215" s="4" t="s">
        <v>1456</v>
      </c>
      <c r="G215" s="22">
        <v>2000000</v>
      </c>
      <c r="H215" s="24"/>
      <c r="I215" s="24"/>
      <c r="J215" s="21">
        <v>1960</v>
      </c>
      <c r="K215" s="4" t="s">
        <v>94</v>
      </c>
      <c r="L215" s="24"/>
      <c r="M215" s="4"/>
      <c r="N215" s="4" t="s">
        <v>1812</v>
      </c>
    </row>
    <row r="216" spans="1:14">
      <c r="A216" s="4" t="s">
        <v>1813</v>
      </c>
      <c r="B216" s="4" t="s">
        <v>1814</v>
      </c>
      <c r="C216" s="4" t="s">
        <v>120</v>
      </c>
      <c r="D216" s="4" t="s">
        <v>69</v>
      </c>
      <c r="E216" s="4" t="s">
        <v>901</v>
      </c>
      <c r="F216" s="4" t="s">
        <v>1456</v>
      </c>
      <c r="G216" s="22">
        <v>2000000</v>
      </c>
      <c r="H216" s="24"/>
      <c r="I216" s="24"/>
      <c r="J216" s="21">
        <v>2001</v>
      </c>
      <c r="K216" s="4" t="s">
        <v>94</v>
      </c>
      <c r="L216" s="24"/>
      <c r="M216" s="4"/>
      <c r="N216" s="4" t="s">
        <v>1462</v>
      </c>
    </row>
    <row r="217" spans="1:14">
      <c r="A217" s="4" t="s">
        <v>1815</v>
      </c>
      <c r="B217" s="4" t="s">
        <v>1037</v>
      </c>
      <c r="C217" s="4" t="s">
        <v>797</v>
      </c>
      <c r="D217" s="4" t="s">
        <v>66</v>
      </c>
      <c r="E217" s="4" t="s">
        <v>901</v>
      </c>
      <c r="F217" s="4" t="s">
        <v>1456</v>
      </c>
      <c r="G217" s="22">
        <v>1999000</v>
      </c>
      <c r="H217" s="21">
        <v>10061</v>
      </c>
      <c r="I217" s="22">
        <v>198.6880031805983</v>
      </c>
      <c r="J217" s="21">
        <v>1966</v>
      </c>
      <c r="K217" s="4" t="s">
        <v>94</v>
      </c>
      <c r="L217" s="24"/>
      <c r="M217" s="4"/>
      <c r="N217" s="4" t="s">
        <v>1757</v>
      </c>
    </row>
    <row r="218" spans="1:14">
      <c r="A218" s="4" t="s">
        <v>1816</v>
      </c>
      <c r="B218" s="4" t="s">
        <v>495</v>
      </c>
      <c r="C218" s="4" t="s">
        <v>78</v>
      </c>
      <c r="D218" s="4" t="s">
        <v>73</v>
      </c>
      <c r="E218" s="4" t="s">
        <v>901</v>
      </c>
      <c r="F218" s="4" t="s">
        <v>1456</v>
      </c>
      <c r="G218" s="22">
        <v>1999000</v>
      </c>
      <c r="H218" s="21">
        <v>6378</v>
      </c>
      <c r="I218" s="22">
        <v>313.4211351520853</v>
      </c>
      <c r="J218" s="21">
        <v>1967</v>
      </c>
      <c r="K218" s="4" t="s">
        <v>94</v>
      </c>
      <c r="L218" s="24"/>
      <c r="M218" s="4"/>
      <c r="N218" s="4" t="s">
        <v>1469</v>
      </c>
    </row>
    <row r="219" spans="1:14">
      <c r="A219" s="4" t="s">
        <v>1817</v>
      </c>
      <c r="B219" s="4" t="s">
        <v>1042</v>
      </c>
      <c r="C219" s="4" t="s">
        <v>78</v>
      </c>
      <c r="D219" s="4" t="s">
        <v>70</v>
      </c>
      <c r="E219" s="4" t="s">
        <v>901</v>
      </c>
      <c r="F219" s="4" t="s">
        <v>1456</v>
      </c>
      <c r="G219" s="22">
        <v>1999000</v>
      </c>
      <c r="H219" s="21">
        <v>8108</v>
      </c>
      <c r="I219" s="22">
        <v>246.5466206216083</v>
      </c>
      <c r="J219" s="21">
        <v>1954</v>
      </c>
      <c r="K219" s="4" t="s">
        <v>94</v>
      </c>
      <c r="L219" s="24"/>
      <c r="M219" s="4"/>
      <c r="N219" s="4" t="s">
        <v>1475</v>
      </c>
    </row>
    <row r="220" spans="1:14">
      <c r="A220" s="4" t="s">
        <v>1818</v>
      </c>
      <c r="B220" s="4" t="s">
        <v>1819</v>
      </c>
      <c r="C220" s="4" t="s">
        <v>77</v>
      </c>
      <c r="D220" s="4" t="s">
        <v>68</v>
      </c>
      <c r="E220" s="4" t="s">
        <v>901</v>
      </c>
      <c r="F220" s="4" t="s">
        <v>1456</v>
      </c>
      <c r="G220" s="22">
        <v>1975000</v>
      </c>
      <c r="H220" s="24"/>
      <c r="I220" s="24"/>
      <c r="J220" s="24"/>
      <c r="K220" s="4" t="s">
        <v>94</v>
      </c>
      <c r="L220" s="24"/>
      <c r="M220" s="4"/>
      <c r="N220" s="4" t="s">
        <v>1820</v>
      </c>
    </row>
    <row r="221" spans="1:14">
      <c r="A221" s="4" t="s">
        <v>1821</v>
      </c>
      <c r="B221" s="4" t="s">
        <v>1822</v>
      </c>
      <c r="C221" s="4" t="s">
        <v>83</v>
      </c>
      <c r="D221" s="4" t="s">
        <v>68</v>
      </c>
      <c r="E221" s="4" t="s">
        <v>901</v>
      </c>
      <c r="F221" s="4" t="s">
        <v>1456</v>
      </c>
      <c r="G221" s="22">
        <v>1900000</v>
      </c>
      <c r="H221" s="24"/>
      <c r="I221" s="24"/>
      <c r="J221" s="21">
        <v>1957</v>
      </c>
      <c r="K221" s="4" t="s">
        <v>94</v>
      </c>
      <c r="L221" s="24"/>
      <c r="M221" s="4"/>
      <c r="N221" s="4" t="s">
        <v>1820</v>
      </c>
    </row>
    <row r="222" spans="1:14">
      <c r="A222" s="4" t="s">
        <v>1823</v>
      </c>
      <c r="B222" s="4" t="s">
        <v>1029</v>
      </c>
      <c r="C222" s="4" t="s">
        <v>82</v>
      </c>
      <c r="D222" s="4" t="s">
        <v>65</v>
      </c>
      <c r="E222" s="4" t="s">
        <v>901</v>
      </c>
      <c r="F222" s="4" t="s">
        <v>1456</v>
      </c>
      <c r="G222" s="22">
        <v>1900000</v>
      </c>
      <c r="H222" s="21">
        <v>20614</v>
      </c>
      <c r="I222" s="22">
        <v>92.17036965169302</v>
      </c>
      <c r="J222" s="24"/>
      <c r="K222" s="4" t="s">
        <v>94</v>
      </c>
      <c r="L222" s="24"/>
      <c r="M222" s="4"/>
      <c r="N222" s="4" t="s">
        <v>1824</v>
      </c>
    </row>
    <row r="223" spans="1:14">
      <c r="A223" s="4" t="s">
        <v>1825</v>
      </c>
      <c r="B223" s="4" t="s">
        <v>1826</v>
      </c>
      <c r="C223" s="4" t="s">
        <v>81</v>
      </c>
      <c r="D223" s="4" t="s">
        <v>69</v>
      </c>
      <c r="E223" s="4" t="s">
        <v>901</v>
      </c>
      <c r="F223" s="4" t="s">
        <v>1456</v>
      </c>
      <c r="G223" s="22">
        <v>1800000</v>
      </c>
      <c r="H223" s="21">
        <v>0</v>
      </c>
      <c r="I223" s="22" t="e">
        <f>1/0</f>
        <v>#DIV/0!</v>
      </c>
      <c r="J223" s="21">
        <v>1986</v>
      </c>
      <c r="K223" s="4" t="s">
        <v>94</v>
      </c>
      <c r="L223" s="24"/>
      <c r="M223" s="4"/>
      <c r="N223" s="4" t="s">
        <v>1479</v>
      </c>
    </row>
    <row r="224" spans="1:14">
      <c r="A224" s="4" t="s">
        <v>1827</v>
      </c>
      <c r="B224" s="4" t="s">
        <v>1828</v>
      </c>
      <c r="C224" s="4" t="s">
        <v>81</v>
      </c>
      <c r="D224" s="4" t="s">
        <v>69</v>
      </c>
      <c r="E224" s="4" t="s">
        <v>901</v>
      </c>
      <c r="F224" s="4" t="s">
        <v>1456</v>
      </c>
      <c r="G224" s="22">
        <v>1800000</v>
      </c>
      <c r="H224" s="21">
        <v>0</v>
      </c>
      <c r="I224" s="22" t="e">
        <f>1/0</f>
        <v>#DIV/0!</v>
      </c>
      <c r="J224" s="21">
        <v>1986</v>
      </c>
      <c r="K224" s="4" t="s">
        <v>94</v>
      </c>
      <c r="L224" s="24"/>
      <c r="M224" s="4"/>
      <c r="N224" s="4" t="s">
        <v>1479</v>
      </c>
    </row>
    <row r="225" spans="1:14">
      <c r="A225" s="4" t="s">
        <v>1829</v>
      </c>
      <c r="B225" s="4" t="s">
        <v>436</v>
      </c>
      <c r="C225" s="4" t="s">
        <v>82</v>
      </c>
      <c r="D225" s="4" t="s">
        <v>67</v>
      </c>
      <c r="E225" s="4" t="s">
        <v>901</v>
      </c>
      <c r="F225" s="4" t="s">
        <v>1456</v>
      </c>
      <c r="G225" s="22">
        <v>1799000</v>
      </c>
      <c r="H225" s="21">
        <v>7000</v>
      </c>
      <c r="I225" s="22">
        <v>257</v>
      </c>
      <c r="J225" s="21">
        <v>1954</v>
      </c>
      <c r="K225" s="4" t="s">
        <v>94</v>
      </c>
      <c r="L225" s="24"/>
      <c r="M225" s="4"/>
      <c r="N225" s="4" t="s">
        <v>1469</v>
      </c>
    </row>
    <row r="226" spans="1:14">
      <c r="A226" s="4" t="s">
        <v>1830</v>
      </c>
      <c r="B226" s="4" t="s">
        <v>1032</v>
      </c>
      <c r="C226" s="4" t="s">
        <v>83</v>
      </c>
      <c r="D226" s="4" t="s">
        <v>67</v>
      </c>
      <c r="E226" s="4" t="s">
        <v>901</v>
      </c>
      <c r="F226" s="4" t="s">
        <v>1456</v>
      </c>
      <c r="G226" s="22">
        <v>1750000</v>
      </c>
      <c r="H226" s="21">
        <v>16875</v>
      </c>
      <c r="I226" s="22">
        <v>103.7037037037037</v>
      </c>
      <c r="J226" s="21">
        <v>1969</v>
      </c>
      <c r="K226" s="4" t="s">
        <v>94</v>
      </c>
      <c r="L226" s="24"/>
      <c r="M226" s="4"/>
      <c r="N226" s="4" t="s">
        <v>1469</v>
      </c>
    </row>
    <row r="227" spans="1:14">
      <c r="A227" s="4" t="s">
        <v>1831</v>
      </c>
      <c r="B227" s="4" t="s">
        <v>957</v>
      </c>
      <c r="C227" s="4" t="s">
        <v>82</v>
      </c>
      <c r="D227" s="4" t="s">
        <v>66</v>
      </c>
      <c r="E227" s="4" t="s">
        <v>901</v>
      </c>
      <c r="F227" s="4" t="s">
        <v>1456</v>
      </c>
      <c r="G227" s="22">
        <v>1749000</v>
      </c>
      <c r="H227" s="21">
        <v>8075</v>
      </c>
      <c r="I227" s="22">
        <v>216.5944272445821</v>
      </c>
      <c r="J227" s="21">
        <v>1960</v>
      </c>
      <c r="K227" s="4" t="s">
        <v>94</v>
      </c>
      <c r="L227" s="24"/>
      <c r="M227" s="4"/>
      <c r="N227" s="4" t="s">
        <v>1793</v>
      </c>
    </row>
    <row r="228" spans="1:14">
      <c r="A228" s="4" t="s">
        <v>1832</v>
      </c>
      <c r="B228" s="4" t="s">
        <v>1833</v>
      </c>
      <c r="C228" s="4" t="s">
        <v>59</v>
      </c>
      <c r="D228" s="4" t="s">
        <v>70</v>
      </c>
      <c r="E228" s="4" t="s">
        <v>901</v>
      </c>
      <c r="F228" s="4" t="s">
        <v>1456</v>
      </c>
      <c r="G228" s="22">
        <v>1707800</v>
      </c>
      <c r="H228" s="24"/>
      <c r="I228" s="24"/>
      <c r="J228" s="21">
        <v>1955</v>
      </c>
      <c r="K228" s="4" t="s">
        <v>94</v>
      </c>
      <c r="L228" s="24"/>
      <c r="M228" s="4"/>
      <c r="N228" s="4" t="s">
        <v>1750</v>
      </c>
    </row>
    <row r="229" spans="1:14">
      <c r="A229" s="4" t="s">
        <v>1834</v>
      </c>
      <c r="B229" s="4" t="s">
        <v>1835</v>
      </c>
      <c r="C229" s="4" t="s">
        <v>79</v>
      </c>
      <c r="D229" s="4" t="s">
        <v>70</v>
      </c>
      <c r="E229" s="4" t="s">
        <v>901</v>
      </c>
      <c r="F229" s="4" t="s">
        <v>1456</v>
      </c>
      <c r="G229" s="22">
        <v>1550000</v>
      </c>
      <c r="H229" s="21">
        <v>0</v>
      </c>
      <c r="I229" s="22" t="e">
        <f>1/0</f>
        <v>#DIV/0!</v>
      </c>
      <c r="J229" s="21">
        <v>2008</v>
      </c>
      <c r="K229" s="4" t="s">
        <v>94</v>
      </c>
      <c r="L229" s="24"/>
      <c r="M229" s="4"/>
      <c r="N229" s="4" t="s">
        <v>1492</v>
      </c>
    </row>
    <row r="230" spans="1:14">
      <c r="A230" s="4" t="s">
        <v>1836</v>
      </c>
      <c r="B230" s="4" t="s">
        <v>1837</v>
      </c>
      <c r="C230" s="4" t="s">
        <v>120</v>
      </c>
      <c r="D230" s="4" t="s">
        <v>69</v>
      </c>
      <c r="E230" s="4" t="s">
        <v>901</v>
      </c>
      <c r="F230" s="4" t="s">
        <v>1456</v>
      </c>
      <c r="G230" s="22">
        <v>1450000</v>
      </c>
      <c r="H230" s="24"/>
      <c r="I230" s="24"/>
      <c r="J230" s="21">
        <v>1959</v>
      </c>
      <c r="K230" s="4" t="s">
        <v>94</v>
      </c>
      <c r="L230" s="24"/>
      <c r="M230" s="4"/>
      <c r="N230" s="4" t="s">
        <v>1462</v>
      </c>
    </row>
    <row r="231" spans="1:14">
      <c r="A231" s="4" t="s">
        <v>1838</v>
      </c>
      <c r="B231" s="4" t="s">
        <v>1038</v>
      </c>
      <c r="C231" s="4" t="s">
        <v>83</v>
      </c>
      <c r="D231" s="4" t="s">
        <v>66</v>
      </c>
      <c r="E231" s="4" t="s">
        <v>901</v>
      </c>
      <c r="F231" s="4" t="s">
        <v>1456</v>
      </c>
      <c r="G231" s="22">
        <v>1399990</v>
      </c>
      <c r="H231" s="21">
        <v>10125</v>
      </c>
      <c r="I231" s="22">
        <v>138.2706172839506</v>
      </c>
      <c r="J231" s="21">
        <v>1960</v>
      </c>
      <c r="K231" s="4" t="s">
        <v>94</v>
      </c>
      <c r="L231" s="24"/>
      <c r="M231" s="4"/>
      <c r="N231" s="4" t="s">
        <v>1473</v>
      </c>
    </row>
    <row r="232" spans="1:14">
      <c r="A232" s="4" t="s">
        <v>1839</v>
      </c>
      <c r="B232" s="4" t="s">
        <v>1840</v>
      </c>
      <c r="C232" s="4" t="s">
        <v>109</v>
      </c>
      <c r="D232" s="4" t="s">
        <v>66</v>
      </c>
      <c r="E232" s="4" t="s">
        <v>901</v>
      </c>
      <c r="F232" s="4" t="s">
        <v>1456</v>
      </c>
      <c r="G232" s="22">
        <v>1349000</v>
      </c>
      <c r="H232" s="24"/>
      <c r="I232" s="24"/>
      <c r="J232" s="21">
        <v>1957</v>
      </c>
      <c r="K232" s="4" t="s">
        <v>94</v>
      </c>
      <c r="L232" s="24"/>
      <c r="M232" s="4"/>
      <c r="N232" s="4" t="s">
        <v>1473</v>
      </c>
    </row>
    <row r="233" spans="1:14">
      <c r="A233" s="4" t="s">
        <v>1841</v>
      </c>
      <c r="B233" s="4" t="s">
        <v>1023</v>
      </c>
      <c r="C233" s="4" t="s">
        <v>364</v>
      </c>
      <c r="D233" s="4" t="s">
        <v>66</v>
      </c>
      <c r="E233" s="4" t="s">
        <v>901</v>
      </c>
      <c r="F233" s="4" t="s">
        <v>1456</v>
      </c>
      <c r="G233" s="22">
        <v>1300000</v>
      </c>
      <c r="H233" s="21">
        <v>13800</v>
      </c>
      <c r="I233" s="22">
        <v>94.20289855072464</v>
      </c>
      <c r="J233" s="21">
        <v>1965</v>
      </c>
      <c r="K233" s="4" t="s">
        <v>94</v>
      </c>
      <c r="L233" s="24"/>
      <c r="M233" s="4"/>
      <c r="N233" s="4" t="s">
        <v>1842</v>
      </c>
    </row>
    <row r="234" spans="1:14">
      <c r="A234" s="4" t="s">
        <v>1843</v>
      </c>
      <c r="B234" s="4" t="s">
        <v>1034</v>
      </c>
      <c r="C234" s="4" t="s">
        <v>81</v>
      </c>
      <c r="D234" s="4" t="s">
        <v>68</v>
      </c>
      <c r="E234" s="4" t="s">
        <v>901</v>
      </c>
      <c r="F234" s="4" t="s">
        <v>1456</v>
      </c>
      <c r="G234" s="22">
        <v>1150000</v>
      </c>
      <c r="H234" s="21">
        <v>8315</v>
      </c>
      <c r="I234" s="22">
        <v>138.3042693926639</v>
      </c>
      <c r="J234" s="21">
        <v>1959</v>
      </c>
      <c r="K234" s="4" t="s">
        <v>94</v>
      </c>
      <c r="L234" s="24"/>
      <c r="M234" s="4"/>
      <c r="N234" s="4" t="s">
        <v>1522</v>
      </c>
    </row>
    <row r="235" spans="1:14">
      <c r="A235" s="4" t="s">
        <v>1844</v>
      </c>
      <c r="B235" s="4" t="s">
        <v>1028</v>
      </c>
      <c r="C235" s="4" t="s">
        <v>81</v>
      </c>
      <c r="D235" s="4" t="s">
        <v>68</v>
      </c>
      <c r="E235" s="4" t="s">
        <v>901</v>
      </c>
      <c r="F235" s="4" t="s">
        <v>1456</v>
      </c>
      <c r="G235" s="22">
        <v>1100000</v>
      </c>
      <c r="H235" s="21">
        <v>10954</v>
      </c>
      <c r="I235" s="22">
        <v>100.4199379222202</v>
      </c>
      <c r="J235" s="21">
        <v>1950</v>
      </c>
      <c r="K235" s="4" t="s">
        <v>94</v>
      </c>
      <c r="L235" s="24"/>
      <c r="M235" s="4"/>
      <c r="N235" s="4" t="s">
        <v>1522</v>
      </c>
    </row>
    <row r="236" spans="1:14">
      <c r="A236" s="4" t="s">
        <v>1845</v>
      </c>
      <c r="B236" s="4" t="s">
        <v>742</v>
      </c>
      <c r="C236" s="4" t="s">
        <v>743</v>
      </c>
      <c r="D236" s="4" t="s">
        <v>70</v>
      </c>
      <c r="E236" s="4" t="s">
        <v>901</v>
      </c>
      <c r="F236" s="4" t="s">
        <v>1456</v>
      </c>
      <c r="G236" s="22">
        <v>1050000</v>
      </c>
      <c r="H236" s="21">
        <v>6751</v>
      </c>
      <c r="I236" s="22">
        <v>155.5325137016738</v>
      </c>
      <c r="J236" s="21">
        <v>1961</v>
      </c>
      <c r="K236" s="4" t="s">
        <v>94</v>
      </c>
      <c r="L236" s="24"/>
      <c r="M236" s="4"/>
      <c r="N236" s="4" t="s">
        <v>1467</v>
      </c>
    </row>
    <row r="237" spans="1:14">
      <c r="A237" s="4" t="s">
        <v>1846</v>
      </c>
      <c r="B237" s="4" t="s">
        <v>742</v>
      </c>
      <c r="C237" s="4" t="s">
        <v>743</v>
      </c>
      <c r="D237" s="4" t="s">
        <v>70</v>
      </c>
      <c r="E237" s="4" t="s">
        <v>901</v>
      </c>
      <c r="F237" s="4" t="s">
        <v>1456</v>
      </c>
      <c r="G237" s="22">
        <v>1050000</v>
      </c>
      <c r="H237" s="21">
        <v>6751</v>
      </c>
      <c r="I237" s="22">
        <v>155.5325137016738</v>
      </c>
      <c r="J237" s="21">
        <v>1961</v>
      </c>
      <c r="K237" s="4" t="s">
        <v>94</v>
      </c>
      <c r="L237" s="24"/>
      <c r="M237" s="4"/>
      <c r="N237" s="4" t="s">
        <v>1467</v>
      </c>
    </row>
    <row r="238" spans="1:14">
      <c r="A238" s="4" t="s">
        <v>1847</v>
      </c>
      <c r="B238" s="4" t="s">
        <v>961</v>
      </c>
      <c r="C238" s="4" t="s">
        <v>59</v>
      </c>
      <c r="D238" s="4" t="s">
        <v>68</v>
      </c>
      <c r="E238" s="4" t="s">
        <v>901</v>
      </c>
      <c r="F238" s="4" t="s">
        <v>1456</v>
      </c>
      <c r="G238" s="22">
        <v>1040000</v>
      </c>
      <c r="H238" s="21">
        <v>5200</v>
      </c>
      <c r="I238" s="22">
        <v>200</v>
      </c>
      <c r="J238" s="21">
        <v>1974</v>
      </c>
      <c r="K238" s="4" t="s">
        <v>94</v>
      </c>
      <c r="L238" s="24"/>
      <c r="M238" s="4"/>
      <c r="N238" s="4" t="s">
        <v>1848</v>
      </c>
    </row>
    <row r="239" spans="1:14">
      <c r="A239" s="4" t="s">
        <v>1849</v>
      </c>
      <c r="B239" s="4" t="s">
        <v>1850</v>
      </c>
      <c r="C239" s="4" t="s">
        <v>110</v>
      </c>
      <c r="D239" s="4" t="s">
        <v>66</v>
      </c>
      <c r="E239" s="4" t="s">
        <v>901</v>
      </c>
      <c r="F239" s="4" t="s">
        <v>1456</v>
      </c>
      <c r="G239" s="22">
        <v>999900</v>
      </c>
      <c r="H239" s="24"/>
      <c r="I239" s="24"/>
      <c r="J239" s="21">
        <v>1971</v>
      </c>
      <c r="K239" s="4" t="s">
        <v>95</v>
      </c>
      <c r="L239" s="24"/>
      <c r="M239" s="4"/>
      <c r="N239" s="24" t="s">
        <v>237</v>
      </c>
    </row>
    <row r="240" spans="1:14">
      <c r="A240" s="4" t="s">
        <v>1851</v>
      </c>
      <c r="B240" s="4" t="s">
        <v>965</v>
      </c>
      <c r="C240" s="4" t="s">
        <v>76</v>
      </c>
      <c r="D240" s="4" t="s">
        <v>72</v>
      </c>
      <c r="E240" s="4" t="s">
        <v>901</v>
      </c>
      <c r="F240" s="4" t="s">
        <v>1456</v>
      </c>
      <c r="G240" s="22">
        <v>995000</v>
      </c>
      <c r="H240" s="21">
        <v>1200</v>
      </c>
      <c r="I240" s="22">
        <v>829.1666666666666</v>
      </c>
      <c r="J240" s="21">
        <v>1968</v>
      </c>
      <c r="K240" s="4" t="s">
        <v>95</v>
      </c>
      <c r="L240" s="24"/>
      <c r="M240" s="4"/>
      <c r="N240" s="4" t="s">
        <v>1467</v>
      </c>
    </row>
    <row r="241" spans="1:14">
      <c r="A241" s="4" t="s">
        <v>1852</v>
      </c>
      <c r="B241" s="4" t="s">
        <v>753</v>
      </c>
      <c r="C241" s="4" t="s">
        <v>81</v>
      </c>
      <c r="D241" s="4" t="s">
        <v>69</v>
      </c>
      <c r="E241" s="4" t="s">
        <v>901</v>
      </c>
      <c r="F241" s="4" t="s">
        <v>1456</v>
      </c>
      <c r="G241" s="22">
        <v>990000</v>
      </c>
      <c r="H241" s="21">
        <v>2400</v>
      </c>
      <c r="I241" s="22">
        <v>412.5</v>
      </c>
      <c r="J241" s="21">
        <v>1986</v>
      </c>
      <c r="K241" s="4" t="s">
        <v>95</v>
      </c>
      <c r="L241" s="24"/>
      <c r="M241" s="4"/>
      <c r="N241" s="4" t="s">
        <v>1479</v>
      </c>
    </row>
    <row r="242" spans="1:14">
      <c r="A242" s="4" t="s">
        <v>1853</v>
      </c>
      <c r="B242" s="4" t="s">
        <v>1854</v>
      </c>
      <c r="C242" s="4" t="s">
        <v>78</v>
      </c>
      <c r="D242" s="4" t="s">
        <v>70</v>
      </c>
      <c r="E242" s="4" t="s">
        <v>901</v>
      </c>
      <c r="F242" s="4" t="s">
        <v>1456</v>
      </c>
      <c r="G242" s="22">
        <v>975000</v>
      </c>
      <c r="H242" s="24"/>
      <c r="I242" s="24"/>
      <c r="J242" s="21">
        <v>1985</v>
      </c>
      <c r="K242" s="4" t="s">
        <v>95</v>
      </c>
      <c r="L242" s="24"/>
      <c r="M242" s="4"/>
      <c r="N242" s="4" t="s">
        <v>1467</v>
      </c>
    </row>
    <row r="243" spans="1:14">
      <c r="A243" s="4" t="s">
        <v>1855</v>
      </c>
      <c r="B243" s="4" t="s">
        <v>1856</v>
      </c>
      <c r="C243" s="4" t="s">
        <v>118</v>
      </c>
      <c r="D243" s="4" t="s">
        <v>68</v>
      </c>
      <c r="E243" s="4" t="s">
        <v>901</v>
      </c>
      <c r="F243" s="4" t="s">
        <v>1456</v>
      </c>
      <c r="G243" s="22">
        <v>975000</v>
      </c>
      <c r="H243" s="24"/>
      <c r="I243" s="24"/>
      <c r="J243" s="21">
        <v>1950</v>
      </c>
      <c r="K243" s="4" t="s">
        <v>95</v>
      </c>
      <c r="L243" s="24"/>
      <c r="M243" s="4"/>
      <c r="N243" s="4" t="s">
        <v>1469</v>
      </c>
    </row>
    <row r="244" spans="1:14">
      <c r="A244" s="4" t="s">
        <v>1857</v>
      </c>
      <c r="B244" s="4" t="s">
        <v>1024</v>
      </c>
      <c r="C244" s="4" t="s">
        <v>81</v>
      </c>
      <c r="D244" s="4" t="s">
        <v>65</v>
      </c>
      <c r="E244" s="4" t="s">
        <v>901</v>
      </c>
      <c r="F244" s="4" t="s">
        <v>1456</v>
      </c>
      <c r="G244" s="22">
        <v>875000</v>
      </c>
      <c r="H244" s="21">
        <v>6840</v>
      </c>
      <c r="I244" s="22">
        <v>127.9239766081871</v>
      </c>
      <c r="J244" s="21">
        <v>1960</v>
      </c>
      <c r="K244" s="4" t="s">
        <v>95</v>
      </c>
      <c r="L244" s="24"/>
      <c r="M244" s="4"/>
      <c r="N244" s="4" t="s">
        <v>1858</v>
      </c>
    </row>
    <row r="245" spans="1:14">
      <c r="A245" s="4" t="s">
        <v>1859</v>
      </c>
      <c r="B245" s="4" t="s">
        <v>788</v>
      </c>
      <c r="C245" s="4" t="s">
        <v>81</v>
      </c>
      <c r="D245" s="4" t="s">
        <v>69</v>
      </c>
      <c r="E245" s="4" t="s">
        <v>901</v>
      </c>
      <c r="F245" s="4" t="s">
        <v>1456</v>
      </c>
      <c r="G245" s="22">
        <v>799000</v>
      </c>
      <c r="H245" s="21">
        <v>6840</v>
      </c>
      <c r="I245" s="22">
        <v>116.812865497076</v>
      </c>
      <c r="J245" s="21">
        <v>1967</v>
      </c>
      <c r="K245" s="4" t="s">
        <v>95</v>
      </c>
      <c r="L245" s="24"/>
      <c r="M245" s="4"/>
      <c r="N245" s="4" t="s">
        <v>1550</v>
      </c>
    </row>
    <row r="246" spans="1:14">
      <c r="A246" s="4" t="s">
        <v>1860</v>
      </c>
      <c r="B246" s="4" t="s">
        <v>1026</v>
      </c>
      <c r="C246" s="4" t="s">
        <v>79</v>
      </c>
      <c r="D246" s="4" t="s">
        <v>70</v>
      </c>
      <c r="E246" s="4" t="s">
        <v>901</v>
      </c>
      <c r="F246" s="4" t="s">
        <v>1456</v>
      </c>
      <c r="G246" s="22">
        <v>750000</v>
      </c>
      <c r="H246" s="21">
        <v>6248</v>
      </c>
      <c r="I246" s="22">
        <v>120.0384122919334</v>
      </c>
      <c r="J246" s="21">
        <v>1976</v>
      </c>
      <c r="K246" s="4" t="s">
        <v>95</v>
      </c>
      <c r="L246" s="24"/>
      <c r="M246" s="4"/>
      <c r="N246" s="4" t="s">
        <v>1475</v>
      </c>
    </row>
    <row r="247" spans="1:14">
      <c r="A247" s="4" t="s">
        <v>1861</v>
      </c>
      <c r="B247" s="4" t="s">
        <v>1862</v>
      </c>
      <c r="C247" s="4" t="s">
        <v>79</v>
      </c>
      <c r="D247" s="4" t="s">
        <v>66</v>
      </c>
      <c r="E247" s="4" t="s">
        <v>901</v>
      </c>
      <c r="F247" s="4" t="s">
        <v>1456</v>
      </c>
      <c r="G247" s="22">
        <v>747850</v>
      </c>
      <c r="H247" s="24"/>
      <c r="I247" s="24"/>
      <c r="J247" s="21">
        <v>1957</v>
      </c>
      <c r="K247" s="4" t="s">
        <v>95</v>
      </c>
      <c r="L247" s="24"/>
      <c r="M247" s="4"/>
      <c r="N247" s="4" t="s">
        <v>1473</v>
      </c>
    </row>
    <row r="248" spans="1:14">
      <c r="A248" s="4" t="s">
        <v>1863</v>
      </c>
      <c r="B248" s="4" t="s">
        <v>972</v>
      </c>
      <c r="C248" s="4" t="s">
        <v>116</v>
      </c>
      <c r="D248" s="4" t="s">
        <v>70</v>
      </c>
      <c r="E248" s="4" t="s">
        <v>901</v>
      </c>
      <c r="F248" s="4" t="s">
        <v>1456</v>
      </c>
      <c r="G248" s="22">
        <v>710000</v>
      </c>
      <c r="H248" s="21">
        <v>1833</v>
      </c>
      <c r="I248" s="22">
        <v>387.3431533006001</v>
      </c>
      <c r="J248" s="21">
        <v>1964</v>
      </c>
      <c r="K248" s="4" t="s">
        <v>95</v>
      </c>
      <c r="L248" s="24"/>
      <c r="M248" s="4"/>
      <c r="N248" s="4" t="s">
        <v>1467</v>
      </c>
    </row>
    <row r="249" spans="1:14">
      <c r="A249" s="4" t="s">
        <v>1864</v>
      </c>
      <c r="B249" s="4" t="s">
        <v>1036</v>
      </c>
      <c r="C249" s="4" t="s">
        <v>83</v>
      </c>
      <c r="D249" s="4" t="s">
        <v>68</v>
      </c>
      <c r="E249" s="4" t="s">
        <v>901</v>
      </c>
      <c r="F249" s="4" t="s">
        <v>1456</v>
      </c>
      <c r="G249" s="22">
        <v>675000</v>
      </c>
      <c r="H249" s="21">
        <v>4680</v>
      </c>
      <c r="I249" s="22">
        <v>144.2307692307692</v>
      </c>
      <c r="J249" s="21">
        <v>1961</v>
      </c>
      <c r="K249" s="4" t="s">
        <v>95</v>
      </c>
      <c r="L249" s="24"/>
      <c r="M249" s="4"/>
      <c r="N249" s="4" t="s">
        <v>1820</v>
      </c>
    </row>
    <row r="250" spans="1:14">
      <c r="A250" s="4" t="s">
        <v>1865</v>
      </c>
      <c r="B250" s="4" t="s">
        <v>1866</v>
      </c>
      <c r="C250" s="4" t="s">
        <v>110</v>
      </c>
      <c r="D250" s="4" t="s">
        <v>69</v>
      </c>
      <c r="E250" s="4" t="s">
        <v>901</v>
      </c>
      <c r="F250" s="4" t="s">
        <v>1456</v>
      </c>
      <c r="G250" s="22">
        <v>485500</v>
      </c>
      <c r="H250" s="24"/>
      <c r="I250" s="24"/>
      <c r="J250" s="21">
        <v>1973</v>
      </c>
      <c r="K250" s="4" t="s">
        <v>95</v>
      </c>
      <c r="L250" s="24"/>
      <c r="M250" s="4"/>
      <c r="N250" s="24" t="s">
        <v>237</v>
      </c>
    </row>
    <row r="251" spans="1:14">
      <c r="A251" s="4" t="s">
        <v>1867</v>
      </c>
      <c r="B251" s="4" t="s">
        <v>1019</v>
      </c>
      <c r="C251" s="4" t="s">
        <v>109</v>
      </c>
      <c r="D251" s="4" t="s">
        <v>69</v>
      </c>
      <c r="E251" s="4" t="s">
        <v>901</v>
      </c>
      <c r="F251" s="4" t="s">
        <v>1456</v>
      </c>
      <c r="G251" s="22">
        <v>320000</v>
      </c>
      <c r="H251" s="21">
        <v>13263</v>
      </c>
      <c r="I251" s="22">
        <v>24.12727135640504</v>
      </c>
      <c r="J251" s="21">
        <v>2008</v>
      </c>
      <c r="K251" s="4" t="s">
        <v>95</v>
      </c>
      <c r="L251" s="24"/>
      <c r="M251" s="4"/>
      <c r="N251" s="4" t="s">
        <v>1467</v>
      </c>
    </row>
    <row r="252" spans="1:14">
      <c r="A252" s="4" t="s">
        <v>1868</v>
      </c>
      <c r="B252" s="4" t="s">
        <v>1869</v>
      </c>
      <c r="C252" s="4" t="s">
        <v>109</v>
      </c>
      <c r="D252" s="4" t="s">
        <v>65</v>
      </c>
      <c r="E252" s="4" t="s">
        <v>901</v>
      </c>
      <c r="F252" s="4" t="s">
        <v>1456</v>
      </c>
      <c r="G252" s="22">
        <v>299900</v>
      </c>
      <c r="H252" s="24"/>
      <c r="I252" s="24"/>
      <c r="J252" s="21">
        <v>1973</v>
      </c>
      <c r="K252" s="4" t="s">
        <v>95</v>
      </c>
      <c r="L252" s="24"/>
      <c r="M252" s="4"/>
      <c r="N252" s="4" t="s">
        <v>1467</v>
      </c>
    </row>
    <row r="253" spans="1:14">
      <c r="A253" s="4" t="s">
        <v>1870</v>
      </c>
      <c r="B253" s="4" t="s">
        <v>1871</v>
      </c>
      <c r="C253" s="4" t="s">
        <v>109</v>
      </c>
      <c r="D253" s="4" t="s">
        <v>65</v>
      </c>
      <c r="E253" s="4" t="s">
        <v>901</v>
      </c>
      <c r="F253" s="4" t="s">
        <v>1456</v>
      </c>
      <c r="G253" s="22">
        <v>299900</v>
      </c>
      <c r="H253" s="24"/>
      <c r="I253" s="24"/>
      <c r="J253" s="21">
        <v>1973</v>
      </c>
      <c r="K253" s="4" t="s">
        <v>95</v>
      </c>
      <c r="L253" s="24"/>
      <c r="M253" s="4"/>
      <c r="N253" s="4" t="s">
        <v>1467</v>
      </c>
    </row>
    <row r="254" spans="1:14">
      <c r="A254" s="4" t="s">
        <v>1872</v>
      </c>
      <c r="B254" s="4" t="s">
        <v>1873</v>
      </c>
      <c r="C254" s="4" t="s">
        <v>59</v>
      </c>
      <c r="D254" s="4" t="s">
        <v>69</v>
      </c>
      <c r="E254" s="4" t="s">
        <v>901</v>
      </c>
      <c r="F254" s="4" t="s">
        <v>1456</v>
      </c>
      <c r="G254" s="22">
        <v>250000</v>
      </c>
      <c r="H254" s="24"/>
      <c r="I254" s="24"/>
      <c r="J254" s="21">
        <v>1974</v>
      </c>
      <c r="K254" s="4" t="s">
        <v>95</v>
      </c>
      <c r="L254" s="24"/>
      <c r="M254" s="4"/>
      <c r="N254" s="4" t="s">
        <v>1475</v>
      </c>
    </row>
    <row r="255" spans="1:14">
      <c r="A255" s="4" t="s">
        <v>1874</v>
      </c>
      <c r="B255" s="4" t="s">
        <v>1875</v>
      </c>
      <c r="C255" s="4" t="s">
        <v>59</v>
      </c>
      <c r="D255" s="4" t="s">
        <v>65</v>
      </c>
      <c r="E255" s="4" t="s">
        <v>901</v>
      </c>
      <c r="F255" s="4" t="s">
        <v>1456</v>
      </c>
      <c r="G255" s="22">
        <v>249000</v>
      </c>
      <c r="H255" s="24"/>
      <c r="I255" s="24"/>
      <c r="J255" s="21">
        <v>1974</v>
      </c>
      <c r="K255" s="4" t="s">
        <v>95</v>
      </c>
      <c r="L255" s="24"/>
      <c r="M255" s="4"/>
      <c r="N255" s="4" t="s">
        <v>1475</v>
      </c>
    </row>
    <row r="256" spans="1:14">
      <c r="A256" s="4" t="s">
        <v>1876</v>
      </c>
      <c r="B256" s="4" t="s">
        <v>1877</v>
      </c>
      <c r="C256" s="4" t="s">
        <v>59</v>
      </c>
      <c r="D256" s="4" t="s">
        <v>65</v>
      </c>
      <c r="E256" s="4" t="s">
        <v>901</v>
      </c>
      <c r="F256" s="4" t="s">
        <v>1456</v>
      </c>
      <c r="G256" s="22">
        <v>200000</v>
      </c>
      <c r="H256" s="21">
        <v>104310</v>
      </c>
      <c r="I256" s="22">
        <v>1.917361710286646</v>
      </c>
      <c r="J256" s="24"/>
      <c r="K256" s="4" t="s">
        <v>95</v>
      </c>
      <c r="L256" s="24"/>
      <c r="M256" s="4"/>
      <c r="N256" s="24" t="s">
        <v>237</v>
      </c>
    </row>
    <row r="257" spans="1:14">
      <c r="A257" s="4" t="s">
        <v>1878</v>
      </c>
      <c r="B257" s="4" t="s">
        <v>1879</v>
      </c>
      <c r="C257" s="4" t="s">
        <v>59</v>
      </c>
      <c r="D257" s="4" t="s">
        <v>65</v>
      </c>
      <c r="E257" s="4" t="s">
        <v>901</v>
      </c>
      <c r="F257" s="4" t="s">
        <v>1456</v>
      </c>
      <c r="G257" s="22">
        <v>99900</v>
      </c>
      <c r="H257" s="24"/>
      <c r="I257" s="24"/>
      <c r="J257" s="24"/>
      <c r="K257" s="4" t="s">
        <v>95</v>
      </c>
      <c r="L257" s="24"/>
      <c r="M257" s="4"/>
      <c r="N257" s="4" t="s">
        <v>1880</v>
      </c>
    </row>
    <row r="258" spans="1:14">
      <c r="A258" s="4" t="s">
        <v>1881</v>
      </c>
      <c r="B258" s="4" t="s">
        <v>1882</v>
      </c>
      <c r="C258" s="4" t="s">
        <v>112</v>
      </c>
      <c r="D258" s="4" t="s">
        <v>65</v>
      </c>
      <c r="E258" s="4" t="s">
        <v>901</v>
      </c>
      <c r="F258" s="4" t="s">
        <v>1596</v>
      </c>
      <c r="G258" s="22">
        <v>32000</v>
      </c>
      <c r="H258" s="21">
        <v>23658</v>
      </c>
      <c r="I258" s="22">
        <v>1.352607997294784</v>
      </c>
      <c r="J258" s="24"/>
      <c r="K258" s="4" t="s">
        <v>95</v>
      </c>
      <c r="L258" s="22">
        <v>16.23129596753741</v>
      </c>
      <c r="M258" s="4"/>
      <c r="N258" s="4" t="s">
        <v>1473</v>
      </c>
    </row>
    <row r="259" spans="1:14">
      <c r="A259" s="4" t="s">
        <v>1883</v>
      </c>
      <c r="B259" s="4" t="s">
        <v>1040</v>
      </c>
      <c r="C259" s="4" t="s">
        <v>117</v>
      </c>
      <c r="D259" s="4" t="s">
        <v>65</v>
      </c>
      <c r="E259" s="4" t="s">
        <v>901</v>
      </c>
      <c r="F259" s="4" t="s">
        <v>1596</v>
      </c>
      <c r="G259" s="22">
        <v>30000</v>
      </c>
      <c r="H259" s="21">
        <v>33723</v>
      </c>
      <c r="I259" s="22">
        <v>0.8896005693443644</v>
      </c>
      <c r="J259" s="24"/>
      <c r="K259" s="4" t="s">
        <v>95</v>
      </c>
      <c r="L259" s="22">
        <v>10.67520683213237</v>
      </c>
      <c r="M259" s="4"/>
      <c r="N259" s="4" t="s">
        <v>1471</v>
      </c>
    </row>
    <row r="260" spans="1:14">
      <c r="A260" s="4" t="s">
        <v>1884</v>
      </c>
      <c r="B260" s="4" t="s">
        <v>1885</v>
      </c>
      <c r="C260" s="4" t="s">
        <v>120</v>
      </c>
      <c r="D260" s="4" t="s">
        <v>72</v>
      </c>
      <c r="E260" s="4" t="s">
        <v>901</v>
      </c>
      <c r="F260" s="4" t="s">
        <v>1596</v>
      </c>
      <c r="G260" s="22">
        <v>26600</v>
      </c>
      <c r="H260" s="21">
        <v>3000</v>
      </c>
      <c r="I260" s="22">
        <v>8.866666666666667</v>
      </c>
      <c r="J260" s="21">
        <v>1972</v>
      </c>
      <c r="K260" s="4" t="s">
        <v>95</v>
      </c>
      <c r="L260" s="22">
        <v>8.866666666666667</v>
      </c>
      <c r="M260" s="4"/>
      <c r="N260" s="4" t="s">
        <v>1479</v>
      </c>
    </row>
    <row r="261" spans="1:14">
      <c r="A261" s="4" t="s">
        <v>1886</v>
      </c>
      <c r="B261" s="4" t="s">
        <v>1887</v>
      </c>
      <c r="C261" s="4" t="s">
        <v>108</v>
      </c>
      <c r="D261" s="4" t="s">
        <v>65</v>
      </c>
      <c r="E261" s="4" t="s">
        <v>901</v>
      </c>
      <c r="F261" s="4" t="s">
        <v>1596</v>
      </c>
      <c r="G261" s="22">
        <v>26250</v>
      </c>
      <c r="H261" s="21">
        <v>9625</v>
      </c>
      <c r="I261" s="22">
        <v>2.727272727272727</v>
      </c>
      <c r="J261" s="21">
        <v>1970</v>
      </c>
      <c r="K261" s="4" t="s">
        <v>95</v>
      </c>
      <c r="L261" s="22">
        <v>32.72727272727273</v>
      </c>
      <c r="M261" s="4"/>
      <c r="N261" s="4" t="s">
        <v>1475</v>
      </c>
    </row>
    <row r="262" spans="1:14">
      <c r="A262" s="4" t="s">
        <v>1888</v>
      </c>
      <c r="B262" s="4" t="s">
        <v>1889</v>
      </c>
      <c r="C262" s="4" t="s">
        <v>118</v>
      </c>
      <c r="D262" s="4" t="s">
        <v>67</v>
      </c>
      <c r="E262" s="4" t="s">
        <v>901</v>
      </c>
      <c r="F262" s="4" t="s">
        <v>1596</v>
      </c>
      <c r="G262" s="22">
        <v>25302</v>
      </c>
      <c r="H262" s="21">
        <v>29889</v>
      </c>
      <c r="I262" s="22">
        <v>0.846532169025394</v>
      </c>
      <c r="J262" s="21">
        <v>1962</v>
      </c>
      <c r="K262" s="4" t="s">
        <v>95</v>
      </c>
      <c r="L262" s="22">
        <v>10.15838602830473</v>
      </c>
      <c r="M262" s="4"/>
      <c r="N262" s="4" t="s">
        <v>1483</v>
      </c>
    </row>
    <row r="263" spans="1:14">
      <c r="A263" s="4" t="s">
        <v>1890</v>
      </c>
      <c r="B263" s="4" t="s">
        <v>1891</v>
      </c>
      <c r="C263" s="4" t="s">
        <v>78</v>
      </c>
      <c r="D263" s="4" t="s">
        <v>68</v>
      </c>
      <c r="E263" s="4" t="s">
        <v>901</v>
      </c>
      <c r="F263" s="4" t="s">
        <v>1596</v>
      </c>
      <c r="G263" s="22">
        <v>21375</v>
      </c>
      <c r="H263" s="24"/>
      <c r="I263" s="24"/>
      <c r="J263" s="21">
        <v>1961</v>
      </c>
      <c r="K263" s="4" t="s">
        <v>95</v>
      </c>
      <c r="L263" s="24"/>
      <c r="M263" s="4"/>
      <c r="N263" s="4" t="s">
        <v>1475</v>
      </c>
    </row>
    <row r="264" spans="1:14">
      <c r="A264" s="4" t="s">
        <v>1892</v>
      </c>
      <c r="B264" s="4" t="s">
        <v>1893</v>
      </c>
      <c r="C264" s="4" t="s">
        <v>109</v>
      </c>
      <c r="D264" s="4" t="s">
        <v>65</v>
      </c>
      <c r="E264" s="4" t="s">
        <v>901</v>
      </c>
      <c r="F264" s="4" t="s">
        <v>1596</v>
      </c>
      <c r="G264" s="22">
        <v>21315</v>
      </c>
      <c r="H264" s="21">
        <v>17827</v>
      </c>
      <c r="I264" s="22">
        <v>1.195658271161721</v>
      </c>
      <c r="J264" s="24"/>
      <c r="K264" s="4" t="s">
        <v>95</v>
      </c>
      <c r="L264" s="22">
        <v>14.34789925394065</v>
      </c>
      <c r="M264" s="4"/>
      <c r="N264" s="4" t="s">
        <v>1894</v>
      </c>
    </row>
    <row r="265" spans="1:14">
      <c r="A265" s="4" t="s">
        <v>1895</v>
      </c>
      <c r="B265" s="4" t="s">
        <v>1896</v>
      </c>
      <c r="C265" s="4" t="s">
        <v>78</v>
      </c>
      <c r="D265" s="4" t="s">
        <v>68</v>
      </c>
      <c r="E265" s="4" t="s">
        <v>901</v>
      </c>
      <c r="F265" s="4" t="s">
        <v>1596</v>
      </c>
      <c r="G265" s="22">
        <v>11445</v>
      </c>
      <c r="H265" s="24"/>
      <c r="I265" s="24"/>
      <c r="J265" s="21">
        <v>1961</v>
      </c>
      <c r="K265" s="4" t="s">
        <v>95</v>
      </c>
      <c r="L265" s="24"/>
      <c r="M265" s="4"/>
      <c r="N265" s="4" t="s">
        <v>1475</v>
      </c>
    </row>
    <row r="266" spans="1:14">
      <c r="A266" s="4" t="s">
        <v>1897</v>
      </c>
      <c r="B266" s="4" t="s">
        <v>1213</v>
      </c>
      <c r="C266" s="4" t="s">
        <v>116</v>
      </c>
      <c r="D266" s="4" t="s">
        <v>67</v>
      </c>
      <c r="E266" s="4" t="s">
        <v>901</v>
      </c>
      <c r="F266" s="4" t="s">
        <v>1596</v>
      </c>
      <c r="G266" s="22">
        <v>10663</v>
      </c>
      <c r="H266" s="21">
        <v>5170</v>
      </c>
      <c r="I266" s="22">
        <v>2.06247582205029</v>
      </c>
      <c r="J266" s="21">
        <v>2000</v>
      </c>
      <c r="K266" s="4" t="s">
        <v>95</v>
      </c>
      <c r="L266" s="22">
        <v>24.74970986460348</v>
      </c>
      <c r="M266" s="4"/>
      <c r="N266" s="4" t="s">
        <v>1483</v>
      </c>
    </row>
    <row r="267" spans="1:14">
      <c r="A267" s="4" t="s">
        <v>1898</v>
      </c>
      <c r="B267" s="4" t="s">
        <v>1899</v>
      </c>
      <c r="C267" s="4" t="s">
        <v>78</v>
      </c>
      <c r="D267" s="4" t="s">
        <v>68</v>
      </c>
      <c r="E267" s="4" t="s">
        <v>901</v>
      </c>
      <c r="F267" s="4" t="s">
        <v>1596</v>
      </c>
      <c r="G267" s="22">
        <v>9930</v>
      </c>
      <c r="H267" s="24"/>
      <c r="I267" s="24"/>
      <c r="J267" s="21">
        <v>1961</v>
      </c>
      <c r="K267" s="4" t="s">
        <v>95</v>
      </c>
      <c r="L267" s="24"/>
      <c r="M267" s="4"/>
      <c r="N267" s="4" t="s">
        <v>1475</v>
      </c>
    </row>
    <row r="268" spans="1:14">
      <c r="A268" s="4" t="s">
        <v>1900</v>
      </c>
      <c r="B268" s="4" t="s">
        <v>1901</v>
      </c>
      <c r="C268" s="4" t="s">
        <v>120</v>
      </c>
      <c r="D268" s="4" t="s">
        <v>69</v>
      </c>
      <c r="E268" s="4" t="s">
        <v>901</v>
      </c>
      <c r="F268" s="4" t="s">
        <v>1596</v>
      </c>
      <c r="G268" s="22">
        <v>9290</v>
      </c>
      <c r="H268" s="21">
        <v>9368</v>
      </c>
      <c r="I268" s="22">
        <v>0.9916737830913749</v>
      </c>
      <c r="J268" s="21">
        <v>1987</v>
      </c>
      <c r="K268" s="4" t="s">
        <v>95</v>
      </c>
      <c r="L268" s="22">
        <v>11.9000853970965</v>
      </c>
      <c r="M268" s="4"/>
      <c r="N268" s="4" t="s">
        <v>1462</v>
      </c>
    </row>
    <row r="269" spans="1:14">
      <c r="A269" s="4" t="s">
        <v>1902</v>
      </c>
      <c r="B269" s="4" t="s">
        <v>1903</v>
      </c>
      <c r="C269" s="4" t="s">
        <v>112</v>
      </c>
      <c r="D269" s="4" t="s">
        <v>70</v>
      </c>
      <c r="E269" s="4" t="s">
        <v>901</v>
      </c>
      <c r="F269" s="4" t="s">
        <v>1596</v>
      </c>
      <c r="G269" s="22">
        <v>7704</v>
      </c>
      <c r="H269" s="24"/>
      <c r="I269" s="24"/>
      <c r="J269" s="21">
        <v>2024</v>
      </c>
      <c r="K269" s="4" t="s">
        <v>95</v>
      </c>
      <c r="L269" s="24"/>
      <c r="M269" s="4"/>
      <c r="N269" s="4" t="s">
        <v>1467</v>
      </c>
    </row>
    <row r="270" spans="1:14">
      <c r="A270" s="4" t="s">
        <v>1904</v>
      </c>
      <c r="B270" s="4" t="s">
        <v>1905</v>
      </c>
      <c r="C270" s="4" t="s">
        <v>246</v>
      </c>
      <c r="D270" s="4" t="s">
        <v>69</v>
      </c>
      <c r="E270" s="4" t="s">
        <v>901</v>
      </c>
      <c r="F270" s="4" t="s">
        <v>1596</v>
      </c>
      <c r="G270" s="22">
        <v>7500</v>
      </c>
      <c r="H270" s="21">
        <v>9034</v>
      </c>
      <c r="I270" s="22">
        <v>0.8301970334292672</v>
      </c>
      <c r="J270" s="24"/>
      <c r="K270" s="4" t="s">
        <v>95</v>
      </c>
      <c r="L270" s="22">
        <v>9.962364401151207</v>
      </c>
      <c r="M270" s="4"/>
      <c r="N270" s="24" t="s">
        <v>237</v>
      </c>
    </row>
    <row r="271" spans="1:14">
      <c r="A271" s="4" t="s">
        <v>1906</v>
      </c>
      <c r="B271" s="4" t="s">
        <v>943</v>
      </c>
      <c r="C271" s="4" t="s">
        <v>81</v>
      </c>
      <c r="D271" s="4" t="s">
        <v>69</v>
      </c>
      <c r="E271" s="4" t="s">
        <v>901</v>
      </c>
      <c r="F271" s="4" t="s">
        <v>1596</v>
      </c>
      <c r="G271" s="22">
        <v>5900</v>
      </c>
      <c r="H271" s="21">
        <v>9289</v>
      </c>
      <c r="I271" s="22">
        <v>0.6351598665087739</v>
      </c>
      <c r="J271" s="21">
        <v>1976</v>
      </c>
      <c r="K271" s="4" t="s">
        <v>95</v>
      </c>
      <c r="L271" s="22">
        <v>7.621918398105286</v>
      </c>
      <c r="M271" s="4"/>
      <c r="N271" s="4" t="s">
        <v>1522</v>
      </c>
    </row>
    <row r="272" spans="1:14">
      <c r="A272" s="4" t="s">
        <v>1907</v>
      </c>
      <c r="B272" s="4" t="s">
        <v>1908</v>
      </c>
      <c r="C272" s="4" t="s">
        <v>109</v>
      </c>
      <c r="D272" s="4" t="s">
        <v>68</v>
      </c>
      <c r="E272" s="4" t="s">
        <v>901</v>
      </c>
      <c r="F272" s="4" t="s">
        <v>1596</v>
      </c>
      <c r="G272" s="22">
        <v>5500</v>
      </c>
      <c r="H272" s="24"/>
      <c r="I272" s="24"/>
      <c r="J272" s="21">
        <v>1973</v>
      </c>
      <c r="K272" s="4" t="s">
        <v>95</v>
      </c>
      <c r="L272" s="24"/>
      <c r="M272" s="4"/>
      <c r="N272" s="4" t="s">
        <v>1909</v>
      </c>
    </row>
    <row r="273" spans="1:14">
      <c r="A273" s="4" t="s">
        <v>1910</v>
      </c>
      <c r="B273" s="4" t="s">
        <v>1911</v>
      </c>
      <c r="C273" s="4" t="s">
        <v>108</v>
      </c>
      <c r="D273" s="4" t="s">
        <v>69</v>
      </c>
      <c r="E273" s="4" t="s">
        <v>901</v>
      </c>
      <c r="F273" s="4" t="s">
        <v>1596</v>
      </c>
      <c r="G273" s="22">
        <v>5178</v>
      </c>
      <c r="H273" s="21">
        <v>15000</v>
      </c>
      <c r="I273" s="22">
        <v>0.3452</v>
      </c>
      <c r="J273" s="21">
        <v>1983</v>
      </c>
      <c r="K273" s="4" t="s">
        <v>95</v>
      </c>
      <c r="L273" s="22">
        <v>4.1424</v>
      </c>
      <c r="M273" s="4"/>
      <c r="N273" s="4" t="s">
        <v>1475</v>
      </c>
    </row>
    <row r="274" spans="1:14">
      <c r="A274" s="4" t="s">
        <v>1912</v>
      </c>
      <c r="B274" s="4" t="s">
        <v>1913</v>
      </c>
      <c r="C274" s="4" t="s">
        <v>108</v>
      </c>
      <c r="D274" s="4" t="s">
        <v>69</v>
      </c>
      <c r="E274" s="4" t="s">
        <v>901</v>
      </c>
      <c r="F274" s="4" t="s">
        <v>1596</v>
      </c>
      <c r="G274" s="22">
        <v>5035</v>
      </c>
      <c r="H274" s="21">
        <v>15000</v>
      </c>
      <c r="I274" s="22">
        <v>0.3356666666666667</v>
      </c>
      <c r="J274" s="21">
        <v>1983</v>
      </c>
      <c r="K274" s="4" t="s">
        <v>95</v>
      </c>
      <c r="L274" s="22">
        <v>4.028</v>
      </c>
      <c r="M274" s="4"/>
      <c r="N274" s="4" t="s">
        <v>1475</v>
      </c>
    </row>
    <row r="275" spans="1:14">
      <c r="A275" s="4" t="s">
        <v>1914</v>
      </c>
      <c r="B275" s="4" t="s">
        <v>1915</v>
      </c>
      <c r="C275" s="4" t="s">
        <v>79</v>
      </c>
      <c r="D275" s="4" t="s">
        <v>65</v>
      </c>
      <c r="E275" s="4" t="s">
        <v>901</v>
      </c>
      <c r="F275" s="4" t="s">
        <v>1596</v>
      </c>
      <c r="G275" s="22">
        <v>4495</v>
      </c>
      <c r="H275" s="21">
        <v>6255</v>
      </c>
      <c r="I275" s="22">
        <v>0.718625099920064</v>
      </c>
      <c r="J275" s="24"/>
      <c r="K275" s="4" t="s">
        <v>95</v>
      </c>
      <c r="L275" s="22">
        <v>8.623501199040767</v>
      </c>
      <c r="M275" s="4"/>
      <c r="N275" s="4" t="s">
        <v>1475</v>
      </c>
    </row>
    <row r="276" spans="1:14">
      <c r="A276" s="4" t="s">
        <v>1916</v>
      </c>
      <c r="B276" s="4" t="s">
        <v>1917</v>
      </c>
      <c r="C276" s="4" t="s">
        <v>79</v>
      </c>
      <c r="D276" s="4" t="s">
        <v>65</v>
      </c>
      <c r="E276" s="4" t="s">
        <v>901</v>
      </c>
      <c r="F276" s="4" t="s">
        <v>1596</v>
      </c>
      <c r="G276" s="22">
        <v>4375</v>
      </c>
      <c r="H276" s="21">
        <v>16545</v>
      </c>
      <c r="I276" s="22">
        <v>0.2644303414928982</v>
      </c>
      <c r="J276" s="24"/>
      <c r="K276" s="4" t="s">
        <v>95</v>
      </c>
      <c r="L276" s="24"/>
      <c r="M276" s="4"/>
      <c r="N276" s="4" t="s">
        <v>1467</v>
      </c>
    </row>
    <row r="277" spans="1:14">
      <c r="A277" s="4" t="s">
        <v>1918</v>
      </c>
      <c r="B277" s="4" t="s">
        <v>1919</v>
      </c>
      <c r="C277" s="4" t="s">
        <v>77</v>
      </c>
      <c r="D277" s="4" t="s">
        <v>67</v>
      </c>
      <c r="E277" s="4" t="s">
        <v>901</v>
      </c>
      <c r="F277" s="4" t="s">
        <v>1596</v>
      </c>
      <c r="G277" s="22">
        <v>4195</v>
      </c>
      <c r="H277" s="24"/>
      <c r="I277" s="24"/>
      <c r="J277" s="21">
        <v>1953</v>
      </c>
      <c r="K277" s="4" t="s">
        <v>95</v>
      </c>
      <c r="L277" s="24"/>
      <c r="M277" s="4"/>
      <c r="N277" s="4" t="s">
        <v>1483</v>
      </c>
    </row>
    <row r="278" spans="1:14">
      <c r="A278" s="4" t="s">
        <v>1920</v>
      </c>
      <c r="B278" s="4" t="s">
        <v>1921</v>
      </c>
      <c r="C278" s="4" t="s">
        <v>111</v>
      </c>
      <c r="D278" s="4" t="s">
        <v>70</v>
      </c>
      <c r="E278" s="4" t="s">
        <v>901</v>
      </c>
      <c r="F278" s="4" t="s">
        <v>1596</v>
      </c>
      <c r="G278" s="22">
        <v>4000</v>
      </c>
      <c r="H278" s="21">
        <v>16873</v>
      </c>
      <c r="I278" s="22">
        <v>0.2370651336454691</v>
      </c>
      <c r="J278" s="21">
        <v>1975</v>
      </c>
      <c r="K278" s="4" t="s">
        <v>95</v>
      </c>
      <c r="L278" s="24"/>
      <c r="M278" s="4"/>
      <c r="N278" s="4" t="s">
        <v>1467</v>
      </c>
    </row>
    <row r="279" spans="1:14">
      <c r="A279" s="4" t="s">
        <v>1922</v>
      </c>
      <c r="B279" s="4" t="s">
        <v>1923</v>
      </c>
      <c r="C279" s="4" t="s">
        <v>108</v>
      </c>
      <c r="D279" s="4" t="s">
        <v>69</v>
      </c>
      <c r="E279" s="4" t="s">
        <v>901</v>
      </c>
      <c r="F279" s="4" t="s">
        <v>1596</v>
      </c>
      <c r="G279" s="22">
        <v>3960</v>
      </c>
      <c r="H279" s="21">
        <v>15005</v>
      </c>
      <c r="I279" s="22">
        <v>0.2639120293235588</v>
      </c>
      <c r="J279" s="21">
        <v>1972</v>
      </c>
      <c r="K279" s="4" t="s">
        <v>95</v>
      </c>
      <c r="L279" s="24"/>
      <c r="M279" s="4"/>
      <c r="N279" s="4" t="s">
        <v>1475</v>
      </c>
    </row>
    <row r="280" spans="1:14">
      <c r="A280" s="4" t="s">
        <v>1924</v>
      </c>
      <c r="B280" s="4" t="s">
        <v>1925</v>
      </c>
      <c r="C280" s="4" t="s">
        <v>108</v>
      </c>
      <c r="D280" s="4" t="s">
        <v>69</v>
      </c>
      <c r="E280" s="4" t="s">
        <v>901</v>
      </c>
      <c r="F280" s="4" t="s">
        <v>1596</v>
      </c>
      <c r="G280" s="22">
        <v>3546</v>
      </c>
      <c r="H280" s="21">
        <v>15005</v>
      </c>
      <c r="I280" s="22">
        <v>0.236321226257914</v>
      </c>
      <c r="J280" s="21">
        <v>1972</v>
      </c>
      <c r="K280" s="4" t="s">
        <v>95</v>
      </c>
      <c r="L280" s="24"/>
      <c r="M280" s="4"/>
      <c r="N280" s="4" t="s">
        <v>1475</v>
      </c>
    </row>
    <row r="281" spans="1:14">
      <c r="A281" s="4" t="s">
        <v>1926</v>
      </c>
      <c r="B281" s="4" t="s">
        <v>1927</v>
      </c>
      <c r="C281" s="4" t="s">
        <v>79</v>
      </c>
      <c r="D281" s="4" t="s">
        <v>69</v>
      </c>
      <c r="E281" s="4" t="s">
        <v>901</v>
      </c>
      <c r="F281" s="4" t="s">
        <v>1596</v>
      </c>
      <c r="G281" s="22">
        <v>3500</v>
      </c>
      <c r="H281" s="24"/>
      <c r="I281" s="24"/>
      <c r="J281" s="21">
        <v>1973</v>
      </c>
      <c r="K281" s="4" t="s">
        <v>95</v>
      </c>
      <c r="L281" s="24"/>
      <c r="M281" s="4"/>
      <c r="N281" s="4" t="s">
        <v>1471</v>
      </c>
    </row>
    <row r="282" spans="1:14">
      <c r="A282" s="4" t="s">
        <v>1928</v>
      </c>
      <c r="B282" s="4" t="s">
        <v>1929</v>
      </c>
      <c r="C282" s="4" t="s">
        <v>78</v>
      </c>
      <c r="D282" s="4" t="s">
        <v>65</v>
      </c>
      <c r="E282" s="4" t="s">
        <v>901</v>
      </c>
      <c r="F282" s="4" t="s">
        <v>1596</v>
      </c>
      <c r="G282" s="22">
        <v>3500</v>
      </c>
      <c r="H282" s="21">
        <v>6511</v>
      </c>
      <c r="I282" s="22">
        <v>0.5375518353555522</v>
      </c>
      <c r="J282" s="24"/>
      <c r="K282" s="4" t="s">
        <v>95</v>
      </c>
      <c r="L282" s="22">
        <v>6.450622024266626</v>
      </c>
      <c r="M282" s="4"/>
      <c r="N282" s="4" t="s">
        <v>1475</v>
      </c>
    </row>
    <row r="283" spans="1:14">
      <c r="A283" s="4" t="s">
        <v>1930</v>
      </c>
      <c r="B283" s="4" t="s">
        <v>1931</v>
      </c>
      <c r="C283" s="4" t="s">
        <v>79</v>
      </c>
      <c r="D283" s="4" t="s">
        <v>65</v>
      </c>
      <c r="E283" s="4" t="s">
        <v>901</v>
      </c>
      <c r="F283" s="4" t="s">
        <v>1596</v>
      </c>
      <c r="G283" s="22">
        <v>3450</v>
      </c>
      <c r="H283" s="21">
        <v>22363</v>
      </c>
      <c r="I283" s="22">
        <v>0.1542726825560077</v>
      </c>
      <c r="J283" s="24"/>
      <c r="K283" s="4" t="s">
        <v>95</v>
      </c>
      <c r="L283" s="24"/>
      <c r="M283" s="4"/>
      <c r="N283" s="4" t="s">
        <v>1471</v>
      </c>
    </row>
    <row r="284" spans="1:14">
      <c r="A284" s="4" t="s">
        <v>1932</v>
      </c>
      <c r="B284" s="4" t="s">
        <v>1933</v>
      </c>
      <c r="C284" s="4" t="s">
        <v>108</v>
      </c>
      <c r="D284" s="4" t="s">
        <v>69</v>
      </c>
      <c r="E284" s="4" t="s">
        <v>901</v>
      </c>
      <c r="F284" s="4" t="s">
        <v>1596</v>
      </c>
      <c r="G284" s="22">
        <v>3266</v>
      </c>
      <c r="H284" s="21">
        <v>15000</v>
      </c>
      <c r="I284" s="22">
        <v>0.2177333333333333</v>
      </c>
      <c r="J284" s="21">
        <v>1972</v>
      </c>
      <c r="K284" s="4" t="s">
        <v>95</v>
      </c>
      <c r="L284" s="24"/>
      <c r="M284" s="4"/>
      <c r="N284" s="4" t="s">
        <v>1475</v>
      </c>
    </row>
    <row r="285" spans="1:14">
      <c r="A285" s="4" t="s">
        <v>1934</v>
      </c>
      <c r="B285" s="4" t="s">
        <v>1935</v>
      </c>
      <c r="C285" s="4" t="s">
        <v>113</v>
      </c>
      <c r="D285" s="4" t="s">
        <v>65</v>
      </c>
      <c r="E285" s="4" t="s">
        <v>901</v>
      </c>
      <c r="F285" s="4" t="s">
        <v>1596</v>
      </c>
      <c r="G285" s="22">
        <v>3250</v>
      </c>
      <c r="H285" s="21">
        <v>0</v>
      </c>
      <c r="I285" s="22" t="e">
        <f>1/0</f>
        <v>#DIV/0!</v>
      </c>
      <c r="J285" s="24"/>
      <c r="K285" s="4" t="s">
        <v>95</v>
      </c>
      <c r="L285" s="24"/>
      <c r="M285" s="4"/>
      <c r="N285" s="4" t="s">
        <v>1471</v>
      </c>
    </row>
    <row r="286" spans="1:14">
      <c r="A286" s="4" t="s">
        <v>1936</v>
      </c>
      <c r="B286" s="4" t="s">
        <v>1937</v>
      </c>
      <c r="C286" s="4" t="s">
        <v>1021</v>
      </c>
      <c r="D286" s="4" t="s">
        <v>69</v>
      </c>
      <c r="E286" s="4" t="s">
        <v>901</v>
      </c>
      <c r="F286" s="4" t="s">
        <v>1596</v>
      </c>
      <c r="G286" s="22">
        <v>3200</v>
      </c>
      <c r="H286" s="21">
        <v>2020</v>
      </c>
      <c r="I286" s="22">
        <v>1.584158415841584</v>
      </c>
      <c r="J286" s="21">
        <v>1956</v>
      </c>
      <c r="K286" s="4" t="s">
        <v>95</v>
      </c>
      <c r="L286" s="22">
        <v>19.00990099009901</v>
      </c>
      <c r="M286" s="4"/>
      <c r="N286" s="4" t="s">
        <v>1467</v>
      </c>
    </row>
    <row r="287" spans="1:14">
      <c r="A287" s="4" t="s">
        <v>1938</v>
      </c>
      <c r="B287" s="4" t="s">
        <v>1939</v>
      </c>
      <c r="C287" s="4" t="s">
        <v>109</v>
      </c>
      <c r="D287" s="4" t="s">
        <v>70</v>
      </c>
      <c r="E287" s="4" t="s">
        <v>901</v>
      </c>
      <c r="F287" s="4" t="s">
        <v>1596</v>
      </c>
      <c r="G287" s="22">
        <v>3200</v>
      </c>
      <c r="H287" s="21">
        <v>1000</v>
      </c>
      <c r="I287" s="22">
        <v>3.2</v>
      </c>
      <c r="J287" s="24"/>
      <c r="K287" s="4" t="s">
        <v>95</v>
      </c>
      <c r="L287" s="22">
        <v>38.4</v>
      </c>
      <c r="M287" s="4"/>
      <c r="N287" s="4" t="s">
        <v>1467</v>
      </c>
    </row>
    <row r="288" spans="1:14">
      <c r="A288" s="4" t="s">
        <v>1940</v>
      </c>
      <c r="B288" s="4" t="s">
        <v>1941</v>
      </c>
      <c r="C288" s="4" t="s">
        <v>109</v>
      </c>
      <c r="D288" s="4" t="s">
        <v>70</v>
      </c>
      <c r="E288" s="4" t="s">
        <v>901</v>
      </c>
      <c r="F288" s="4" t="s">
        <v>1596</v>
      </c>
      <c r="G288" s="22">
        <v>3200</v>
      </c>
      <c r="H288" s="21">
        <v>1000</v>
      </c>
      <c r="I288" s="22">
        <v>3.2</v>
      </c>
      <c r="J288" s="24"/>
      <c r="K288" s="4" t="s">
        <v>95</v>
      </c>
      <c r="L288" s="22">
        <v>38.4</v>
      </c>
      <c r="M288" s="4"/>
      <c r="N288" s="4" t="s">
        <v>1467</v>
      </c>
    </row>
    <row r="289" spans="1:14">
      <c r="A289" s="4" t="s">
        <v>1942</v>
      </c>
      <c r="B289" s="4" t="s">
        <v>1943</v>
      </c>
      <c r="C289" s="4" t="s">
        <v>108</v>
      </c>
      <c r="D289" s="4" t="s">
        <v>69</v>
      </c>
      <c r="E289" s="4" t="s">
        <v>901</v>
      </c>
      <c r="F289" s="4" t="s">
        <v>1596</v>
      </c>
      <c r="G289" s="22">
        <v>3167</v>
      </c>
      <c r="H289" s="24"/>
      <c r="I289" s="24"/>
      <c r="J289" s="21">
        <v>1964</v>
      </c>
      <c r="K289" s="4" t="s">
        <v>95</v>
      </c>
      <c r="L289" s="24"/>
      <c r="M289" s="4"/>
      <c r="N289" s="4" t="s">
        <v>1475</v>
      </c>
    </row>
    <row r="290" spans="1:14">
      <c r="A290" s="4" t="s">
        <v>1944</v>
      </c>
      <c r="B290" s="4" t="s">
        <v>1945</v>
      </c>
      <c r="C290" s="4" t="s">
        <v>108</v>
      </c>
      <c r="D290" s="4" t="s">
        <v>69</v>
      </c>
      <c r="E290" s="4" t="s">
        <v>901</v>
      </c>
      <c r="F290" s="4" t="s">
        <v>1596</v>
      </c>
      <c r="G290" s="22">
        <v>3160</v>
      </c>
      <c r="H290" s="21">
        <v>15000</v>
      </c>
      <c r="I290" s="22">
        <v>0.2106666666666667</v>
      </c>
      <c r="J290" s="21">
        <v>1983</v>
      </c>
      <c r="K290" s="4" t="s">
        <v>95</v>
      </c>
      <c r="L290" s="24"/>
      <c r="M290" s="4"/>
      <c r="N290" s="4" t="s">
        <v>1475</v>
      </c>
    </row>
    <row r="291" spans="1:14">
      <c r="A291" s="4" t="s">
        <v>1946</v>
      </c>
      <c r="B291" s="4" t="s">
        <v>1634</v>
      </c>
      <c r="C291" s="4" t="s">
        <v>79</v>
      </c>
      <c r="D291" s="4" t="s">
        <v>73</v>
      </c>
      <c r="E291" s="4" t="s">
        <v>901</v>
      </c>
      <c r="F291" s="4" t="s">
        <v>1596</v>
      </c>
      <c r="G291" s="22">
        <v>3000</v>
      </c>
      <c r="H291" s="21">
        <v>10000</v>
      </c>
      <c r="I291" s="22">
        <v>0.3</v>
      </c>
      <c r="J291" s="24"/>
      <c r="K291" s="4" t="s">
        <v>95</v>
      </c>
      <c r="L291" s="24"/>
      <c r="M291" s="4"/>
      <c r="N291" s="24" t="s">
        <v>237</v>
      </c>
    </row>
    <row r="292" spans="1:14">
      <c r="A292" s="4" t="s">
        <v>1947</v>
      </c>
      <c r="B292" s="4" t="s">
        <v>1948</v>
      </c>
      <c r="C292" s="4" t="s">
        <v>1949</v>
      </c>
      <c r="D292" s="4" t="s">
        <v>70</v>
      </c>
      <c r="E292" s="4" t="s">
        <v>901</v>
      </c>
      <c r="F292" s="4" t="s">
        <v>1596</v>
      </c>
      <c r="G292" s="22">
        <v>3000</v>
      </c>
      <c r="H292" s="24"/>
      <c r="I292" s="24"/>
      <c r="J292" s="21">
        <v>2007</v>
      </c>
      <c r="K292" s="4" t="s">
        <v>95</v>
      </c>
      <c r="L292" s="24"/>
      <c r="M292" s="4"/>
      <c r="N292" s="4" t="s">
        <v>1479</v>
      </c>
    </row>
    <row r="293" spans="1:14">
      <c r="A293" s="4" t="s">
        <v>1950</v>
      </c>
      <c r="B293" s="4" t="s">
        <v>373</v>
      </c>
      <c r="C293" s="4" t="s">
        <v>80</v>
      </c>
      <c r="D293" s="4" t="s">
        <v>65</v>
      </c>
      <c r="E293" s="4" t="s">
        <v>901</v>
      </c>
      <c r="F293" s="4" t="s">
        <v>1596</v>
      </c>
      <c r="G293" s="22">
        <v>2950</v>
      </c>
      <c r="H293" s="24"/>
      <c r="I293" s="24"/>
      <c r="J293" s="21">
        <v>1982</v>
      </c>
      <c r="K293" s="4" t="s">
        <v>95</v>
      </c>
      <c r="L293" s="24"/>
      <c r="M293" s="4"/>
      <c r="N293" s="4" t="s">
        <v>1562</v>
      </c>
    </row>
    <row r="294" spans="1:14">
      <c r="A294" s="4" t="s">
        <v>1951</v>
      </c>
      <c r="B294" s="4" t="s">
        <v>1873</v>
      </c>
      <c r="C294" s="4" t="s">
        <v>59</v>
      </c>
      <c r="D294" s="4" t="s">
        <v>68</v>
      </c>
      <c r="E294" s="4" t="s">
        <v>901</v>
      </c>
      <c r="F294" s="4" t="s">
        <v>1596</v>
      </c>
      <c r="G294" s="22">
        <v>2600</v>
      </c>
      <c r="H294" s="24"/>
      <c r="I294" s="24"/>
      <c r="J294" s="21">
        <v>1974</v>
      </c>
      <c r="K294" s="4" t="s">
        <v>95</v>
      </c>
      <c r="L294" s="24"/>
      <c r="M294" s="4"/>
      <c r="N294" s="4" t="s">
        <v>1475</v>
      </c>
    </row>
    <row r="295" spans="1:14">
      <c r="A295" s="4" t="s">
        <v>1952</v>
      </c>
      <c r="B295" s="4" t="s">
        <v>1953</v>
      </c>
      <c r="C295" s="4" t="s">
        <v>108</v>
      </c>
      <c r="D295" s="4" t="s">
        <v>69</v>
      </c>
      <c r="E295" s="4" t="s">
        <v>901</v>
      </c>
      <c r="F295" s="4" t="s">
        <v>1596</v>
      </c>
      <c r="G295" s="22">
        <v>2600</v>
      </c>
      <c r="H295" s="21">
        <v>15005</v>
      </c>
      <c r="I295" s="22">
        <v>0.1732755748083972</v>
      </c>
      <c r="J295" s="21">
        <v>1972</v>
      </c>
      <c r="K295" s="4" t="s">
        <v>95</v>
      </c>
      <c r="L295" s="24"/>
      <c r="M295" s="4"/>
      <c r="N295" s="4" t="s">
        <v>1475</v>
      </c>
    </row>
    <row r="296" spans="1:14">
      <c r="A296" s="4" t="s">
        <v>1954</v>
      </c>
      <c r="B296" s="4" t="s">
        <v>1955</v>
      </c>
      <c r="C296" s="4" t="s">
        <v>469</v>
      </c>
      <c r="D296" s="4" t="s">
        <v>70</v>
      </c>
      <c r="E296" s="4" t="s">
        <v>901</v>
      </c>
      <c r="F296" s="4" t="s">
        <v>1596</v>
      </c>
      <c r="G296" s="22">
        <v>2500</v>
      </c>
      <c r="H296" s="21">
        <v>5947</v>
      </c>
      <c r="I296" s="22">
        <v>0.4203800235412813</v>
      </c>
      <c r="J296" s="21">
        <v>1965</v>
      </c>
      <c r="K296" s="4" t="s">
        <v>95</v>
      </c>
      <c r="L296" s="22">
        <v>5.044560282495376</v>
      </c>
      <c r="M296" s="4"/>
      <c r="N296" s="4" t="s">
        <v>1475</v>
      </c>
    </row>
    <row r="297" spans="1:14">
      <c r="A297" s="4" t="s">
        <v>1956</v>
      </c>
      <c r="B297" s="4" t="s">
        <v>1957</v>
      </c>
      <c r="C297" s="4" t="s">
        <v>109</v>
      </c>
      <c r="D297" s="4" t="s">
        <v>65</v>
      </c>
      <c r="E297" s="4" t="s">
        <v>901</v>
      </c>
      <c r="F297" s="4" t="s">
        <v>1596</v>
      </c>
      <c r="G297" s="22">
        <v>2500</v>
      </c>
      <c r="H297" s="21">
        <v>1000</v>
      </c>
      <c r="I297" s="22">
        <v>2.5</v>
      </c>
      <c r="J297" s="24"/>
      <c r="K297" s="4" t="s">
        <v>95</v>
      </c>
      <c r="L297" s="22">
        <v>30</v>
      </c>
      <c r="M297" s="4"/>
      <c r="N297" s="4" t="s">
        <v>1467</v>
      </c>
    </row>
    <row r="298" spans="1:14">
      <c r="A298" s="4" t="s">
        <v>1958</v>
      </c>
      <c r="B298" s="4" t="s">
        <v>1959</v>
      </c>
      <c r="C298" s="4" t="s">
        <v>78</v>
      </c>
      <c r="D298" s="4" t="s">
        <v>65</v>
      </c>
      <c r="E298" s="4" t="s">
        <v>901</v>
      </c>
      <c r="F298" s="4" t="s">
        <v>1596</v>
      </c>
      <c r="G298" s="22">
        <v>2500</v>
      </c>
      <c r="H298" s="21">
        <v>16888</v>
      </c>
      <c r="I298" s="22">
        <v>0.1480341070582662</v>
      </c>
      <c r="J298" s="24"/>
      <c r="K298" s="4" t="s">
        <v>95</v>
      </c>
      <c r="L298" s="24"/>
      <c r="M298" s="4"/>
      <c r="N298" s="4" t="s">
        <v>1469</v>
      </c>
    </row>
    <row r="299" spans="1:14">
      <c r="A299" s="4" t="s">
        <v>1960</v>
      </c>
      <c r="B299" s="4" t="s">
        <v>1961</v>
      </c>
      <c r="C299" s="4" t="s">
        <v>364</v>
      </c>
      <c r="D299" s="4" t="s">
        <v>70</v>
      </c>
      <c r="E299" s="4" t="s">
        <v>901</v>
      </c>
      <c r="F299" s="4" t="s">
        <v>1596</v>
      </c>
      <c r="G299" s="22">
        <v>2400</v>
      </c>
      <c r="H299" s="21">
        <v>23014</v>
      </c>
      <c r="I299" s="22">
        <v>0.104284348657339</v>
      </c>
      <c r="J299" s="21">
        <v>1974</v>
      </c>
      <c r="K299" s="4" t="s">
        <v>95</v>
      </c>
      <c r="L299" s="24"/>
      <c r="M299" s="4"/>
      <c r="N299" s="4" t="s">
        <v>1467</v>
      </c>
    </row>
    <row r="300" spans="1:14">
      <c r="A300" s="4" t="s">
        <v>1962</v>
      </c>
      <c r="B300" s="4" t="s">
        <v>1658</v>
      </c>
      <c r="C300" s="4" t="s">
        <v>108</v>
      </c>
      <c r="D300" s="4" t="s">
        <v>69</v>
      </c>
      <c r="E300" s="4" t="s">
        <v>901</v>
      </c>
      <c r="F300" s="4" t="s">
        <v>1596</v>
      </c>
      <c r="G300" s="22">
        <v>2300</v>
      </c>
      <c r="H300" s="21">
        <v>15000</v>
      </c>
      <c r="I300" s="22">
        <v>0.1533333333333333</v>
      </c>
      <c r="J300" s="24"/>
      <c r="K300" s="4" t="s">
        <v>95</v>
      </c>
      <c r="L300" s="24"/>
      <c r="M300" s="4"/>
      <c r="N300" s="24" t="s">
        <v>237</v>
      </c>
    </row>
    <row r="301" spans="1:14">
      <c r="A301" s="4" t="s">
        <v>1963</v>
      </c>
      <c r="B301" s="4" t="s">
        <v>1964</v>
      </c>
      <c r="C301" s="4" t="s">
        <v>81</v>
      </c>
      <c r="D301" s="4" t="s">
        <v>70</v>
      </c>
      <c r="E301" s="4" t="s">
        <v>901</v>
      </c>
      <c r="F301" s="4" t="s">
        <v>1596</v>
      </c>
      <c r="G301" s="22">
        <v>2300</v>
      </c>
      <c r="H301" s="21">
        <v>1600</v>
      </c>
      <c r="I301" s="22">
        <v>1.4375</v>
      </c>
      <c r="J301" s="21">
        <v>2007</v>
      </c>
      <c r="K301" s="4" t="s">
        <v>95</v>
      </c>
      <c r="L301" s="22">
        <v>17.25</v>
      </c>
      <c r="M301" s="4"/>
      <c r="N301" s="4" t="s">
        <v>1479</v>
      </c>
    </row>
    <row r="302" spans="1:14">
      <c r="A302" s="4" t="s">
        <v>1965</v>
      </c>
      <c r="B302" s="4" t="s">
        <v>1966</v>
      </c>
      <c r="C302" s="4" t="s">
        <v>76</v>
      </c>
      <c r="D302" s="4" t="s">
        <v>65</v>
      </c>
      <c r="E302" s="4" t="s">
        <v>901</v>
      </c>
      <c r="F302" s="4" t="s">
        <v>1596</v>
      </c>
      <c r="G302" s="22">
        <v>2063</v>
      </c>
      <c r="H302" s="24"/>
      <c r="I302" s="24"/>
      <c r="J302" s="21">
        <v>1988</v>
      </c>
      <c r="K302" s="4" t="s">
        <v>95</v>
      </c>
      <c r="L302" s="24"/>
      <c r="M302" s="4"/>
      <c r="N302" s="4" t="s">
        <v>1467</v>
      </c>
    </row>
    <row r="303" spans="1:14">
      <c r="A303" s="4" t="s">
        <v>1967</v>
      </c>
      <c r="B303" s="4" t="s">
        <v>1968</v>
      </c>
      <c r="C303" s="4" t="s">
        <v>79</v>
      </c>
      <c r="D303" s="4" t="s">
        <v>68</v>
      </c>
      <c r="E303" s="4" t="s">
        <v>901</v>
      </c>
      <c r="F303" s="4" t="s">
        <v>1596</v>
      </c>
      <c r="G303" s="22">
        <v>1950</v>
      </c>
      <c r="H303" s="21">
        <v>40000</v>
      </c>
      <c r="I303" s="22">
        <v>0.04875</v>
      </c>
      <c r="J303" s="24"/>
      <c r="K303" s="4" t="s">
        <v>95</v>
      </c>
      <c r="L303" s="24"/>
      <c r="M303" s="4"/>
      <c r="N303" s="4" t="s">
        <v>1969</v>
      </c>
    </row>
    <row r="304" spans="1:14">
      <c r="A304" s="4" t="s">
        <v>1970</v>
      </c>
      <c r="B304" s="4" t="s">
        <v>1781</v>
      </c>
      <c r="C304" s="4" t="s">
        <v>111</v>
      </c>
      <c r="D304" s="4" t="s">
        <v>66</v>
      </c>
      <c r="E304" s="4" t="s">
        <v>901</v>
      </c>
      <c r="F304" s="4" t="s">
        <v>1596</v>
      </c>
      <c r="G304" s="22">
        <v>1850</v>
      </c>
      <c r="H304" s="24"/>
      <c r="I304" s="24"/>
      <c r="J304" s="21">
        <v>1953</v>
      </c>
      <c r="K304" s="4" t="s">
        <v>95</v>
      </c>
      <c r="L304" s="24"/>
      <c r="M304" s="4"/>
      <c r="N304" s="4" t="s">
        <v>1496</v>
      </c>
    </row>
    <row r="305" spans="1:14">
      <c r="A305" s="4" t="s">
        <v>1971</v>
      </c>
      <c r="B305" s="4" t="s">
        <v>1769</v>
      </c>
      <c r="C305" s="4" t="s">
        <v>76</v>
      </c>
      <c r="D305" s="4" t="s">
        <v>66</v>
      </c>
      <c r="E305" s="4" t="s">
        <v>901</v>
      </c>
      <c r="F305" s="4" t="s">
        <v>1596</v>
      </c>
      <c r="G305" s="22">
        <v>1850</v>
      </c>
      <c r="H305" s="24"/>
      <c r="I305" s="24"/>
      <c r="J305" s="21">
        <v>1969</v>
      </c>
      <c r="K305" s="4" t="s">
        <v>95</v>
      </c>
      <c r="L305" s="24"/>
      <c r="M305" s="4"/>
      <c r="N305" s="4" t="s">
        <v>1473</v>
      </c>
    </row>
    <row r="306" spans="1:14">
      <c r="A306" s="4" t="s">
        <v>1972</v>
      </c>
      <c r="B306" s="4" t="s">
        <v>1973</v>
      </c>
      <c r="C306" s="4" t="s">
        <v>81</v>
      </c>
      <c r="D306" s="4" t="s">
        <v>65</v>
      </c>
      <c r="E306" s="4" t="s">
        <v>901</v>
      </c>
      <c r="F306" s="4" t="s">
        <v>1596</v>
      </c>
      <c r="G306" s="22">
        <v>1818</v>
      </c>
      <c r="H306" s="21">
        <v>21750</v>
      </c>
      <c r="I306" s="22">
        <v>0.08358620689655172</v>
      </c>
      <c r="J306" s="24"/>
      <c r="K306" s="4" t="s">
        <v>95</v>
      </c>
      <c r="L306" s="24"/>
      <c r="M306" s="4"/>
      <c r="N306" s="24" t="s">
        <v>237</v>
      </c>
    </row>
    <row r="307" spans="1:14">
      <c r="A307" s="4" t="s">
        <v>1974</v>
      </c>
      <c r="B307" s="4" t="s">
        <v>1975</v>
      </c>
      <c r="C307" s="4" t="s">
        <v>115</v>
      </c>
      <c r="D307" s="4" t="s">
        <v>68</v>
      </c>
      <c r="E307" s="4" t="s">
        <v>901</v>
      </c>
      <c r="F307" s="4" t="s">
        <v>1596</v>
      </c>
      <c r="G307" s="22">
        <v>1800</v>
      </c>
      <c r="H307" s="24"/>
      <c r="I307" s="24"/>
      <c r="J307" s="21">
        <v>1973</v>
      </c>
      <c r="K307" s="4" t="s">
        <v>95</v>
      </c>
      <c r="L307" s="24"/>
      <c r="M307" s="4"/>
      <c r="N307" s="4" t="s">
        <v>1467</v>
      </c>
    </row>
    <row r="308" spans="1:14">
      <c r="A308" s="4" t="s">
        <v>1976</v>
      </c>
      <c r="B308" s="4" t="s">
        <v>1977</v>
      </c>
      <c r="C308" s="4" t="s">
        <v>115</v>
      </c>
      <c r="D308" s="4" t="s">
        <v>68</v>
      </c>
      <c r="E308" s="4" t="s">
        <v>901</v>
      </c>
      <c r="F308" s="4" t="s">
        <v>1596</v>
      </c>
      <c r="G308" s="22">
        <v>1800</v>
      </c>
      <c r="H308" s="24"/>
      <c r="I308" s="24"/>
      <c r="J308" s="21">
        <v>1973</v>
      </c>
      <c r="K308" s="4" t="s">
        <v>95</v>
      </c>
      <c r="L308" s="24"/>
      <c r="M308" s="4"/>
      <c r="N308" s="4" t="s">
        <v>1467</v>
      </c>
    </row>
    <row r="309" spans="1:14">
      <c r="A309" s="4" t="s">
        <v>1978</v>
      </c>
      <c r="B309" s="4" t="s">
        <v>1979</v>
      </c>
      <c r="C309" s="4" t="s">
        <v>108</v>
      </c>
      <c r="D309" s="4" t="s">
        <v>69</v>
      </c>
      <c r="E309" s="4" t="s">
        <v>901</v>
      </c>
      <c r="F309" s="4" t="s">
        <v>1596</v>
      </c>
      <c r="G309" s="22">
        <v>1760</v>
      </c>
      <c r="H309" s="21">
        <v>15005</v>
      </c>
      <c r="I309" s="22">
        <v>0.117294235254915</v>
      </c>
      <c r="J309" s="21">
        <v>1972</v>
      </c>
      <c r="K309" s="4" t="s">
        <v>95</v>
      </c>
      <c r="L309" s="24"/>
      <c r="M309" s="4"/>
      <c r="N309" s="4" t="s">
        <v>1475</v>
      </c>
    </row>
    <row r="310" spans="1:14">
      <c r="A310" s="4" t="s">
        <v>1980</v>
      </c>
      <c r="B310" s="4" t="s">
        <v>1981</v>
      </c>
      <c r="C310" s="4" t="s">
        <v>120</v>
      </c>
      <c r="D310" s="4" t="s">
        <v>65</v>
      </c>
      <c r="E310" s="4" t="s">
        <v>901</v>
      </c>
      <c r="F310" s="4" t="s">
        <v>1596</v>
      </c>
      <c r="G310" s="22">
        <v>1750</v>
      </c>
      <c r="H310" s="24"/>
      <c r="I310" s="24"/>
      <c r="J310" s="21">
        <v>2001</v>
      </c>
      <c r="K310" s="4" t="s">
        <v>95</v>
      </c>
      <c r="L310" s="24"/>
      <c r="M310" s="4"/>
      <c r="N310" s="4" t="s">
        <v>1462</v>
      </c>
    </row>
    <row r="311" spans="1:14">
      <c r="A311" s="4" t="s">
        <v>1982</v>
      </c>
      <c r="B311" s="4" t="s">
        <v>1983</v>
      </c>
      <c r="C311" s="4" t="s">
        <v>77</v>
      </c>
      <c r="D311" s="4" t="s">
        <v>67</v>
      </c>
      <c r="E311" s="4" t="s">
        <v>901</v>
      </c>
      <c r="F311" s="4" t="s">
        <v>1596</v>
      </c>
      <c r="G311" s="22">
        <v>1700</v>
      </c>
      <c r="H311" s="24"/>
      <c r="I311" s="24"/>
      <c r="J311" s="21">
        <v>1960</v>
      </c>
      <c r="K311" s="4" t="s">
        <v>95</v>
      </c>
      <c r="L311" s="24"/>
      <c r="M311" s="4"/>
      <c r="N311" s="4" t="s">
        <v>1469</v>
      </c>
    </row>
    <row r="312" spans="1:14">
      <c r="A312" s="4" t="s">
        <v>1984</v>
      </c>
      <c r="B312" s="4" t="s">
        <v>1985</v>
      </c>
      <c r="C312" s="4" t="s">
        <v>108</v>
      </c>
      <c r="D312" s="4" t="s">
        <v>69</v>
      </c>
      <c r="E312" s="4" t="s">
        <v>901</v>
      </c>
      <c r="F312" s="4" t="s">
        <v>1596</v>
      </c>
      <c r="G312" s="22">
        <v>1612</v>
      </c>
      <c r="H312" s="21">
        <v>15005</v>
      </c>
      <c r="I312" s="22">
        <v>0.1074308563812063</v>
      </c>
      <c r="J312" s="21">
        <v>1972</v>
      </c>
      <c r="K312" s="4" t="s">
        <v>95</v>
      </c>
      <c r="L312" s="24"/>
      <c r="M312" s="4"/>
      <c r="N312" s="4" t="s">
        <v>1475</v>
      </c>
    </row>
    <row r="313" spans="1:14">
      <c r="A313" s="4" t="s">
        <v>1986</v>
      </c>
      <c r="B313" s="4" t="s">
        <v>1987</v>
      </c>
      <c r="C313" s="4" t="s">
        <v>108</v>
      </c>
      <c r="D313" s="4" t="s">
        <v>69</v>
      </c>
      <c r="E313" s="4" t="s">
        <v>901</v>
      </c>
      <c r="F313" s="4" t="s">
        <v>1596</v>
      </c>
      <c r="G313" s="22">
        <v>1600</v>
      </c>
      <c r="H313" s="24"/>
      <c r="I313" s="24"/>
      <c r="J313" s="21">
        <v>1964</v>
      </c>
      <c r="K313" s="4" t="s">
        <v>95</v>
      </c>
      <c r="L313" s="24"/>
      <c r="M313" s="4"/>
      <c r="N313" s="4" t="s">
        <v>1475</v>
      </c>
    </row>
    <row r="314" spans="1:14">
      <c r="A314" s="4" t="s">
        <v>1988</v>
      </c>
      <c r="B314" s="4" t="s">
        <v>1989</v>
      </c>
      <c r="C314" s="4" t="s">
        <v>109</v>
      </c>
      <c r="D314" s="4" t="s">
        <v>65</v>
      </c>
      <c r="E314" s="4" t="s">
        <v>901</v>
      </c>
      <c r="F314" s="4" t="s">
        <v>1596</v>
      </c>
      <c r="G314" s="22">
        <v>1500</v>
      </c>
      <c r="H314" s="21">
        <v>2000</v>
      </c>
      <c r="I314" s="22">
        <v>0.75</v>
      </c>
      <c r="J314" s="24"/>
      <c r="K314" s="4" t="s">
        <v>95</v>
      </c>
      <c r="L314" s="22">
        <v>9</v>
      </c>
      <c r="M314" s="4"/>
      <c r="N314" s="4" t="s">
        <v>1467</v>
      </c>
    </row>
    <row r="315" spans="1:14">
      <c r="A315" s="4" t="s">
        <v>1990</v>
      </c>
      <c r="B315" s="4" t="s">
        <v>1634</v>
      </c>
      <c r="C315" s="4" t="s">
        <v>79</v>
      </c>
      <c r="D315" s="4" t="s">
        <v>73</v>
      </c>
      <c r="E315" s="4" t="s">
        <v>901</v>
      </c>
      <c r="F315" s="4" t="s">
        <v>1596</v>
      </c>
      <c r="G315" s="22">
        <v>1500</v>
      </c>
      <c r="H315" s="21">
        <v>10000</v>
      </c>
      <c r="I315" s="22">
        <v>0.15</v>
      </c>
      <c r="J315" s="24"/>
      <c r="K315" s="4" t="s">
        <v>95</v>
      </c>
      <c r="L315" s="24"/>
      <c r="M315" s="4"/>
      <c r="N315" s="24" t="s">
        <v>237</v>
      </c>
    </row>
    <row r="316" spans="1:14">
      <c r="A316" s="4" t="s">
        <v>1991</v>
      </c>
      <c r="B316" s="4" t="s">
        <v>1992</v>
      </c>
      <c r="C316" s="4" t="s">
        <v>78</v>
      </c>
      <c r="D316" s="4" t="s">
        <v>67</v>
      </c>
      <c r="E316" s="4" t="s">
        <v>901</v>
      </c>
      <c r="F316" s="4" t="s">
        <v>1596</v>
      </c>
      <c r="G316" s="22">
        <v>1500</v>
      </c>
      <c r="H316" s="24"/>
      <c r="I316" s="24"/>
      <c r="J316" s="21">
        <v>1963</v>
      </c>
      <c r="K316" s="4" t="s">
        <v>95</v>
      </c>
      <c r="L316" s="24"/>
      <c r="M316" s="4"/>
      <c r="N316" s="4" t="s">
        <v>1469</v>
      </c>
    </row>
    <row r="317" spans="1:14">
      <c r="A317" s="4" t="s">
        <v>1993</v>
      </c>
      <c r="B317" s="4" t="s">
        <v>1994</v>
      </c>
      <c r="C317" s="4" t="s">
        <v>109</v>
      </c>
      <c r="D317" s="4" t="s">
        <v>65</v>
      </c>
      <c r="E317" s="4" t="s">
        <v>901</v>
      </c>
      <c r="F317" s="4" t="s">
        <v>1596</v>
      </c>
      <c r="G317" s="22">
        <v>1250</v>
      </c>
      <c r="H317" s="21">
        <v>1000</v>
      </c>
      <c r="I317" s="22">
        <v>1.25</v>
      </c>
      <c r="J317" s="24"/>
      <c r="K317" s="4" t="s">
        <v>95</v>
      </c>
      <c r="L317" s="22">
        <v>15</v>
      </c>
      <c r="M317" s="4"/>
      <c r="N317" s="4" t="s">
        <v>1467</v>
      </c>
    </row>
    <row r="318" spans="1:14">
      <c r="A318" s="4" t="s">
        <v>1995</v>
      </c>
      <c r="B318" s="4" t="s">
        <v>1996</v>
      </c>
      <c r="C318" s="4" t="s">
        <v>109</v>
      </c>
      <c r="D318" s="4" t="s">
        <v>65</v>
      </c>
      <c r="E318" s="4" t="s">
        <v>901</v>
      </c>
      <c r="F318" s="4" t="s">
        <v>1596</v>
      </c>
      <c r="G318" s="22">
        <v>1100</v>
      </c>
      <c r="H318" s="24"/>
      <c r="I318" s="24"/>
      <c r="J318" s="24"/>
      <c r="K318" s="4" t="s">
        <v>95</v>
      </c>
      <c r="L318" s="24"/>
      <c r="M318" s="4"/>
      <c r="N318" s="24" t="s">
        <v>237</v>
      </c>
    </row>
    <row r="319" spans="1:14">
      <c r="A319" s="4" t="s">
        <v>1997</v>
      </c>
      <c r="B319" s="4" t="s">
        <v>1998</v>
      </c>
      <c r="C319" s="4" t="s">
        <v>108</v>
      </c>
      <c r="D319" s="4" t="s">
        <v>69</v>
      </c>
      <c r="E319" s="4" t="s">
        <v>901</v>
      </c>
      <c r="F319" s="4" t="s">
        <v>1596</v>
      </c>
      <c r="G319" s="22">
        <v>700</v>
      </c>
      <c r="H319" s="21">
        <v>15000</v>
      </c>
      <c r="I319" s="22">
        <v>0.04666666666666667</v>
      </c>
      <c r="J319" s="24"/>
      <c r="K319" s="4" t="s">
        <v>95</v>
      </c>
      <c r="L319" s="24"/>
      <c r="M319" s="4"/>
      <c r="N319" s="24" t="s">
        <v>237</v>
      </c>
    </row>
    <row r="320" spans="1:14">
      <c r="A320" s="4" t="s">
        <v>1999</v>
      </c>
      <c r="B320" s="4" t="s">
        <v>1681</v>
      </c>
      <c r="C320" s="4" t="s">
        <v>80</v>
      </c>
      <c r="D320" s="4" t="s">
        <v>69</v>
      </c>
      <c r="E320" s="4" t="s">
        <v>901</v>
      </c>
      <c r="F320" s="4" t="s">
        <v>1596</v>
      </c>
      <c r="G320" s="22">
        <v>700</v>
      </c>
      <c r="H320" s="21">
        <v>13664</v>
      </c>
      <c r="I320" s="22">
        <v>0.05122950819672131</v>
      </c>
      <c r="J320" s="21">
        <v>1977</v>
      </c>
      <c r="K320" s="4" t="s">
        <v>95</v>
      </c>
      <c r="L320" s="24"/>
      <c r="M320" s="4"/>
      <c r="N320" s="4" t="s">
        <v>1550</v>
      </c>
    </row>
    <row r="321" spans="1:14">
      <c r="A321" s="4" t="s">
        <v>2000</v>
      </c>
      <c r="B321" s="4" t="s">
        <v>2001</v>
      </c>
      <c r="C321" s="4" t="s">
        <v>111</v>
      </c>
      <c r="D321" s="4" t="s">
        <v>68</v>
      </c>
      <c r="E321" s="4" t="s">
        <v>901</v>
      </c>
      <c r="F321" s="4" t="s">
        <v>1596</v>
      </c>
      <c r="G321" s="22">
        <v>650</v>
      </c>
      <c r="H321" s="24"/>
      <c r="I321" s="24"/>
      <c r="J321" s="21">
        <v>1956</v>
      </c>
      <c r="K321" s="4" t="s">
        <v>95</v>
      </c>
      <c r="L321" s="24"/>
      <c r="M321" s="4"/>
      <c r="N321" s="4" t="s">
        <v>1473</v>
      </c>
    </row>
    <row r="322" spans="1:14">
      <c r="A322" s="4" t="s">
        <v>2002</v>
      </c>
      <c r="B322" s="4" t="s">
        <v>1696</v>
      </c>
      <c r="C322" s="4" t="s">
        <v>118</v>
      </c>
      <c r="D322" s="4" t="s">
        <v>69</v>
      </c>
      <c r="E322" s="4" t="s">
        <v>901</v>
      </c>
      <c r="F322" s="4" t="s">
        <v>1596</v>
      </c>
      <c r="G322" s="22">
        <v>600</v>
      </c>
      <c r="H322" s="21">
        <v>37500</v>
      </c>
      <c r="I322" s="22">
        <v>0.016</v>
      </c>
      <c r="J322" s="21">
        <v>1987</v>
      </c>
      <c r="K322" s="4" t="s">
        <v>95</v>
      </c>
      <c r="L322" s="24"/>
      <c r="M322" s="4"/>
      <c r="N322" s="4" t="s">
        <v>1479</v>
      </c>
    </row>
    <row r="323" spans="1:14">
      <c r="A323" s="4" t="s">
        <v>2003</v>
      </c>
      <c r="B323" s="4" t="s">
        <v>2004</v>
      </c>
      <c r="C323" s="4" t="s">
        <v>111</v>
      </c>
      <c r="D323" s="4" t="s">
        <v>72</v>
      </c>
      <c r="E323" s="4" t="s">
        <v>901</v>
      </c>
      <c r="F323" s="4" t="s">
        <v>1596</v>
      </c>
      <c r="G323" s="22">
        <v>90</v>
      </c>
      <c r="H323" s="21">
        <v>5750</v>
      </c>
      <c r="I323" s="22">
        <v>0.01565217391304348</v>
      </c>
      <c r="J323" s="21">
        <v>1988</v>
      </c>
      <c r="K323" s="4" t="s">
        <v>95</v>
      </c>
      <c r="L323" s="22">
        <v>90</v>
      </c>
      <c r="M323" s="4"/>
      <c r="N323" s="4" t="s">
        <v>2005</v>
      </c>
    </row>
    <row r="324" spans="1:14">
      <c r="A324" s="4" t="s">
        <v>2006</v>
      </c>
      <c r="B324" s="4" t="s">
        <v>2007</v>
      </c>
      <c r="C324" s="4" t="s">
        <v>79</v>
      </c>
      <c r="D324" s="4" t="s">
        <v>68</v>
      </c>
      <c r="E324" s="4" t="s">
        <v>901</v>
      </c>
      <c r="F324" s="4" t="s">
        <v>1596</v>
      </c>
      <c r="G324" s="22">
        <v>70</v>
      </c>
      <c r="H324" s="21">
        <v>13683</v>
      </c>
      <c r="I324" s="22">
        <v>0.005115837170211211</v>
      </c>
      <c r="J324" s="21">
        <v>1972</v>
      </c>
      <c r="K324" s="4" t="s">
        <v>95</v>
      </c>
      <c r="L324" s="22">
        <v>70</v>
      </c>
      <c r="M324" s="4"/>
      <c r="N324" s="4" t="s">
        <v>1492</v>
      </c>
    </row>
    <row r="325" spans="1:14">
      <c r="A325" s="4" t="s">
        <v>2008</v>
      </c>
      <c r="B325" s="4" t="s">
        <v>2009</v>
      </c>
      <c r="C325" s="4" t="s">
        <v>112</v>
      </c>
      <c r="D325" s="4" t="s">
        <v>70</v>
      </c>
      <c r="E325" s="4" t="s">
        <v>901</v>
      </c>
      <c r="F325" s="4" t="s">
        <v>1596</v>
      </c>
      <c r="G325" s="22">
        <v>61</v>
      </c>
      <c r="H325" s="24"/>
      <c r="I325" s="24"/>
      <c r="J325" s="21">
        <v>1979</v>
      </c>
      <c r="K325" s="4" t="s">
        <v>95</v>
      </c>
      <c r="L325" s="24"/>
      <c r="M325" s="4"/>
      <c r="N325" s="4" t="s">
        <v>1467</v>
      </c>
    </row>
    <row r="326" spans="1:14">
      <c r="A326" s="4" t="s">
        <v>2010</v>
      </c>
      <c r="B326" s="4" t="s">
        <v>2011</v>
      </c>
      <c r="C326" s="4" t="s">
        <v>79</v>
      </c>
      <c r="D326" s="4" t="s">
        <v>70</v>
      </c>
      <c r="E326" s="4" t="s">
        <v>901</v>
      </c>
      <c r="F326" s="4" t="s">
        <v>1596</v>
      </c>
      <c r="G326" s="22">
        <v>60</v>
      </c>
      <c r="H326" s="21">
        <v>48969</v>
      </c>
      <c r="I326" s="22">
        <v>0.001225264963548367</v>
      </c>
      <c r="J326" s="24"/>
      <c r="K326" s="4" t="s">
        <v>95</v>
      </c>
      <c r="L326" s="22">
        <v>60</v>
      </c>
      <c r="M326" s="4"/>
      <c r="N326" s="4" t="s">
        <v>2012</v>
      </c>
    </row>
    <row r="327" spans="1:14">
      <c r="A327" s="4" t="s">
        <v>2013</v>
      </c>
      <c r="B327" s="4" t="s">
        <v>2014</v>
      </c>
      <c r="C327" s="4" t="s">
        <v>120</v>
      </c>
      <c r="D327" s="4" t="s">
        <v>69</v>
      </c>
      <c r="E327" s="4" t="s">
        <v>901</v>
      </c>
      <c r="F327" s="4" t="s">
        <v>1596</v>
      </c>
      <c r="G327" s="22">
        <v>52</v>
      </c>
      <c r="H327" s="21">
        <v>9368</v>
      </c>
      <c r="I327" s="22">
        <v>0.005550811272416738</v>
      </c>
      <c r="J327" s="21">
        <v>1987</v>
      </c>
      <c r="K327" s="4" t="s">
        <v>95</v>
      </c>
      <c r="L327" s="22">
        <v>52</v>
      </c>
      <c r="M327" s="4"/>
      <c r="N327" s="4" t="s">
        <v>1462</v>
      </c>
    </row>
    <row r="328" spans="1:14">
      <c r="A328" s="4" t="s">
        <v>2015</v>
      </c>
      <c r="B328" s="4" t="s">
        <v>1901</v>
      </c>
      <c r="C328" s="4" t="s">
        <v>120</v>
      </c>
      <c r="D328" s="4" t="s">
        <v>69</v>
      </c>
      <c r="E328" s="4" t="s">
        <v>901</v>
      </c>
      <c r="F328" s="4" t="s">
        <v>1596</v>
      </c>
      <c r="G328" s="22">
        <v>52</v>
      </c>
      <c r="H328" s="21">
        <v>9368</v>
      </c>
      <c r="I328" s="22">
        <v>0.005550811272416738</v>
      </c>
      <c r="J328" s="21">
        <v>1987</v>
      </c>
      <c r="K328" s="4" t="s">
        <v>95</v>
      </c>
      <c r="L328" s="22">
        <v>52</v>
      </c>
      <c r="M328" s="4"/>
      <c r="N328" s="4" t="s">
        <v>1462</v>
      </c>
    </row>
    <row r="329" spans="1:14">
      <c r="A329" s="4" t="s">
        <v>2016</v>
      </c>
      <c r="B329" s="4" t="s">
        <v>2017</v>
      </c>
      <c r="C329" s="4" t="s">
        <v>112</v>
      </c>
      <c r="D329" s="4" t="s">
        <v>69</v>
      </c>
      <c r="E329" s="4" t="s">
        <v>901</v>
      </c>
      <c r="F329" s="4" t="s">
        <v>1596</v>
      </c>
      <c r="G329" s="22">
        <v>47</v>
      </c>
      <c r="H329" s="24"/>
      <c r="I329" s="24"/>
      <c r="J329" s="21">
        <v>1968</v>
      </c>
      <c r="K329" s="4" t="s">
        <v>95</v>
      </c>
      <c r="L329" s="24"/>
      <c r="M329" s="4"/>
      <c r="N329" s="4" t="s">
        <v>1467</v>
      </c>
    </row>
    <row r="330" spans="1:14">
      <c r="A330" s="4" t="s">
        <v>2018</v>
      </c>
      <c r="B330" s="4" t="s">
        <v>2019</v>
      </c>
      <c r="C330" s="4" t="s">
        <v>109</v>
      </c>
      <c r="D330" s="4" t="s">
        <v>70</v>
      </c>
      <c r="E330" s="4" t="s">
        <v>901</v>
      </c>
      <c r="F330" s="4" t="s">
        <v>1596</v>
      </c>
      <c r="G330" s="22">
        <v>45</v>
      </c>
      <c r="H330" s="21">
        <v>3578</v>
      </c>
      <c r="I330" s="22">
        <v>0.01257685858021241</v>
      </c>
      <c r="J330" s="24"/>
      <c r="K330" s="4" t="s">
        <v>95</v>
      </c>
      <c r="L330" s="22">
        <v>45</v>
      </c>
      <c r="M330" s="4"/>
      <c r="N330" s="4" t="s">
        <v>1467</v>
      </c>
    </row>
    <row r="331" spans="1:14">
      <c r="A331" s="4" t="s">
        <v>2020</v>
      </c>
      <c r="B331" s="4" t="s">
        <v>2021</v>
      </c>
      <c r="C331" s="4" t="s">
        <v>120</v>
      </c>
      <c r="D331" s="4" t="s">
        <v>70</v>
      </c>
      <c r="E331" s="4" t="s">
        <v>901</v>
      </c>
      <c r="F331" s="4" t="s">
        <v>1596</v>
      </c>
      <c r="G331" s="22">
        <v>45</v>
      </c>
      <c r="H331" s="21">
        <v>1720</v>
      </c>
      <c r="I331" s="22">
        <v>0.02616279069767442</v>
      </c>
      <c r="J331" s="24"/>
      <c r="K331" s="4" t="s">
        <v>95</v>
      </c>
      <c r="L331" s="22">
        <v>45</v>
      </c>
      <c r="M331" s="4"/>
      <c r="N331" s="4" t="s">
        <v>1462</v>
      </c>
    </row>
    <row r="332" spans="1:14">
      <c r="A332" s="4" t="s">
        <v>2022</v>
      </c>
      <c r="B332" s="4" t="s">
        <v>2023</v>
      </c>
      <c r="C332" s="4" t="s">
        <v>81</v>
      </c>
      <c r="D332" s="4" t="s">
        <v>69</v>
      </c>
      <c r="E332" s="4" t="s">
        <v>901</v>
      </c>
      <c r="F332" s="4" t="s">
        <v>1596</v>
      </c>
      <c r="G332" s="22">
        <v>45</v>
      </c>
      <c r="H332" s="24"/>
      <c r="I332" s="24"/>
      <c r="J332" s="21">
        <v>1959</v>
      </c>
      <c r="K332" s="4" t="s">
        <v>95</v>
      </c>
      <c r="L332" s="24"/>
      <c r="M332" s="4"/>
      <c r="N332" s="4" t="s">
        <v>1479</v>
      </c>
    </row>
    <row r="333" spans="1:14">
      <c r="A333" s="4" t="s">
        <v>2024</v>
      </c>
      <c r="B333" s="4" t="s">
        <v>2025</v>
      </c>
      <c r="C333" s="4" t="s">
        <v>112</v>
      </c>
      <c r="D333" s="4" t="s">
        <v>69</v>
      </c>
      <c r="E333" s="4" t="s">
        <v>901</v>
      </c>
      <c r="F333" s="4" t="s">
        <v>1596</v>
      </c>
      <c r="G333" s="22">
        <v>42</v>
      </c>
      <c r="H333" s="24"/>
      <c r="I333" s="24"/>
      <c r="J333" s="21">
        <v>1968</v>
      </c>
      <c r="K333" s="4" t="s">
        <v>95</v>
      </c>
      <c r="L333" s="24"/>
      <c r="M333" s="4"/>
      <c r="N333" s="4" t="s">
        <v>1467</v>
      </c>
    </row>
    <row r="334" spans="1:14">
      <c r="A334" s="4" t="s">
        <v>2026</v>
      </c>
      <c r="B334" s="4" t="s">
        <v>2027</v>
      </c>
      <c r="C334" s="4" t="s">
        <v>112</v>
      </c>
      <c r="D334" s="4" t="s">
        <v>65</v>
      </c>
      <c r="E334" s="4" t="s">
        <v>901</v>
      </c>
      <c r="F334" s="4" t="s">
        <v>1596</v>
      </c>
      <c r="G334" s="22">
        <v>42</v>
      </c>
      <c r="H334" s="24"/>
      <c r="I334" s="24"/>
      <c r="J334" s="21">
        <v>1968</v>
      </c>
      <c r="K334" s="4" t="s">
        <v>95</v>
      </c>
      <c r="L334" s="24"/>
      <c r="M334" s="4"/>
      <c r="N334" s="4" t="s">
        <v>1467</v>
      </c>
    </row>
    <row r="335" spans="1:14">
      <c r="A335" s="4" t="s">
        <v>2028</v>
      </c>
      <c r="B335" s="4" t="s">
        <v>2007</v>
      </c>
      <c r="C335" s="4" t="s">
        <v>79</v>
      </c>
      <c r="D335" s="4" t="s">
        <v>68</v>
      </c>
      <c r="E335" s="4" t="s">
        <v>901</v>
      </c>
      <c r="F335" s="4" t="s">
        <v>1596</v>
      </c>
      <c r="G335" s="22">
        <v>40</v>
      </c>
      <c r="H335" s="21">
        <v>13683</v>
      </c>
      <c r="I335" s="22">
        <v>0.002923335525834978</v>
      </c>
      <c r="J335" s="21">
        <v>1971</v>
      </c>
      <c r="K335" s="4" t="s">
        <v>95</v>
      </c>
      <c r="L335" s="22">
        <v>40</v>
      </c>
      <c r="M335" s="4"/>
      <c r="N335" s="4" t="s">
        <v>1492</v>
      </c>
    </row>
    <row r="336" spans="1:14">
      <c r="A336" s="4" t="s">
        <v>2029</v>
      </c>
      <c r="B336" s="4" t="s">
        <v>2030</v>
      </c>
      <c r="C336" s="4" t="s">
        <v>77</v>
      </c>
      <c r="D336" s="4" t="s">
        <v>70</v>
      </c>
      <c r="E336" s="4" t="s">
        <v>901</v>
      </c>
      <c r="F336" s="4" t="s">
        <v>1596</v>
      </c>
      <c r="G336" s="22">
        <v>40</v>
      </c>
      <c r="H336" s="24"/>
      <c r="I336" s="24"/>
      <c r="J336" s="21">
        <v>1967</v>
      </c>
      <c r="K336" s="4" t="s">
        <v>95</v>
      </c>
      <c r="L336" s="24"/>
      <c r="M336" s="4"/>
      <c r="N336" s="4" t="s">
        <v>1462</v>
      </c>
    </row>
    <row r="337" spans="1:14">
      <c r="A337" s="4" t="s">
        <v>2031</v>
      </c>
      <c r="B337" s="4" t="s">
        <v>2032</v>
      </c>
      <c r="C337" s="4" t="s">
        <v>111</v>
      </c>
      <c r="D337" s="4" t="s">
        <v>69</v>
      </c>
      <c r="E337" s="4" t="s">
        <v>901</v>
      </c>
      <c r="F337" s="4" t="s">
        <v>1596</v>
      </c>
      <c r="G337" s="22">
        <v>36</v>
      </c>
      <c r="H337" s="21">
        <v>12250</v>
      </c>
      <c r="I337" s="22">
        <v>0.002938775510204081</v>
      </c>
      <c r="J337" s="21">
        <v>1963</v>
      </c>
      <c r="K337" s="4" t="s">
        <v>95</v>
      </c>
      <c r="L337" s="22">
        <v>36</v>
      </c>
      <c r="M337" s="4"/>
      <c r="N337" s="4" t="s">
        <v>1475</v>
      </c>
    </row>
    <row r="338" spans="1:14">
      <c r="A338" s="4" t="s">
        <v>2033</v>
      </c>
      <c r="B338" s="4" t="s">
        <v>2034</v>
      </c>
      <c r="C338" s="4" t="s">
        <v>111</v>
      </c>
      <c r="D338" s="4" t="s">
        <v>69</v>
      </c>
      <c r="E338" s="4" t="s">
        <v>901</v>
      </c>
      <c r="F338" s="4" t="s">
        <v>1596</v>
      </c>
      <c r="G338" s="22">
        <v>36</v>
      </c>
      <c r="H338" s="21">
        <v>7505</v>
      </c>
      <c r="I338" s="22">
        <v>0.004796802131912059</v>
      </c>
      <c r="J338" s="21">
        <v>1966</v>
      </c>
      <c r="K338" s="4" t="s">
        <v>95</v>
      </c>
      <c r="L338" s="22">
        <v>36</v>
      </c>
      <c r="M338" s="4"/>
      <c r="N338" s="4" t="s">
        <v>1475</v>
      </c>
    </row>
    <row r="339" spans="1:14">
      <c r="A339" s="4" t="s">
        <v>2035</v>
      </c>
      <c r="B339" s="4" t="s">
        <v>2036</v>
      </c>
      <c r="C339" s="4" t="s">
        <v>113</v>
      </c>
      <c r="D339" s="4" t="s">
        <v>65</v>
      </c>
      <c r="E339" s="4" t="s">
        <v>901</v>
      </c>
      <c r="F339" s="4" t="s">
        <v>1596</v>
      </c>
      <c r="G339" s="22">
        <v>36</v>
      </c>
      <c r="H339" s="21">
        <v>84738</v>
      </c>
      <c r="I339" s="22">
        <v>0.0004248389152446364</v>
      </c>
      <c r="J339" s="24"/>
      <c r="K339" s="4" t="s">
        <v>95</v>
      </c>
      <c r="L339" s="22">
        <v>36</v>
      </c>
      <c r="M339" s="4"/>
      <c r="N339" s="4" t="s">
        <v>1471</v>
      </c>
    </row>
    <row r="340" spans="1:14">
      <c r="A340" s="4" t="s">
        <v>2037</v>
      </c>
      <c r="B340" s="4" t="s">
        <v>2038</v>
      </c>
      <c r="C340" s="4" t="s">
        <v>79</v>
      </c>
      <c r="D340" s="4" t="s">
        <v>70</v>
      </c>
      <c r="E340" s="4" t="s">
        <v>901</v>
      </c>
      <c r="F340" s="4" t="s">
        <v>1596</v>
      </c>
      <c r="G340" s="22">
        <v>35</v>
      </c>
      <c r="H340" s="24"/>
      <c r="I340" s="24"/>
      <c r="J340" s="21">
        <v>1958</v>
      </c>
      <c r="K340" s="4" t="s">
        <v>95</v>
      </c>
      <c r="L340" s="24"/>
      <c r="M340" s="4"/>
      <c r="N340" s="4" t="s">
        <v>1467</v>
      </c>
    </row>
    <row r="341" spans="1:14">
      <c r="A341" s="4" t="s">
        <v>2039</v>
      </c>
      <c r="B341" s="4" t="s">
        <v>2040</v>
      </c>
      <c r="C341" s="4" t="s">
        <v>79</v>
      </c>
      <c r="D341" s="4" t="s">
        <v>70</v>
      </c>
      <c r="E341" s="4" t="s">
        <v>901</v>
      </c>
      <c r="F341" s="4" t="s">
        <v>1596</v>
      </c>
      <c r="G341" s="22">
        <v>35</v>
      </c>
      <c r="H341" s="24"/>
      <c r="I341" s="24"/>
      <c r="J341" s="21">
        <v>1956</v>
      </c>
      <c r="K341" s="4" t="s">
        <v>95</v>
      </c>
      <c r="L341" s="24"/>
      <c r="M341" s="4"/>
      <c r="N341" s="4" t="s">
        <v>1467</v>
      </c>
    </row>
    <row r="342" spans="1:14">
      <c r="A342" s="4" t="s">
        <v>2041</v>
      </c>
      <c r="B342" s="4" t="s">
        <v>1811</v>
      </c>
      <c r="C342" s="4" t="s">
        <v>82</v>
      </c>
      <c r="D342" s="4" t="s">
        <v>69</v>
      </c>
      <c r="E342" s="4" t="s">
        <v>901</v>
      </c>
      <c r="F342" s="4" t="s">
        <v>1596</v>
      </c>
      <c r="G342" s="22">
        <v>35</v>
      </c>
      <c r="H342" s="24"/>
      <c r="I342" s="24"/>
      <c r="J342" s="21">
        <v>1960</v>
      </c>
      <c r="K342" s="4" t="s">
        <v>95</v>
      </c>
      <c r="L342" s="24"/>
      <c r="M342" s="4"/>
      <c r="N342" s="4" t="s">
        <v>1812</v>
      </c>
    </row>
    <row r="343" spans="1:14">
      <c r="A343" s="4" t="s">
        <v>2042</v>
      </c>
      <c r="B343" s="4" t="s">
        <v>2043</v>
      </c>
      <c r="C343" s="4" t="s">
        <v>120</v>
      </c>
      <c r="D343" s="4" t="s">
        <v>65</v>
      </c>
      <c r="E343" s="4" t="s">
        <v>901</v>
      </c>
      <c r="F343" s="4" t="s">
        <v>1596</v>
      </c>
      <c r="G343" s="22">
        <v>35</v>
      </c>
      <c r="H343" s="21">
        <v>7813</v>
      </c>
      <c r="I343" s="22">
        <v>0.004479713298348906</v>
      </c>
      <c r="J343" s="24"/>
      <c r="K343" s="4" t="s">
        <v>95</v>
      </c>
      <c r="L343" s="22">
        <v>35</v>
      </c>
      <c r="M343" s="4"/>
      <c r="N343" s="4" t="s">
        <v>1462</v>
      </c>
    </row>
    <row r="344" spans="1:14">
      <c r="A344" s="4" t="s">
        <v>2044</v>
      </c>
      <c r="B344" s="4" t="s">
        <v>2045</v>
      </c>
      <c r="C344" s="4" t="s">
        <v>77</v>
      </c>
      <c r="D344" s="4" t="s">
        <v>69</v>
      </c>
      <c r="E344" s="4" t="s">
        <v>901</v>
      </c>
      <c r="F344" s="4" t="s">
        <v>1596</v>
      </c>
      <c r="G344" s="22">
        <v>34</v>
      </c>
      <c r="H344" s="24"/>
      <c r="I344" s="24"/>
      <c r="J344" s="21">
        <v>1961</v>
      </c>
      <c r="K344" s="4" t="s">
        <v>95</v>
      </c>
      <c r="L344" s="24"/>
      <c r="M344" s="4"/>
      <c r="N344" s="4" t="s">
        <v>1462</v>
      </c>
    </row>
    <row r="345" spans="1:14">
      <c r="A345" s="4" t="s">
        <v>2046</v>
      </c>
      <c r="B345" s="4" t="s">
        <v>2047</v>
      </c>
      <c r="C345" s="4" t="s">
        <v>79</v>
      </c>
      <c r="D345" s="4" t="s">
        <v>65</v>
      </c>
      <c r="E345" s="4" t="s">
        <v>901</v>
      </c>
      <c r="F345" s="4" t="s">
        <v>1596</v>
      </c>
      <c r="G345" s="22">
        <v>30</v>
      </c>
      <c r="H345" s="24"/>
      <c r="I345" s="24"/>
      <c r="J345" s="24"/>
      <c r="K345" s="4" t="s">
        <v>95</v>
      </c>
      <c r="L345" s="24"/>
      <c r="M345" s="4"/>
      <c r="N345" s="4" t="s">
        <v>1467</v>
      </c>
    </row>
    <row r="346" spans="1:14">
      <c r="A346" s="4" t="s">
        <v>2048</v>
      </c>
      <c r="B346" s="4" t="s">
        <v>2049</v>
      </c>
      <c r="C346" s="4" t="s">
        <v>78</v>
      </c>
      <c r="D346" s="4" t="s">
        <v>65</v>
      </c>
      <c r="E346" s="4" t="s">
        <v>901</v>
      </c>
      <c r="F346" s="4" t="s">
        <v>1596</v>
      </c>
      <c r="G346" s="22">
        <v>30</v>
      </c>
      <c r="H346" s="24"/>
      <c r="I346" s="24"/>
      <c r="J346" s="24"/>
      <c r="K346" s="4" t="s">
        <v>95</v>
      </c>
      <c r="L346" s="24"/>
      <c r="M346" s="4"/>
      <c r="N346" s="4" t="s">
        <v>1550</v>
      </c>
    </row>
    <row r="347" spans="1:14">
      <c r="A347" s="4" t="s">
        <v>2050</v>
      </c>
      <c r="B347" s="4" t="s">
        <v>2051</v>
      </c>
      <c r="C347" s="4" t="s">
        <v>78</v>
      </c>
      <c r="D347" s="4" t="s">
        <v>65</v>
      </c>
      <c r="E347" s="4" t="s">
        <v>901</v>
      </c>
      <c r="F347" s="4" t="s">
        <v>1596</v>
      </c>
      <c r="G347" s="22">
        <v>30</v>
      </c>
      <c r="H347" s="24"/>
      <c r="I347" s="24"/>
      <c r="J347" s="24"/>
      <c r="K347" s="4" t="s">
        <v>95</v>
      </c>
      <c r="L347" s="24"/>
      <c r="M347" s="4"/>
      <c r="N347" s="24" t="s">
        <v>237</v>
      </c>
    </row>
    <row r="348" spans="1:14">
      <c r="A348" s="4" t="s">
        <v>2052</v>
      </c>
      <c r="B348" s="4" t="s">
        <v>2053</v>
      </c>
      <c r="C348" s="4" t="s">
        <v>81</v>
      </c>
      <c r="D348" s="4" t="s">
        <v>65</v>
      </c>
      <c r="E348" s="4" t="s">
        <v>901</v>
      </c>
      <c r="F348" s="4" t="s">
        <v>1596</v>
      </c>
      <c r="G348" s="22">
        <v>30</v>
      </c>
      <c r="H348" s="21">
        <v>45949</v>
      </c>
      <c r="I348" s="22">
        <v>0.0006528977779712289</v>
      </c>
      <c r="J348" s="24"/>
      <c r="K348" s="4" t="s">
        <v>95</v>
      </c>
      <c r="L348" s="22">
        <v>30</v>
      </c>
      <c r="M348" s="4"/>
      <c r="N348" s="4" t="s">
        <v>1663</v>
      </c>
    </row>
    <row r="349" spans="1:14">
      <c r="A349" s="4" t="s">
        <v>2054</v>
      </c>
      <c r="B349" s="4" t="s">
        <v>2055</v>
      </c>
      <c r="C349" s="4" t="s">
        <v>77</v>
      </c>
      <c r="D349" s="4" t="s">
        <v>69</v>
      </c>
      <c r="E349" s="4" t="s">
        <v>901</v>
      </c>
      <c r="F349" s="4" t="s">
        <v>1596</v>
      </c>
      <c r="G349" s="22">
        <v>30</v>
      </c>
      <c r="H349" s="24"/>
      <c r="I349" s="24"/>
      <c r="J349" s="21">
        <v>1958</v>
      </c>
      <c r="K349" s="4" t="s">
        <v>95</v>
      </c>
      <c r="L349" s="24"/>
      <c r="M349" s="4"/>
      <c r="N349" s="4" t="s">
        <v>1462</v>
      </c>
    </row>
    <row r="350" spans="1:14">
      <c r="A350" s="4" t="s">
        <v>2056</v>
      </c>
      <c r="B350" s="4" t="s">
        <v>2057</v>
      </c>
      <c r="C350" s="4" t="s">
        <v>78</v>
      </c>
      <c r="D350" s="4" t="s">
        <v>65</v>
      </c>
      <c r="E350" s="4" t="s">
        <v>901</v>
      </c>
      <c r="F350" s="4" t="s">
        <v>1596</v>
      </c>
      <c r="G350" s="22">
        <v>28</v>
      </c>
      <c r="H350" s="21">
        <v>15109</v>
      </c>
      <c r="I350" s="22">
        <v>0.001853200079422861</v>
      </c>
      <c r="J350" s="24"/>
      <c r="K350" s="4" t="s">
        <v>95</v>
      </c>
      <c r="L350" s="22">
        <v>28</v>
      </c>
      <c r="M350" s="4"/>
      <c r="N350" s="4" t="s">
        <v>1467</v>
      </c>
    </row>
    <row r="351" spans="1:14">
      <c r="A351" s="4" t="s">
        <v>2058</v>
      </c>
      <c r="B351" s="4" t="s">
        <v>2059</v>
      </c>
      <c r="C351" s="4" t="s">
        <v>114</v>
      </c>
      <c r="D351" s="4" t="s">
        <v>70</v>
      </c>
      <c r="E351" s="4" t="s">
        <v>901</v>
      </c>
      <c r="F351" s="4" t="s">
        <v>1596</v>
      </c>
      <c r="G351" s="22">
        <v>28</v>
      </c>
      <c r="H351" s="21">
        <v>35604</v>
      </c>
      <c r="I351" s="22">
        <v>0.0007864284911807662</v>
      </c>
      <c r="J351" s="21">
        <v>2002</v>
      </c>
      <c r="K351" s="4" t="s">
        <v>95</v>
      </c>
      <c r="L351" s="22">
        <v>28</v>
      </c>
      <c r="M351" s="4"/>
      <c r="N351" s="4" t="s">
        <v>1467</v>
      </c>
    </row>
    <row r="352" spans="1:14">
      <c r="A352" s="4" t="s">
        <v>2060</v>
      </c>
      <c r="B352" s="4" t="s">
        <v>2061</v>
      </c>
      <c r="C352" s="4" t="s">
        <v>79</v>
      </c>
      <c r="D352" s="4" t="s">
        <v>68</v>
      </c>
      <c r="E352" s="4" t="s">
        <v>901</v>
      </c>
      <c r="F352" s="4" t="s">
        <v>1596</v>
      </c>
      <c r="G352" s="22">
        <v>26</v>
      </c>
      <c r="H352" s="21">
        <v>6245</v>
      </c>
      <c r="I352" s="22">
        <v>0.004163330664531626</v>
      </c>
      <c r="J352" s="21">
        <v>1981</v>
      </c>
      <c r="K352" s="4" t="s">
        <v>95</v>
      </c>
      <c r="L352" s="22">
        <v>26</v>
      </c>
      <c r="M352" s="4"/>
      <c r="N352" s="24" t="s">
        <v>237</v>
      </c>
    </row>
    <row r="353" spans="1:14">
      <c r="A353" s="4" t="s">
        <v>2062</v>
      </c>
      <c r="B353" s="4" t="s">
        <v>2063</v>
      </c>
      <c r="C353" s="4" t="s">
        <v>469</v>
      </c>
      <c r="D353" s="4" t="s">
        <v>70</v>
      </c>
      <c r="E353" s="4" t="s">
        <v>901</v>
      </c>
      <c r="F353" s="4" t="s">
        <v>1596</v>
      </c>
      <c r="G353" s="22">
        <v>25</v>
      </c>
      <c r="H353" s="21">
        <v>5947</v>
      </c>
      <c r="I353" s="22">
        <v>0.004203800235412813</v>
      </c>
      <c r="J353" s="21">
        <v>1965</v>
      </c>
      <c r="K353" s="4" t="s">
        <v>95</v>
      </c>
      <c r="L353" s="22">
        <v>25</v>
      </c>
      <c r="M353" s="4"/>
      <c r="N353" s="4" t="s">
        <v>1475</v>
      </c>
    </row>
    <row r="354" spans="1:14">
      <c r="A354" s="4" t="s">
        <v>2064</v>
      </c>
      <c r="B354" s="4" t="s">
        <v>2065</v>
      </c>
      <c r="C354" s="4" t="s">
        <v>107</v>
      </c>
      <c r="D354" s="4" t="s">
        <v>65</v>
      </c>
      <c r="E354" s="4" t="s">
        <v>901</v>
      </c>
      <c r="F354" s="4" t="s">
        <v>1596</v>
      </c>
      <c r="G354" s="22">
        <v>25</v>
      </c>
      <c r="H354" s="21">
        <v>90168</v>
      </c>
      <c r="I354" s="22">
        <v>0.0002772602253571112</v>
      </c>
      <c r="J354" s="24"/>
      <c r="K354" s="4" t="s">
        <v>95</v>
      </c>
      <c r="L354" s="22">
        <v>25</v>
      </c>
      <c r="M354" s="4"/>
      <c r="N354" s="4" t="s">
        <v>1467</v>
      </c>
    </row>
    <row r="355" spans="1:14">
      <c r="A355" s="4" t="s">
        <v>2066</v>
      </c>
      <c r="B355" s="4" t="s">
        <v>2067</v>
      </c>
      <c r="C355" s="4" t="s">
        <v>109</v>
      </c>
      <c r="D355" s="4" t="s">
        <v>70</v>
      </c>
      <c r="E355" s="4" t="s">
        <v>901</v>
      </c>
      <c r="F355" s="4" t="s">
        <v>1596</v>
      </c>
      <c r="G355" s="22">
        <v>25</v>
      </c>
      <c r="H355" s="21">
        <v>10000</v>
      </c>
      <c r="I355" s="22">
        <v>0.0025</v>
      </c>
      <c r="J355" s="24"/>
      <c r="K355" s="4" t="s">
        <v>95</v>
      </c>
      <c r="L355" s="22">
        <v>25</v>
      </c>
      <c r="M355" s="4"/>
      <c r="N355" s="24" t="s">
        <v>237</v>
      </c>
    </row>
    <row r="356" spans="1:14">
      <c r="A356" s="4" t="s">
        <v>2068</v>
      </c>
      <c r="B356" s="4" t="s">
        <v>2069</v>
      </c>
      <c r="C356" s="4" t="s">
        <v>115</v>
      </c>
      <c r="D356" s="4" t="s">
        <v>70</v>
      </c>
      <c r="E356" s="4" t="s">
        <v>901</v>
      </c>
      <c r="F356" s="4" t="s">
        <v>1596</v>
      </c>
      <c r="G356" s="22">
        <v>25</v>
      </c>
      <c r="H356" s="24"/>
      <c r="I356" s="24"/>
      <c r="J356" s="21">
        <v>1978</v>
      </c>
      <c r="K356" s="4" t="s">
        <v>95</v>
      </c>
      <c r="L356" s="24"/>
      <c r="M356" s="4"/>
      <c r="N356" s="4" t="s">
        <v>1467</v>
      </c>
    </row>
    <row r="357" spans="1:14">
      <c r="A357" s="4" t="s">
        <v>2070</v>
      </c>
      <c r="B357" s="4" t="s">
        <v>753</v>
      </c>
      <c r="C357" s="4" t="s">
        <v>81</v>
      </c>
      <c r="D357" s="4" t="s">
        <v>69</v>
      </c>
      <c r="E357" s="4" t="s">
        <v>901</v>
      </c>
      <c r="F357" s="4" t="s">
        <v>1596</v>
      </c>
      <c r="G357" s="22">
        <v>25</v>
      </c>
      <c r="H357" s="21">
        <v>2400</v>
      </c>
      <c r="I357" s="22">
        <v>0.01041666666666667</v>
      </c>
      <c r="J357" s="21">
        <v>1986</v>
      </c>
      <c r="K357" s="4" t="s">
        <v>95</v>
      </c>
      <c r="L357" s="22">
        <v>25</v>
      </c>
      <c r="M357" s="4"/>
      <c r="N357" s="4" t="s">
        <v>1479</v>
      </c>
    </row>
    <row r="358" spans="1:14">
      <c r="A358" s="4" t="s">
        <v>2071</v>
      </c>
      <c r="B358" s="4" t="s">
        <v>1826</v>
      </c>
      <c r="C358" s="4" t="s">
        <v>81</v>
      </c>
      <c r="D358" s="4" t="s">
        <v>69</v>
      </c>
      <c r="E358" s="4" t="s">
        <v>901</v>
      </c>
      <c r="F358" s="4" t="s">
        <v>1596</v>
      </c>
      <c r="G358" s="22">
        <v>25</v>
      </c>
      <c r="H358" s="21">
        <v>0</v>
      </c>
      <c r="I358" s="22" t="e">
        <f>1/0</f>
        <v>#DIV/0!</v>
      </c>
      <c r="J358" s="21">
        <v>1986</v>
      </c>
      <c r="K358" s="4" t="s">
        <v>95</v>
      </c>
      <c r="L358" s="24"/>
      <c r="M358" s="4"/>
      <c r="N358" s="4" t="s">
        <v>1479</v>
      </c>
    </row>
    <row r="359" spans="1:14">
      <c r="A359" s="4" t="s">
        <v>2072</v>
      </c>
      <c r="B359" s="4" t="s">
        <v>1828</v>
      </c>
      <c r="C359" s="4" t="s">
        <v>81</v>
      </c>
      <c r="D359" s="4" t="s">
        <v>69</v>
      </c>
      <c r="E359" s="4" t="s">
        <v>901</v>
      </c>
      <c r="F359" s="4" t="s">
        <v>1596</v>
      </c>
      <c r="G359" s="22">
        <v>25</v>
      </c>
      <c r="H359" s="21">
        <v>0</v>
      </c>
      <c r="I359" s="22" t="e">
        <f>1/0</f>
        <v>#DIV/0!</v>
      </c>
      <c r="J359" s="21">
        <v>1986</v>
      </c>
      <c r="K359" s="4" t="s">
        <v>95</v>
      </c>
      <c r="L359" s="24"/>
      <c r="M359" s="4"/>
      <c r="N359" s="4" t="s">
        <v>1479</v>
      </c>
    </row>
    <row r="360" spans="1:14">
      <c r="A360" s="4" t="s">
        <v>2073</v>
      </c>
      <c r="B360" s="4" t="s">
        <v>2074</v>
      </c>
      <c r="C360" s="4" t="s">
        <v>81</v>
      </c>
      <c r="D360" s="4" t="s">
        <v>69</v>
      </c>
      <c r="E360" s="4" t="s">
        <v>901</v>
      </c>
      <c r="F360" s="4" t="s">
        <v>1596</v>
      </c>
      <c r="G360" s="22">
        <v>25</v>
      </c>
      <c r="H360" s="21">
        <v>0</v>
      </c>
      <c r="I360" s="22" t="e">
        <f>1/0</f>
        <v>#DIV/0!</v>
      </c>
      <c r="J360" s="21">
        <v>2007</v>
      </c>
      <c r="K360" s="4" t="s">
        <v>95</v>
      </c>
      <c r="L360" s="24"/>
      <c r="M360" s="4"/>
      <c r="N360" s="4" t="s">
        <v>1479</v>
      </c>
    </row>
    <row r="361" spans="1:14">
      <c r="A361" s="4" t="s">
        <v>2075</v>
      </c>
      <c r="B361" s="4" t="s">
        <v>1703</v>
      </c>
      <c r="C361" s="4" t="s">
        <v>81</v>
      </c>
      <c r="D361" s="4" t="s">
        <v>69</v>
      </c>
      <c r="E361" s="4" t="s">
        <v>901</v>
      </c>
      <c r="F361" s="4" t="s">
        <v>1596</v>
      </c>
      <c r="G361" s="22">
        <v>24</v>
      </c>
      <c r="H361" s="21">
        <v>182000</v>
      </c>
      <c r="I361" s="22">
        <v>0.0001318681318681319</v>
      </c>
      <c r="J361" s="21">
        <v>1986</v>
      </c>
      <c r="K361" s="4" t="s">
        <v>95</v>
      </c>
      <c r="L361" s="22">
        <v>24</v>
      </c>
      <c r="M361" s="4"/>
      <c r="N361" s="4" t="s">
        <v>1479</v>
      </c>
    </row>
    <row r="362" spans="1:14">
      <c r="A362" s="4" t="s">
        <v>2076</v>
      </c>
      <c r="B362" s="4" t="s">
        <v>2077</v>
      </c>
      <c r="C362" s="4" t="s">
        <v>79</v>
      </c>
      <c r="D362" s="4" t="s">
        <v>70</v>
      </c>
      <c r="E362" s="4" t="s">
        <v>901</v>
      </c>
      <c r="F362" s="4" t="s">
        <v>1596</v>
      </c>
      <c r="G362" s="22">
        <v>23</v>
      </c>
      <c r="H362" s="21">
        <v>51631</v>
      </c>
      <c r="I362" s="22">
        <v>0.0004454688074993705</v>
      </c>
      <c r="J362" s="21">
        <v>1981</v>
      </c>
      <c r="K362" s="4" t="s">
        <v>95</v>
      </c>
      <c r="L362" s="22">
        <v>23</v>
      </c>
      <c r="M362" s="4"/>
      <c r="N362" s="4" t="s">
        <v>1467</v>
      </c>
    </row>
    <row r="363" spans="1:14">
      <c r="A363" s="4" t="s">
        <v>2078</v>
      </c>
      <c r="B363" s="4" t="s">
        <v>2079</v>
      </c>
      <c r="C363" s="4" t="s">
        <v>78</v>
      </c>
      <c r="D363" s="4" t="s">
        <v>65</v>
      </c>
      <c r="E363" s="4" t="s">
        <v>901</v>
      </c>
      <c r="F363" s="4" t="s">
        <v>1596</v>
      </c>
      <c r="G363" s="22">
        <v>23</v>
      </c>
      <c r="H363" s="21">
        <v>9538</v>
      </c>
      <c r="I363" s="22">
        <v>0.002411407003564688</v>
      </c>
      <c r="J363" s="24"/>
      <c r="K363" s="4" t="s">
        <v>95</v>
      </c>
      <c r="L363" s="22">
        <v>23</v>
      </c>
      <c r="M363" s="4"/>
      <c r="N363" s="4" t="s">
        <v>1473</v>
      </c>
    </row>
    <row r="364" spans="1:14">
      <c r="A364" s="4" t="s">
        <v>2080</v>
      </c>
      <c r="B364" s="4" t="s">
        <v>2081</v>
      </c>
      <c r="C364" s="4" t="s">
        <v>109</v>
      </c>
      <c r="D364" s="4" t="s">
        <v>69</v>
      </c>
      <c r="E364" s="4" t="s">
        <v>901</v>
      </c>
      <c r="F364" s="4" t="s">
        <v>1596</v>
      </c>
      <c r="G364" s="22">
        <v>22</v>
      </c>
      <c r="H364" s="21">
        <v>83</v>
      </c>
      <c r="I364" s="22">
        <v>0.2650602409638554</v>
      </c>
      <c r="J364" s="21">
        <v>1980</v>
      </c>
      <c r="K364" s="4" t="s">
        <v>95</v>
      </c>
      <c r="L364" s="24"/>
      <c r="M364" s="4" t="s">
        <v>1542</v>
      </c>
      <c r="N364" s="4" t="s">
        <v>2082</v>
      </c>
    </row>
    <row r="365" spans="1:14">
      <c r="A365" s="4" t="s">
        <v>2083</v>
      </c>
      <c r="B365" s="4" t="s">
        <v>2084</v>
      </c>
      <c r="C365" s="4" t="s">
        <v>78</v>
      </c>
      <c r="D365" s="4" t="s">
        <v>67</v>
      </c>
      <c r="E365" s="4" t="s">
        <v>901</v>
      </c>
      <c r="F365" s="4" t="s">
        <v>1596</v>
      </c>
      <c r="G365" s="22">
        <v>18</v>
      </c>
      <c r="H365" s="24"/>
      <c r="I365" s="24"/>
      <c r="J365" s="21">
        <v>1974</v>
      </c>
      <c r="K365" s="4" t="s">
        <v>95</v>
      </c>
      <c r="L365" s="24"/>
      <c r="M365" s="4"/>
      <c r="N365" s="4" t="s">
        <v>1469</v>
      </c>
    </row>
    <row r="366" spans="1:14">
      <c r="A366" s="4" t="s">
        <v>2085</v>
      </c>
      <c r="B366" s="4" t="s">
        <v>2086</v>
      </c>
      <c r="C366" s="4" t="s">
        <v>111</v>
      </c>
      <c r="D366" s="4" t="s">
        <v>67</v>
      </c>
      <c r="E366" s="4" t="s">
        <v>901</v>
      </c>
      <c r="F366" s="4" t="s">
        <v>1596</v>
      </c>
      <c r="G366" s="22">
        <v>17</v>
      </c>
      <c r="H366" s="21">
        <v>13500</v>
      </c>
      <c r="I366" s="22">
        <v>0.001259259259259259</v>
      </c>
      <c r="J366" s="21">
        <v>1983</v>
      </c>
      <c r="K366" s="4" t="s">
        <v>95</v>
      </c>
      <c r="L366" s="22">
        <v>17</v>
      </c>
      <c r="M366" s="4"/>
      <c r="N366" s="4" t="s">
        <v>1483</v>
      </c>
    </row>
    <row r="367" spans="1:14">
      <c r="A367" s="4" t="s">
        <v>2087</v>
      </c>
      <c r="B367" s="4" t="s">
        <v>2088</v>
      </c>
      <c r="C367" s="4" t="s">
        <v>81</v>
      </c>
      <c r="D367" s="4" t="s">
        <v>68</v>
      </c>
      <c r="E367" s="4" t="s">
        <v>901</v>
      </c>
      <c r="F367" s="4" t="s">
        <v>1596</v>
      </c>
      <c r="G367" s="22">
        <v>14</v>
      </c>
      <c r="H367" s="21">
        <v>6750</v>
      </c>
      <c r="I367" s="22">
        <v>0.002074074074074074</v>
      </c>
      <c r="J367" s="21">
        <v>1956</v>
      </c>
      <c r="K367" s="4" t="s">
        <v>95</v>
      </c>
      <c r="L367" s="22">
        <v>14</v>
      </c>
      <c r="M367" s="4"/>
      <c r="N367" s="4" t="s">
        <v>1535</v>
      </c>
    </row>
    <row r="368" spans="1:14">
      <c r="A368" s="4" t="s">
        <v>2089</v>
      </c>
      <c r="B368" s="4" t="s">
        <v>1889</v>
      </c>
      <c r="C368" s="4" t="s">
        <v>2090</v>
      </c>
      <c r="D368" s="4" t="s">
        <v>67</v>
      </c>
      <c r="E368" s="4" t="s">
        <v>901</v>
      </c>
      <c r="F368" s="4" t="s">
        <v>1596</v>
      </c>
      <c r="G368" s="22">
        <v>12</v>
      </c>
      <c r="H368" s="21">
        <v>29889</v>
      </c>
      <c r="I368" s="22">
        <v>0.0004014854963364449</v>
      </c>
      <c r="J368" s="21">
        <v>1962</v>
      </c>
      <c r="K368" s="4" t="s">
        <v>95</v>
      </c>
      <c r="L368" s="22">
        <v>12</v>
      </c>
      <c r="M368" s="4"/>
      <c r="N368" s="4" t="s">
        <v>1483</v>
      </c>
    </row>
    <row r="369" spans="1:14">
      <c r="A369" s="4" t="s">
        <v>2091</v>
      </c>
      <c r="B369" s="4" t="s">
        <v>2092</v>
      </c>
      <c r="C369" s="4" t="s">
        <v>2093</v>
      </c>
      <c r="D369" s="4" t="s">
        <v>68</v>
      </c>
      <c r="E369" s="4" t="s">
        <v>2094</v>
      </c>
      <c r="F369" s="4" t="s">
        <v>1596</v>
      </c>
      <c r="G369" s="22">
        <v>20</v>
      </c>
      <c r="H369" s="21">
        <v>5760</v>
      </c>
      <c r="I369" s="22">
        <v>0.003472222222222222</v>
      </c>
      <c r="J369" s="24"/>
      <c r="K369" s="4" t="s">
        <v>95</v>
      </c>
      <c r="L369" s="22">
        <v>20</v>
      </c>
      <c r="M369" s="4"/>
      <c r="N369" s="4" t="s">
        <v>2095</v>
      </c>
    </row>
    <row r="370" spans="1:14">
      <c r="A370" s="4" t="s">
        <v>2096</v>
      </c>
      <c r="B370" s="4" t="s">
        <v>2069</v>
      </c>
      <c r="C370" s="4" t="s">
        <v>115</v>
      </c>
      <c r="D370" s="4" t="s">
        <v>65</v>
      </c>
      <c r="E370" s="4" t="s">
        <v>2094</v>
      </c>
      <c r="F370" s="4" t="s">
        <v>1596</v>
      </c>
      <c r="G370" s="22">
        <v>30</v>
      </c>
      <c r="H370" s="21">
        <v>23244</v>
      </c>
      <c r="I370" s="22">
        <v>0.00129065565307176</v>
      </c>
      <c r="J370" s="24"/>
      <c r="K370" s="4" t="s">
        <v>95</v>
      </c>
      <c r="L370" s="22">
        <v>30</v>
      </c>
      <c r="M370" s="4"/>
      <c r="N370" s="4" t="s">
        <v>1467</v>
      </c>
    </row>
    <row r="371" spans="1:14">
      <c r="A371" s="4" t="s">
        <v>2097</v>
      </c>
      <c r="B371" s="4" t="s">
        <v>2098</v>
      </c>
      <c r="C371" s="4" t="s">
        <v>109</v>
      </c>
      <c r="D371" s="4" t="s">
        <v>65</v>
      </c>
      <c r="E371" s="4" t="s">
        <v>2094</v>
      </c>
      <c r="F371" s="4" t="s">
        <v>1596</v>
      </c>
      <c r="G371" s="22">
        <v>7079</v>
      </c>
      <c r="H371" s="21">
        <v>35403</v>
      </c>
      <c r="I371" s="22">
        <v>0.1999548060898794</v>
      </c>
      <c r="J371" s="24"/>
      <c r="K371" s="4" t="s">
        <v>95</v>
      </c>
      <c r="L371" s="24"/>
      <c r="M371" s="4"/>
      <c r="N371" s="4" t="s">
        <v>1467</v>
      </c>
    </row>
    <row r="372" spans="1:14">
      <c r="A372" s="4" t="s">
        <v>2099</v>
      </c>
      <c r="B372" s="4" t="s">
        <v>2100</v>
      </c>
      <c r="C372" s="4" t="s">
        <v>111</v>
      </c>
      <c r="D372" s="4" t="s">
        <v>65</v>
      </c>
      <c r="E372" s="4" t="s">
        <v>2094</v>
      </c>
      <c r="F372" s="4" t="s">
        <v>1596</v>
      </c>
      <c r="G372" s="22">
        <v>6500</v>
      </c>
      <c r="H372" s="21">
        <v>9099</v>
      </c>
      <c r="I372" s="22">
        <v>0.7143642158478953</v>
      </c>
      <c r="J372" s="24"/>
      <c r="K372" s="4" t="s">
        <v>95</v>
      </c>
      <c r="L372" s="22">
        <v>8.572370590174744</v>
      </c>
      <c r="M372" s="4"/>
      <c r="N372" s="4" t="s">
        <v>1496</v>
      </c>
    </row>
    <row r="373" spans="1:14">
      <c r="A373" s="4" t="s">
        <v>2101</v>
      </c>
      <c r="B373" s="4" t="s">
        <v>2102</v>
      </c>
      <c r="C373" s="4" t="s">
        <v>79</v>
      </c>
      <c r="D373" s="4" t="s">
        <v>69</v>
      </c>
      <c r="E373" s="4" t="s">
        <v>2094</v>
      </c>
      <c r="F373" s="4" t="s">
        <v>1596</v>
      </c>
      <c r="G373" s="22">
        <v>4800</v>
      </c>
      <c r="H373" s="24"/>
      <c r="I373" s="24"/>
      <c r="J373" s="21">
        <v>1986</v>
      </c>
      <c r="K373" s="4" t="s">
        <v>95</v>
      </c>
      <c r="L373" s="24"/>
      <c r="M373" s="4"/>
      <c r="N373" s="4" t="s">
        <v>1475</v>
      </c>
    </row>
    <row r="374" spans="1:14">
      <c r="A374" s="4" t="s">
        <v>2103</v>
      </c>
      <c r="B374" s="4" t="s">
        <v>2104</v>
      </c>
      <c r="C374" s="4" t="s">
        <v>82</v>
      </c>
      <c r="D374" s="4" t="s">
        <v>68</v>
      </c>
      <c r="E374" s="4" t="s">
        <v>2094</v>
      </c>
      <c r="F374" s="4" t="s">
        <v>1596</v>
      </c>
      <c r="G374" s="22">
        <v>5200</v>
      </c>
      <c r="H374" s="21">
        <v>14450</v>
      </c>
      <c r="I374" s="22">
        <v>0.3598615916955017</v>
      </c>
      <c r="J374" s="24"/>
      <c r="K374" s="4" t="s">
        <v>95</v>
      </c>
      <c r="L374" s="22">
        <v>4.318339100346021</v>
      </c>
      <c r="M374" s="4"/>
      <c r="N374" s="4" t="s">
        <v>1562</v>
      </c>
    </row>
    <row r="375" spans="1:14">
      <c r="A375" s="4" t="s">
        <v>2105</v>
      </c>
      <c r="B375" s="4" t="s">
        <v>2106</v>
      </c>
      <c r="C375" s="4" t="s">
        <v>79</v>
      </c>
      <c r="D375" s="4" t="s">
        <v>68</v>
      </c>
      <c r="E375" s="4" t="s">
        <v>2094</v>
      </c>
      <c r="F375" s="4" t="s">
        <v>1596</v>
      </c>
      <c r="G375" s="22">
        <v>4950</v>
      </c>
      <c r="H375" s="21">
        <v>6821</v>
      </c>
      <c r="I375" s="22">
        <v>0.7257000439818209</v>
      </c>
      <c r="J375" s="24"/>
      <c r="K375" s="4" t="s">
        <v>95</v>
      </c>
      <c r="L375" s="22">
        <v>8.708400527781849</v>
      </c>
      <c r="M375" s="4"/>
      <c r="N375" s="4" t="s">
        <v>2107</v>
      </c>
    </row>
    <row r="376" spans="1:14">
      <c r="A376" s="4" t="s">
        <v>2108</v>
      </c>
      <c r="B376" s="4" t="s">
        <v>2109</v>
      </c>
      <c r="C376" s="4" t="s">
        <v>79</v>
      </c>
      <c r="D376" s="4" t="s">
        <v>67</v>
      </c>
      <c r="E376" s="4" t="s">
        <v>2094</v>
      </c>
      <c r="F376" s="4" t="s">
        <v>1596</v>
      </c>
      <c r="G376" s="22">
        <v>4500</v>
      </c>
      <c r="H376" s="21">
        <v>4750</v>
      </c>
      <c r="I376" s="22">
        <v>0.9473684210526315</v>
      </c>
      <c r="J376" s="24"/>
      <c r="K376" s="4" t="s">
        <v>95</v>
      </c>
      <c r="L376" s="22">
        <v>11.36842105263158</v>
      </c>
      <c r="M376" s="4"/>
      <c r="N376" s="4" t="s">
        <v>1711</v>
      </c>
    </row>
    <row r="377" spans="1:14">
      <c r="A377" s="4" t="s">
        <v>2110</v>
      </c>
      <c r="B377" s="4" t="s">
        <v>2098</v>
      </c>
      <c r="C377" s="4" t="s">
        <v>109</v>
      </c>
      <c r="D377" s="4" t="s">
        <v>65</v>
      </c>
      <c r="E377" s="4" t="s">
        <v>2094</v>
      </c>
      <c r="F377" s="4" t="s">
        <v>1596</v>
      </c>
      <c r="G377" s="22">
        <v>3770</v>
      </c>
      <c r="H377" s="21">
        <v>35403</v>
      </c>
      <c r="I377" s="22">
        <v>0.1064881507216903</v>
      </c>
      <c r="J377" s="24"/>
      <c r="K377" s="4" t="s">
        <v>95</v>
      </c>
      <c r="L377" s="24"/>
      <c r="M377" s="4"/>
      <c r="N377" s="4" t="s">
        <v>1467</v>
      </c>
    </row>
    <row r="378" spans="1:14">
      <c r="A378" s="4" t="s">
        <v>2111</v>
      </c>
      <c r="B378" s="4" t="s">
        <v>2112</v>
      </c>
      <c r="C378" s="4" t="s">
        <v>107</v>
      </c>
      <c r="D378" s="4" t="s">
        <v>65</v>
      </c>
      <c r="E378" s="4" t="s">
        <v>2094</v>
      </c>
      <c r="F378" s="4" t="s">
        <v>1596</v>
      </c>
      <c r="G378" s="22">
        <v>3225</v>
      </c>
      <c r="H378" s="21">
        <v>2880</v>
      </c>
      <c r="I378" s="22">
        <v>1.119791666666667</v>
      </c>
      <c r="J378" s="24"/>
      <c r="K378" s="4" t="s">
        <v>95</v>
      </c>
      <c r="L378" s="22">
        <v>13.4375</v>
      </c>
      <c r="M378" s="4"/>
      <c r="N378" s="4" t="s">
        <v>1467</v>
      </c>
    </row>
    <row r="379" spans="1:14">
      <c r="A379" s="4" t="s">
        <v>2113</v>
      </c>
      <c r="B379" s="4" t="s">
        <v>2114</v>
      </c>
      <c r="C379" s="4" t="s">
        <v>79</v>
      </c>
      <c r="D379" s="4" t="s">
        <v>65</v>
      </c>
      <c r="E379" s="4" t="s">
        <v>2094</v>
      </c>
      <c r="F379" s="4" t="s">
        <v>1596</v>
      </c>
      <c r="G379" s="22">
        <v>4000</v>
      </c>
      <c r="H379" s="21">
        <v>14612</v>
      </c>
      <c r="I379" s="22">
        <v>0.2737476047084588</v>
      </c>
      <c r="J379" s="24"/>
      <c r="K379" s="4" t="s">
        <v>95</v>
      </c>
      <c r="L379" s="24"/>
      <c r="M379" s="4"/>
      <c r="N379" s="4" t="s">
        <v>2115</v>
      </c>
    </row>
    <row r="380" spans="1:14">
      <c r="A380" s="4" t="s">
        <v>2116</v>
      </c>
      <c r="B380" s="4" t="s">
        <v>2117</v>
      </c>
      <c r="C380" s="4" t="s">
        <v>110</v>
      </c>
      <c r="D380" s="4" t="s">
        <v>65</v>
      </c>
      <c r="E380" s="4" t="s">
        <v>2094</v>
      </c>
      <c r="F380" s="4" t="s">
        <v>1596</v>
      </c>
      <c r="G380" s="22">
        <v>3950</v>
      </c>
      <c r="H380" s="24"/>
      <c r="I380" s="24"/>
      <c r="J380" s="24"/>
      <c r="K380" s="4" t="s">
        <v>95</v>
      </c>
      <c r="L380" s="24"/>
      <c r="M380" s="4"/>
      <c r="N380" s="4" t="s">
        <v>1522</v>
      </c>
    </row>
    <row r="381" spans="1:14">
      <c r="A381" s="4" t="s">
        <v>2118</v>
      </c>
      <c r="B381" s="4" t="s">
        <v>2119</v>
      </c>
      <c r="C381" s="4" t="s">
        <v>79</v>
      </c>
      <c r="D381" s="4" t="s">
        <v>69</v>
      </c>
      <c r="E381" s="4" t="s">
        <v>2094</v>
      </c>
      <c r="F381" s="4" t="s">
        <v>1596</v>
      </c>
      <c r="G381" s="22">
        <v>3700</v>
      </c>
      <c r="H381" s="24"/>
      <c r="I381" s="24"/>
      <c r="J381" s="24"/>
      <c r="K381" s="4" t="s">
        <v>95</v>
      </c>
      <c r="L381" s="24"/>
      <c r="M381" s="4"/>
      <c r="N381" s="24" t="s">
        <v>237</v>
      </c>
    </row>
    <row r="382" spans="1:14">
      <c r="A382" s="4" t="s">
        <v>2120</v>
      </c>
      <c r="B382" s="4" t="s">
        <v>2121</v>
      </c>
      <c r="C382" s="4" t="s">
        <v>78</v>
      </c>
      <c r="D382" s="4" t="s">
        <v>68</v>
      </c>
      <c r="E382" s="4" t="s">
        <v>2094</v>
      </c>
      <c r="F382" s="4" t="s">
        <v>1596</v>
      </c>
      <c r="G382" s="22">
        <v>3900</v>
      </c>
      <c r="H382" s="21">
        <v>1258</v>
      </c>
      <c r="I382" s="22">
        <v>3.100158982511924</v>
      </c>
      <c r="J382" s="24"/>
      <c r="K382" s="4" t="s">
        <v>95</v>
      </c>
      <c r="L382" s="22">
        <v>37.20190779014308</v>
      </c>
      <c r="M382" s="4"/>
      <c r="N382" s="4" t="s">
        <v>1469</v>
      </c>
    </row>
    <row r="383" spans="1:14">
      <c r="A383" s="4" t="s">
        <v>2122</v>
      </c>
      <c r="B383" s="4" t="s">
        <v>2123</v>
      </c>
      <c r="C383" s="4" t="s">
        <v>80</v>
      </c>
      <c r="D383" s="4" t="s">
        <v>65</v>
      </c>
      <c r="E383" s="4" t="s">
        <v>2094</v>
      </c>
      <c r="F383" s="4" t="s">
        <v>1596</v>
      </c>
      <c r="G383" s="22">
        <v>3850</v>
      </c>
      <c r="H383" s="21">
        <v>5613</v>
      </c>
      <c r="I383" s="22">
        <v>0.685907714234812</v>
      </c>
      <c r="J383" s="24"/>
      <c r="K383" s="4" t="s">
        <v>95</v>
      </c>
      <c r="L383" s="22">
        <v>8.230892570817744</v>
      </c>
      <c r="M383" s="4"/>
      <c r="N383" s="4" t="s">
        <v>1571</v>
      </c>
    </row>
    <row r="384" spans="1:14">
      <c r="A384" s="4" t="s">
        <v>2124</v>
      </c>
      <c r="B384" s="4" t="s">
        <v>2125</v>
      </c>
      <c r="C384" s="4" t="s">
        <v>82</v>
      </c>
      <c r="D384" s="4" t="s">
        <v>70</v>
      </c>
      <c r="E384" s="4" t="s">
        <v>2094</v>
      </c>
      <c r="F384" s="4" t="s">
        <v>1596</v>
      </c>
      <c r="G384" s="22">
        <v>3750</v>
      </c>
      <c r="H384" s="21">
        <v>33249</v>
      </c>
      <c r="I384" s="22">
        <v>0.1127853469277272</v>
      </c>
      <c r="J384" s="24"/>
      <c r="K384" s="4" t="s">
        <v>95</v>
      </c>
      <c r="L384" s="24"/>
      <c r="M384" s="4"/>
      <c r="N384" s="4" t="s">
        <v>1562</v>
      </c>
    </row>
    <row r="385" spans="1:14">
      <c r="A385" s="4" t="s">
        <v>2126</v>
      </c>
      <c r="B385" s="4" t="s">
        <v>2127</v>
      </c>
      <c r="C385" s="4" t="s">
        <v>83</v>
      </c>
      <c r="D385" s="4" t="s">
        <v>65</v>
      </c>
      <c r="E385" s="4" t="s">
        <v>2094</v>
      </c>
      <c r="F385" s="4" t="s">
        <v>1596</v>
      </c>
      <c r="G385" s="22">
        <v>3500</v>
      </c>
      <c r="H385" s="21">
        <v>10125</v>
      </c>
      <c r="I385" s="22">
        <v>0.345679012345679</v>
      </c>
      <c r="J385" s="24"/>
      <c r="K385" s="4" t="s">
        <v>95</v>
      </c>
      <c r="L385" s="22">
        <v>4.148148148148148</v>
      </c>
      <c r="M385" s="4"/>
      <c r="N385" s="4" t="s">
        <v>1469</v>
      </c>
    </row>
    <row r="386" spans="1:14">
      <c r="A386" s="4" t="s">
        <v>2128</v>
      </c>
      <c r="B386" s="4" t="s">
        <v>2129</v>
      </c>
      <c r="C386" s="4" t="s">
        <v>1655</v>
      </c>
      <c r="D386" s="4" t="s">
        <v>70</v>
      </c>
      <c r="E386" s="4" t="s">
        <v>2094</v>
      </c>
      <c r="F386" s="4" t="s">
        <v>1596</v>
      </c>
      <c r="G386" s="22">
        <v>3500</v>
      </c>
      <c r="H386" s="24"/>
      <c r="I386" s="24"/>
      <c r="J386" s="24"/>
      <c r="K386" s="4" t="s">
        <v>95</v>
      </c>
      <c r="L386" s="24"/>
      <c r="M386" s="4"/>
      <c r="N386" s="24" t="s">
        <v>237</v>
      </c>
    </row>
    <row r="387" spans="1:14">
      <c r="A387" s="4" t="s">
        <v>2130</v>
      </c>
      <c r="B387" s="4" t="s">
        <v>2131</v>
      </c>
      <c r="C387" s="4" t="s">
        <v>79</v>
      </c>
      <c r="D387" s="4" t="s">
        <v>65</v>
      </c>
      <c r="E387" s="4" t="s">
        <v>2094</v>
      </c>
      <c r="F387" s="4" t="s">
        <v>1596</v>
      </c>
      <c r="G387" s="22">
        <v>3700</v>
      </c>
      <c r="H387" s="24"/>
      <c r="I387" s="24"/>
      <c r="J387" s="24"/>
      <c r="K387" s="4" t="s">
        <v>95</v>
      </c>
      <c r="L387" s="24"/>
      <c r="M387" s="4"/>
      <c r="N387" s="24" t="s">
        <v>237</v>
      </c>
    </row>
    <row r="388" spans="1:14">
      <c r="A388" s="4" t="s">
        <v>2132</v>
      </c>
      <c r="B388" s="4" t="s">
        <v>1931</v>
      </c>
      <c r="C388" s="4" t="s">
        <v>79</v>
      </c>
      <c r="D388" s="4" t="s">
        <v>65</v>
      </c>
      <c r="E388" s="4" t="s">
        <v>2094</v>
      </c>
      <c r="F388" s="4" t="s">
        <v>1596</v>
      </c>
      <c r="G388" s="22">
        <v>3300</v>
      </c>
      <c r="H388" s="21">
        <v>22363</v>
      </c>
      <c r="I388" s="22">
        <v>0.14756517461879</v>
      </c>
      <c r="J388" s="24"/>
      <c r="K388" s="4" t="s">
        <v>95</v>
      </c>
      <c r="L388" s="24"/>
      <c r="M388" s="4"/>
      <c r="N388" s="4" t="s">
        <v>1471</v>
      </c>
    </row>
    <row r="389" spans="1:14">
      <c r="A389" s="4" t="s">
        <v>2133</v>
      </c>
      <c r="B389" s="4" t="s">
        <v>2134</v>
      </c>
      <c r="C389" s="4" t="s">
        <v>82</v>
      </c>
      <c r="D389" s="4" t="s">
        <v>67</v>
      </c>
      <c r="E389" s="4" t="s">
        <v>2094</v>
      </c>
      <c r="F389" s="4" t="s">
        <v>1596</v>
      </c>
      <c r="G389" s="22">
        <v>3300</v>
      </c>
      <c r="H389" s="21">
        <v>14450</v>
      </c>
      <c r="I389" s="22">
        <v>0.2283737024221453</v>
      </c>
      <c r="J389" s="24"/>
      <c r="K389" s="4" t="s">
        <v>95</v>
      </c>
      <c r="L389" s="24"/>
      <c r="M389" s="4"/>
      <c r="N389" s="4" t="s">
        <v>1562</v>
      </c>
    </row>
    <row r="390" spans="1:14">
      <c r="A390" s="4" t="s">
        <v>2135</v>
      </c>
      <c r="B390" s="4" t="s">
        <v>2134</v>
      </c>
      <c r="C390" s="4" t="s">
        <v>82</v>
      </c>
      <c r="D390" s="4" t="s">
        <v>68</v>
      </c>
      <c r="E390" s="4" t="s">
        <v>2094</v>
      </c>
      <c r="F390" s="4" t="s">
        <v>1596</v>
      </c>
      <c r="G390" s="22">
        <v>3000</v>
      </c>
      <c r="H390" s="21">
        <v>14450</v>
      </c>
      <c r="I390" s="22">
        <v>0.2076124567474048</v>
      </c>
      <c r="J390" s="24"/>
      <c r="K390" s="4" t="s">
        <v>95</v>
      </c>
      <c r="L390" s="24"/>
      <c r="M390" s="4"/>
      <c r="N390" s="4" t="s">
        <v>1562</v>
      </c>
    </row>
    <row r="391" spans="1:14">
      <c r="A391" s="4" t="s">
        <v>2136</v>
      </c>
      <c r="B391" s="4" t="s">
        <v>2137</v>
      </c>
      <c r="C391" s="4" t="s">
        <v>109</v>
      </c>
      <c r="D391" s="4" t="s">
        <v>65</v>
      </c>
      <c r="E391" s="4" t="s">
        <v>2094</v>
      </c>
      <c r="F391" s="4" t="s">
        <v>1596</v>
      </c>
      <c r="G391" s="22">
        <v>3200</v>
      </c>
      <c r="H391" s="21">
        <v>2000</v>
      </c>
      <c r="I391" s="22">
        <v>1.6</v>
      </c>
      <c r="J391" s="24"/>
      <c r="K391" s="4" t="s">
        <v>95</v>
      </c>
      <c r="L391" s="22">
        <v>19.2</v>
      </c>
      <c r="M391" s="4"/>
      <c r="N391" s="4" t="s">
        <v>1467</v>
      </c>
    </row>
    <row r="392" spans="1:14">
      <c r="A392" s="4" t="s">
        <v>2138</v>
      </c>
      <c r="B392" s="4" t="s">
        <v>2139</v>
      </c>
      <c r="C392" s="4" t="s">
        <v>79</v>
      </c>
      <c r="D392" s="4" t="s">
        <v>65</v>
      </c>
      <c r="E392" s="4" t="s">
        <v>2094</v>
      </c>
      <c r="F392" s="4" t="s">
        <v>1596</v>
      </c>
      <c r="G392" s="22">
        <v>3200</v>
      </c>
      <c r="H392" s="24"/>
      <c r="I392" s="24"/>
      <c r="J392" s="24"/>
      <c r="K392" s="4" t="s">
        <v>95</v>
      </c>
      <c r="L392" s="24"/>
      <c r="M392" s="4"/>
      <c r="N392" s="4" t="s">
        <v>1467</v>
      </c>
    </row>
    <row r="393" spans="1:14">
      <c r="A393" s="4" t="s">
        <v>2140</v>
      </c>
      <c r="B393" s="4" t="s">
        <v>2141</v>
      </c>
      <c r="C393" s="4" t="s">
        <v>83</v>
      </c>
      <c r="D393" s="4" t="s">
        <v>65</v>
      </c>
      <c r="E393" s="4" t="s">
        <v>2094</v>
      </c>
      <c r="F393" s="4" t="s">
        <v>1596</v>
      </c>
      <c r="G393" s="22">
        <v>3000</v>
      </c>
      <c r="H393" s="21">
        <v>10125</v>
      </c>
      <c r="I393" s="22">
        <v>0.2962962962962963</v>
      </c>
      <c r="J393" s="24"/>
      <c r="K393" s="4" t="s">
        <v>95</v>
      </c>
      <c r="L393" s="24"/>
      <c r="M393" s="4"/>
      <c r="N393" s="4" t="s">
        <v>1469</v>
      </c>
    </row>
    <row r="394" spans="1:14">
      <c r="A394" s="4" t="s">
        <v>2142</v>
      </c>
      <c r="B394" s="4" t="s">
        <v>2143</v>
      </c>
      <c r="C394" s="4" t="s">
        <v>2144</v>
      </c>
      <c r="D394" s="4" t="s">
        <v>65</v>
      </c>
      <c r="E394" s="4" t="s">
        <v>2094</v>
      </c>
      <c r="F394" s="4" t="s">
        <v>1596</v>
      </c>
      <c r="G394" s="22">
        <v>2950</v>
      </c>
      <c r="H394" s="21">
        <v>24797</v>
      </c>
      <c r="I394" s="22">
        <v>0.118966003952091</v>
      </c>
      <c r="J394" s="24"/>
      <c r="K394" s="4" t="s">
        <v>95</v>
      </c>
      <c r="L394" s="24"/>
      <c r="M394" s="4"/>
      <c r="N394" s="4" t="s">
        <v>1467</v>
      </c>
    </row>
    <row r="395" spans="1:14">
      <c r="A395" s="4" t="s">
        <v>2145</v>
      </c>
      <c r="B395" s="4" t="s">
        <v>1056</v>
      </c>
      <c r="C395" s="4" t="s">
        <v>107</v>
      </c>
      <c r="D395" s="4" t="s">
        <v>65</v>
      </c>
      <c r="E395" s="4" t="s">
        <v>2094</v>
      </c>
      <c r="F395" s="4" t="s">
        <v>1596</v>
      </c>
      <c r="G395" s="22">
        <v>3600</v>
      </c>
      <c r="H395" s="21">
        <v>21315</v>
      </c>
      <c r="I395" s="22">
        <v>0.1688951442646024</v>
      </c>
      <c r="J395" s="24"/>
      <c r="K395" s="4" t="s">
        <v>95</v>
      </c>
      <c r="L395" s="24"/>
      <c r="M395" s="4"/>
      <c r="N395" s="4" t="s">
        <v>1473</v>
      </c>
    </row>
    <row r="396" spans="1:14">
      <c r="A396" s="4" t="s">
        <v>2146</v>
      </c>
      <c r="B396" s="4" t="s">
        <v>2147</v>
      </c>
      <c r="C396" s="4" t="s">
        <v>78</v>
      </c>
      <c r="D396" s="4" t="s">
        <v>70</v>
      </c>
      <c r="E396" s="4" t="s">
        <v>2094</v>
      </c>
      <c r="F396" s="4" t="s">
        <v>1596</v>
      </c>
      <c r="G396" s="22">
        <v>2500</v>
      </c>
      <c r="H396" s="21">
        <v>15109</v>
      </c>
      <c r="I396" s="22">
        <v>0.1654642928056126</v>
      </c>
      <c r="J396" s="24"/>
      <c r="K396" s="4" t="s">
        <v>95</v>
      </c>
      <c r="L396" s="24"/>
      <c r="M396" s="4"/>
      <c r="N396" s="4" t="s">
        <v>1467</v>
      </c>
    </row>
    <row r="397" spans="1:14">
      <c r="A397" s="4" t="s">
        <v>2148</v>
      </c>
      <c r="B397" s="4" t="s">
        <v>2149</v>
      </c>
      <c r="C397" s="4" t="s">
        <v>79</v>
      </c>
      <c r="D397" s="4" t="s">
        <v>70</v>
      </c>
      <c r="E397" s="4" t="s">
        <v>2094</v>
      </c>
      <c r="F397" s="4" t="s">
        <v>1596</v>
      </c>
      <c r="G397" s="22">
        <v>2400</v>
      </c>
      <c r="H397" s="21">
        <v>16545</v>
      </c>
      <c r="I397" s="22">
        <v>0.1450589301903898</v>
      </c>
      <c r="J397" s="24"/>
      <c r="K397" s="4" t="s">
        <v>95</v>
      </c>
      <c r="L397" s="24"/>
      <c r="M397" s="4"/>
      <c r="N397" s="24" t="s">
        <v>237</v>
      </c>
    </row>
    <row r="398" spans="1:14">
      <c r="A398" s="4" t="s">
        <v>2150</v>
      </c>
      <c r="B398" s="4" t="s">
        <v>2151</v>
      </c>
      <c r="C398" s="4" t="s">
        <v>59</v>
      </c>
      <c r="D398" s="4" t="s">
        <v>65</v>
      </c>
      <c r="E398" s="4" t="s">
        <v>2094</v>
      </c>
      <c r="F398" s="4" t="s">
        <v>1596</v>
      </c>
      <c r="G398" s="22">
        <v>1800</v>
      </c>
      <c r="H398" s="21">
        <v>0</v>
      </c>
      <c r="I398" s="22" t="e">
        <f>1/0</f>
        <v>#DIV/0!</v>
      </c>
      <c r="J398" s="24"/>
      <c r="K398" s="4" t="s">
        <v>95</v>
      </c>
      <c r="L398" s="24"/>
      <c r="M398" s="4"/>
      <c r="N398" s="4" t="s">
        <v>2152</v>
      </c>
    </row>
    <row r="399" spans="1:14">
      <c r="A399" s="4" t="s">
        <v>2153</v>
      </c>
      <c r="B399" s="4" t="s">
        <v>2154</v>
      </c>
      <c r="C399" s="4" t="s">
        <v>108</v>
      </c>
      <c r="D399" s="4" t="s">
        <v>69</v>
      </c>
      <c r="E399" s="4" t="s">
        <v>2094</v>
      </c>
      <c r="F399" s="4" t="s">
        <v>1596</v>
      </c>
      <c r="G399" s="22">
        <v>2650</v>
      </c>
      <c r="H399" s="21">
        <v>14742</v>
      </c>
      <c r="I399" s="22">
        <v>0.1797585130918464</v>
      </c>
      <c r="J399" s="24"/>
      <c r="K399" s="4" t="s">
        <v>95</v>
      </c>
      <c r="L399" s="24"/>
      <c r="M399" s="4"/>
      <c r="N399" s="4" t="s">
        <v>1475</v>
      </c>
    </row>
    <row r="400" spans="1:14">
      <c r="A400" s="4" t="s">
        <v>2155</v>
      </c>
      <c r="B400" s="4" t="s">
        <v>2156</v>
      </c>
      <c r="C400" s="4" t="s">
        <v>79</v>
      </c>
      <c r="D400" s="4" t="s">
        <v>65</v>
      </c>
      <c r="E400" s="4" t="s">
        <v>2094</v>
      </c>
      <c r="F400" s="4" t="s">
        <v>1596</v>
      </c>
      <c r="G400" s="22">
        <v>2508</v>
      </c>
      <c r="H400" s="24"/>
      <c r="I400" s="24"/>
      <c r="J400" s="24"/>
      <c r="K400" s="4" t="s">
        <v>95</v>
      </c>
      <c r="L400" s="24"/>
      <c r="M400" s="4"/>
      <c r="N400" s="4" t="s">
        <v>1467</v>
      </c>
    </row>
    <row r="401" spans="1:14">
      <c r="A401" s="4" t="s">
        <v>2157</v>
      </c>
      <c r="B401" s="4" t="s">
        <v>2158</v>
      </c>
      <c r="C401" s="4" t="s">
        <v>120</v>
      </c>
      <c r="D401" s="4" t="s">
        <v>65</v>
      </c>
      <c r="E401" s="4" t="s">
        <v>2094</v>
      </c>
      <c r="F401" s="4" t="s">
        <v>1596</v>
      </c>
      <c r="G401" s="22">
        <v>2450</v>
      </c>
      <c r="H401" s="24"/>
      <c r="I401" s="24"/>
      <c r="J401" s="24"/>
      <c r="K401" s="4" t="s">
        <v>95</v>
      </c>
      <c r="L401" s="24"/>
      <c r="M401" s="4"/>
      <c r="N401" s="4" t="s">
        <v>1479</v>
      </c>
    </row>
    <row r="402" spans="1:14">
      <c r="A402" s="4" t="s">
        <v>2159</v>
      </c>
      <c r="B402" s="4" t="s">
        <v>2160</v>
      </c>
      <c r="C402" s="4" t="s">
        <v>109</v>
      </c>
      <c r="D402" s="4" t="s">
        <v>65</v>
      </c>
      <c r="E402" s="4" t="s">
        <v>2094</v>
      </c>
      <c r="F402" s="4" t="s">
        <v>1596</v>
      </c>
      <c r="G402" s="22">
        <v>2400</v>
      </c>
      <c r="H402" s="21">
        <v>12669</v>
      </c>
      <c r="I402" s="22">
        <v>0.1894387875917594</v>
      </c>
      <c r="J402" s="24"/>
      <c r="K402" s="4" t="s">
        <v>95</v>
      </c>
      <c r="L402" s="24"/>
      <c r="M402" s="4"/>
      <c r="N402" s="24" t="s">
        <v>237</v>
      </c>
    </row>
    <row r="403" spans="1:14">
      <c r="A403" s="4" t="s">
        <v>2161</v>
      </c>
      <c r="B403" s="4" t="s">
        <v>2162</v>
      </c>
      <c r="C403" s="4" t="s">
        <v>79</v>
      </c>
      <c r="D403" s="4" t="s">
        <v>70</v>
      </c>
      <c r="E403" s="4" t="s">
        <v>2094</v>
      </c>
      <c r="F403" s="4" t="s">
        <v>1596</v>
      </c>
      <c r="G403" s="22">
        <v>2300</v>
      </c>
      <c r="H403" s="21">
        <v>6110</v>
      </c>
      <c r="I403" s="22">
        <v>0.3764320785597381</v>
      </c>
      <c r="J403" s="24"/>
      <c r="K403" s="4" t="s">
        <v>95</v>
      </c>
      <c r="L403" s="22">
        <v>4.517184942716858</v>
      </c>
      <c r="M403" s="4"/>
      <c r="N403" s="4" t="s">
        <v>2163</v>
      </c>
    </row>
    <row r="404" spans="1:14">
      <c r="A404" s="4" t="s">
        <v>2164</v>
      </c>
      <c r="B404" s="4" t="s">
        <v>2165</v>
      </c>
      <c r="C404" s="4" t="s">
        <v>120</v>
      </c>
      <c r="D404" s="4" t="s">
        <v>65</v>
      </c>
      <c r="E404" s="4" t="s">
        <v>2094</v>
      </c>
      <c r="F404" s="4" t="s">
        <v>1596</v>
      </c>
      <c r="G404" s="22">
        <v>2100</v>
      </c>
      <c r="H404" s="21">
        <v>133110</v>
      </c>
      <c r="I404" s="22">
        <v>0.01577642551273383</v>
      </c>
      <c r="J404" s="24"/>
      <c r="K404" s="4" t="s">
        <v>95</v>
      </c>
      <c r="L404" s="24"/>
      <c r="M404" s="4"/>
      <c r="N404" s="4" t="s">
        <v>1479</v>
      </c>
    </row>
    <row r="405" spans="1:14">
      <c r="A405" s="4" t="s">
        <v>2166</v>
      </c>
      <c r="B405" s="4" t="s">
        <v>2167</v>
      </c>
      <c r="C405" s="4" t="s">
        <v>108</v>
      </c>
      <c r="D405" s="4" t="s">
        <v>70</v>
      </c>
      <c r="E405" s="4" t="s">
        <v>2094</v>
      </c>
      <c r="F405" s="4" t="s">
        <v>1596</v>
      </c>
      <c r="G405" s="22">
        <v>1750</v>
      </c>
      <c r="H405" s="21">
        <v>15005</v>
      </c>
      <c r="I405" s="22">
        <v>0.1166277907364212</v>
      </c>
      <c r="J405" s="24"/>
      <c r="K405" s="4" t="s">
        <v>95</v>
      </c>
      <c r="L405" s="24"/>
      <c r="M405" s="4"/>
      <c r="N405" s="4" t="s">
        <v>1475</v>
      </c>
    </row>
    <row r="406" spans="1:14">
      <c r="A406" s="4" t="s">
        <v>2168</v>
      </c>
      <c r="B406" s="4" t="s">
        <v>2169</v>
      </c>
      <c r="C406" s="4" t="s">
        <v>79</v>
      </c>
      <c r="D406" s="4" t="s">
        <v>70</v>
      </c>
      <c r="E406" s="4" t="s">
        <v>2094</v>
      </c>
      <c r="F406" s="4" t="s">
        <v>1596</v>
      </c>
      <c r="G406" s="22">
        <v>1900</v>
      </c>
      <c r="H406" s="21">
        <v>1700</v>
      </c>
      <c r="I406" s="22">
        <v>1.117647058823529</v>
      </c>
      <c r="J406" s="24"/>
      <c r="K406" s="4" t="s">
        <v>95</v>
      </c>
      <c r="L406" s="22">
        <v>13.41176470588235</v>
      </c>
      <c r="M406" s="4"/>
      <c r="N406" s="4" t="s">
        <v>1467</v>
      </c>
    </row>
    <row r="407" spans="1:14">
      <c r="A407" s="4" t="s">
        <v>2170</v>
      </c>
      <c r="B407" s="4" t="s">
        <v>2171</v>
      </c>
      <c r="C407" s="4" t="s">
        <v>81</v>
      </c>
      <c r="D407" s="4" t="s">
        <v>65</v>
      </c>
      <c r="E407" s="4" t="s">
        <v>2094</v>
      </c>
      <c r="F407" s="4" t="s">
        <v>1596</v>
      </c>
      <c r="G407" s="22">
        <v>1800</v>
      </c>
      <c r="H407" s="21">
        <v>80970</v>
      </c>
      <c r="I407" s="22">
        <v>0.02223045572434235</v>
      </c>
      <c r="J407" s="24"/>
      <c r="K407" s="4" t="s">
        <v>95</v>
      </c>
      <c r="L407" s="24"/>
      <c r="M407" s="4"/>
      <c r="N407" s="4" t="s">
        <v>2172</v>
      </c>
    </row>
    <row r="408" spans="1:14">
      <c r="A408" s="4" t="s">
        <v>2173</v>
      </c>
      <c r="B408" s="4" t="s">
        <v>2174</v>
      </c>
      <c r="C408" s="4" t="s">
        <v>108</v>
      </c>
      <c r="D408" s="4" t="s">
        <v>70</v>
      </c>
      <c r="E408" s="4" t="s">
        <v>2094</v>
      </c>
      <c r="F408" s="4" t="s">
        <v>1596</v>
      </c>
      <c r="G408" s="22">
        <v>1750</v>
      </c>
      <c r="H408" s="21">
        <v>15005</v>
      </c>
      <c r="I408" s="22">
        <v>0.1166277907364212</v>
      </c>
      <c r="J408" s="24"/>
      <c r="K408" s="4" t="s">
        <v>95</v>
      </c>
      <c r="L408" s="24"/>
      <c r="M408" s="4"/>
      <c r="N408" s="4" t="s">
        <v>1475</v>
      </c>
    </row>
    <row r="409" spans="1:14">
      <c r="A409" s="4" t="s">
        <v>2175</v>
      </c>
      <c r="B409" s="4" t="s">
        <v>1977</v>
      </c>
      <c r="C409" s="4" t="s">
        <v>79</v>
      </c>
      <c r="D409" s="4" t="s">
        <v>68</v>
      </c>
      <c r="E409" s="4" t="s">
        <v>2094</v>
      </c>
      <c r="F409" s="4" t="s">
        <v>1596</v>
      </c>
      <c r="G409" s="22">
        <v>1750</v>
      </c>
      <c r="H409" s="21">
        <v>5738</v>
      </c>
      <c r="I409" s="22">
        <v>0.3049843150923667</v>
      </c>
      <c r="J409" s="24"/>
      <c r="K409" s="4" t="s">
        <v>95</v>
      </c>
      <c r="L409" s="24"/>
      <c r="M409" s="4"/>
      <c r="N409" s="4" t="s">
        <v>1467</v>
      </c>
    </row>
    <row r="410" spans="1:14">
      <c r="A410" s="4" t="s">
        <v>2176</v>
      </c>
      <c r="B410" s="4" t="s">
        <v>2177</v>
      </c>
      <c r="C410" s="4" t="s">
        <v>79</v>
      </c>
      <c r="D410" s="4" t="s">
        <v>65</v>
      </c>
      <c r="E410" s="4" t="s">
        <v>2094</v>
      </c>
      <c r="F410" s="4" t="s">
        <v>1596</v>
      </c>
      <c r="G410" s="22">
        <v>1744</v>
      </c>
      <c r="H410" s="24"/>
      <c r="I410" s="24"/>
      <c r="J410" s="24"/>
      <c r="K410" s="4" t="s">
        <v>95</v>
      </c>
      <c r="L410" s="24"/>
      <c r="M410" s="4"/>
      <c r="N410" s="4" t="s">
        <v>1467</v>
      </c>
    </row>
    <row r="411" spans="1:14">
      <c r="A411" s="4" t="s">
        <v>2178</v>
      </c>
      <c r="B411" s="4" t="s">
        <v>2179</v>
      </c>
      <c r="C411" s="4" t="s">
        <v>108</v>
      </c>
      <c r="D411" s="4" t="s">
        <v>70</v>
      </c>
      <c r="E411" s="4" t="s">
        <v>2094</v>
      </c>
      <c r="F411" s="4" t="s">
        <v>1596</v>
      </c>
      <c r="G411" s="22">
        <v>1700</v>
      </c>
      <c r="H411" s="21">
        <v>15003</v>
      </c>
      <c r="I411" s="22">
        <v>0.1133106711990935</v>
      </c>
      <c r="J411" s="24"/>
      <c r="K411" s="4" t="s">
        <v>95</v>
      </c>
      <c r="L411" s="24"/>
      <c r="M411" s="4"/>
      <c r="N411" s="4" t="s">
        <v>1475</v>
      </c>
    </row>
    <row r="412" spans="1:14">
      <c r="A412" s="4" t="s">
        <v>2180</v>
      </c>
      <c r="B412" s="4" t="s">
        <v>2181</v>
      </c>
      <c r="C412" s="4" t="s">
        <v>111</v>
      </c>
      <c r="D412" s="4" t="s">
        <v>65</v>
      </c>
      <c r="E412" s="4" t="s">
        <v>2094</v>
      </c>
      <c r="F412" s="4" t="s">
        <v>1596</v>
      </c>
      <c r="G412" s="22">
        <v>1700</v>
      </c>
      <c r="H412" s="21">
        <v>1994</v>
      </c>
      <c r="I412" s="22">
        <v>0.8525576730190572</v>
      </c>
      <c r="J412" s="24"/>
      <c r="K412" s="4" t="s">
        <v>95</v>
      </c>
      <c r="L412" s="22">
        <v>10.23069207622869</v>
      </c>
      <c r="M412" s="4"/>
      <c r="N412" s="4" t="s">
        <v>1467</v>
      </c>
    </row>
    <row r="413" spans="1:14">
      <c r="A413" s="4" t="s">
        <v>2182</v>
      </c>
      <c r="B413" s="4" t="s">
        <v>2183</v>
      </c>
      <c r="C413" s="4" t="s">
        <v>80</v>
      </c>
      <c r="D413" s="4" t="s">
        <v>65</v>
      </c>
      <c r="E413" s="4" t="s">
        <v>2094</v>
      </c>
      <c r="F413" s="4" t="s">
        <v>1596</v>
      </c>
      <c r="G413" s="22">
        <v>1600</v>
      </c>
      <c r="H413" s="21">
        <v>4750</v>
      </c>
      <c r="I413" s="22">
        <v>0.3368421052631579</v>
      </c>
      <c r="J413" s="24"/>
      <c r="K413" s="4" t="s">
        <v>95</v>
      </c>
      <c r="L413" s="22">
        <v>4.042105263157895</v>
      </c>
      <c r="M413" s="4"/>
      <c r="N413" s="4" t="s">
        <v>1562</v>
      </c>
    </row>
    <row r="414" spans="1:14">
      <c r="A414" s="4" t="s">
        <v>2184</v>
      </c>
      <c r="B414" s="4" t="s">
        <v>2185</v>
      </c>
      <c r="C414" s="4" t="s">
        <v>79</v>
      </c>
      <c r="D414" s="4" t="s">
        <v>65</v>
      </c>
      <c r="E414" s="4" t="s">
        <v>2094</v>
      </c>
      <c r="F414" s="4" t="s">
        <v>1596</v>
      </c>
      <c r="G414" s="22">
        <v>1300</v>
      </c>
      <c r="H414" s="21">
        <v>12059</v>
      </c>
      <c r="I414" s="22">
        <v>0.1078033004395058</v>
      </c>
      <c r="J414" s="24"/>
      <c r="K414" s="4" t="s">
        <v>95</v>
      </c>
      <c r="L414" s="24"/>
      <c r="M414" s="4"/>
      <c r="N414" s="4" t="s">
        <v>1471</v>
      </c>
    </row>
    <row r="415" spans="1:14">
      <c r="A415" s="4" t="s">
        <v>2186</v>
      </c>
      <c r="B415" s="4" t="s">
        <v>2187</v>
      </c>
      <c r="C415" s="4" t="s">
        <v>120</v>
      </c>
      <c r="D415" s="4" t="s">
        <v>65</v>
      </c>
      <c r="E415" s="4" t="s">
        <v>2094</v>
      </c>
      <c r="F415" s="4" t="s">
        <v>1596</v>
      </c>
      <c r="G415" s="22">
        <v>1000</v>
      </c>
      <c r="H415" s="24"/>
      <c r="I415" s="24"/>
      <c r="J415" s="24"/>
      <c r="K415" s="4" t="s">
        <v>95</v>
      </c>
      <c r="L415" s="24"/>
      <c r="M415" s="4"/>
      <c r="N415" s="4" t="s">
        <v>1479</v>
      </c>
    </row>
    <row r="416" spans="1:14">
      <c r="A416" s="4" t="s">
        <v>2188</v>
      </c>
      <c r="B416" s="4" t="s">
        <v>2179</v>
      </c>
      <c r="C416" s="4" t="s">
        <v>108</v>
      </c>
      <c r="D416" s="4" t="s">
        <v>65</v>
      </c>
      <c r="E416" s="4" t="s">
        <v>2094</v>
      </c>
      <c r="F416" s="4" t="s">
        <v>1596</v>
      </c>
      <c r="G416" s="22">
        <v>1600</v>
      </c>
      <c r="H416" s="24"/>
      <c r="I416" s="24"/>
      <c r="J416" s="24"/>
      <c r="K416" s="4" t="s">
        <v>95</v>
      </c>
      <c r="L416" s="24"/>
      <c r="M416" s="4"/>
      <c r="N416" s="24" t="s">
        <v>237</v>
      </c>
    </row>
    <row r="417" spans="1:14">
      <c r="A417" s="4" t="s">
        <v>2189</v>
      </c>
      <c r="B417" s="4" t="s">
        <v>2190</v>
      </c>
      <c r="C417" s="4" t="s">
        <v>79</v>
      </c>
      <c r="D417" s="4" t="s">
        <v>65</v>
      </c>
      <c r="E417" s="4" t="s">
        <v>2094</v>
      </c>
      <c r="F417" s="4" t="s">
        <v>1596</v>
      </c>
      <c r="G417" s="22">
        <v>1200</v>
      </c>
      <c r="H417" s="21">
        <v>12059</v>
      </c>
      <c r="I417" s="22">
        <v>0.09951073886723609</v>
      </c>
      <c r="J417" s="24"/>
      <c r="K417" s="4" t="s">
        <v>95</v>
      </c>
      <c r="L417" s="24"/>
      <c r="M417" s="4"/>
      <c r="N417" s="4" t="s">
        <v>1471</v>
      </c>
    </row>
    <row r="418" spans="1:14">
      <c r="A418" s="4" t="s">
        <v>2191</v>
      </c>
      <c r="B418" s="4" t="s">
        <v>2192</v>
      </c>
      <c r="C418" s="4" t="s">
        <v>120</v>
      </c>
      <c r="D418" s="4" t="s">
        <v>69</v>
      </c>
      <c r="E418" s="4" t="s">
        <v>2094</v>
      </c>
      <c r="F418" s="4" t="s">
        <v>1596</v>
      </c>
      <c r="G418" s="22">
        <v>1100</v>
      </c>
      <c r="H418" s="24"/>
      <c r="I418" s="24"/>
      <c r="J418" s="21">
        <v>1947</v>
      </c>
      <c r="K418" s="4" t="s">
        <v>95</v>
      </c>
      <c r="L418" s="24"/>
      <c r="M418" s="4"/>
      <c r="N418" s="4" t="s">
        <v>1479</v>
      </c>
    </row>
    <row r="419" spans="1:14">
      <c r="A419" s="4" t="s">
        <v>2193</v>
      </c>
      <c r="B419" s="4" t="s">
        <v>2194</v>
      </c>
      <c r="C419" s="4" t="s">
        <v>109</v>
      </c>
      <c r="D419" s="4" t="s">
        <v>65</v>
      </c>
      <c r="E419" s="4" t="s">
        <v>2094</v>
      </c>
      <c r="F419" s="4" t="s">
        <v>1596</v>
      </c>
      <c r="G419" s="22">
        <v>731</v>
      </c>
      <c r="H419" s="21">
        <v>35403</v>
      </c>
      <c r="I419" s="22">
        <v>0.02064796768635426</v>
      </c>
      <c r="J419" s="24"/>
      <c r="K419" s="4" t="s">
        <v>95</v>
      </c>
      <c r="L419" s="24"/>
      <c r="M419" s="4"/>
      <c r="N419" s="4" t="s">
        <v>1467</v>
      </c>
    </row>
    <row r="420" spans="1:14">
      <c r="A420" s="4" t="s">
        <v>2195</v>
      </c>
      <c r="B420" s="4" t="s">
        <v>2196</v>
      </c>
      <c r="C420" s="4" t="s">
        <v>109</v>
      </c>
      <c r="D420" s="4" t="s">
        <v>69</v>
      </c>
      <c r="E420" s="4" t="s">
        <v>2094</v>
      </c>
      <c r="F420" s="4" t="s">
        <v>1596</v>
      </c>
      <c r="G420" s="22">
        <v>700</v>
      </c>
      <c r="H420" s="21">
        <v>19500</v>
      </c>
      <c r="I420" s="22">
        <v>0.03589743589743589</v>
      </c>
      <c r="J420" s="24"/>
      <c r="K420" s="4" t="s">
        <v>95</v>
      </c>
      <c r="L420" s="24"/>
      <c r="M420" s="4"/>
      <c r="N420" s="4" t="s">
        <v>1467</v>
      </c>
    </row>
    <row r="421" spans="1:14">
      <c r="A421" s="4" t="s">
        <v>2197</v>
      </c>
      <c r="B421" s="4" t="s">
        <v>2198</v>
      </c>
      <c r="C421" s="4" t="s">
        <v>109</v>
      </c>
      <c r="D421" s="4" t="s">
        <v>70</v>
      </c>
      <c r="E421" s="4" t="s">
        <v>2094</v>
      </c>
      <c r="F421" s="4" t="s">
        <v>1596</v>
      </c>
      <c r="G421" s="22">
        <v>60</v>
      </c>
      <c r="H421" s="21">
        <v>17695</v>
      </c>
      <c r="I421" s="22">
        <v>0.003390788358293303</v>
      </c>
      <c r="J421" s="24"/>
      <c r="K421" s="4" t="s">
        <v>95</v>
      </c>
      <c r="L421" s="22">
        <v>60</v>
      </c>
      <c r="M421" s="4"/>
      <c r="N421" s="4" t="s">
        <v>1467</v>
      </c>
    </row>
    <row r="422" spans="1:14">
      <c r="A422" s="4" t="s">
        <v>2199</v>
      </c>
      <c r="B422" s="4" t="s">
        <v>2200</v>
      </c>
      <c r="C422" s="4" t="s">
        <v>109</v>
      </c>
      <c r="D422" s="4" t="s">
        <v>65</v>
      </c>
      <c r="E422" s="4" t="s">
        <v>2094</v>
      </c>
      <c r="F422" s="4" t="s">
        <v>1596</v>
      </c>
      <c r="G422" s="22">
        <v>60</v>
      </c>
      <c r="H422" s="21">
        <v>2101</v>
      </c>
      <c r="I422" s="22">
        <v>0.02855782960495002</v>
      </c>
      <c r="J422" s="24"/>
      <c r="K422" s="4" t="s">
        <v>95</v>
      </c>
      <c r="L422" s="22">
        <v>60</v>
      </c>
      <c r="M422" s="4"/>
      <c r="N422" s="4" t="s">
        <v>1467</v>
      </c>
    </row>
    <row r="423" spans="1:14">
      <c r="A423" s="4" t="s">
        <v>2201</v>
      </c>
      <c r="B423" s="4" t="s">
        <v>2202</v>
      </c>
      <c r="C423" s="4" t="s">
        <v>78</v>
      </c>
      <c r="D423" s="4" t="s">
        <v>70</v>
      </c>
      <c r="E423" s="4" t="s">
        <v>2094</v>
      </c>
      <c r="F423" s="4" t="s">
        <v>1596</v>
      </c>
      <c r="G423" s="22">
        <v>50</v>
      </c>
      <c r="H423" s="21">
        <v>7246</v>
      </c>
      <c r="I423" s="22">
        <v>0.00690035881865857</v>
      </c>
      <c r="J423" s="24"/>
      <c r="K423" s="4" t="s">
        <v>95</v>
      </c>
      <c r="L423" s="22">
        <v>50</v>
      </c>
      <c r="M423" s="4"/>
      <c r="N423" s="4" t="s">
        <v>1475</v>
      </c>
    </row>
    <row r="424" spans="1:14">
      <c r="A424" s="4" t="s">
        <v>2203</v>
      </c>
      <c r="B424" s="4" t="s">
        <v>2204</v>
      </c>
      <c r="C424" s="4" t="s">
        <v>109</v>
      </c>
      <c r="D424" s="4" t="s">
        <v>65</v>
      </c>
      <c r="E424" s="4" t="s">
        <v>2094</v>
      </c>
      <c r="F424" s="4" t="s">
        <v>1596</v>
      </c>
      <c r="G424" s="22">
        <v>35</v>
      </c>
      <c r="H424" s="21">
        <v>10000</v>
      </c>
      <c r="I424" s="22">
        <v>0.0035</v>
      </c>
      <c r="J424" s="24"/>
      <c r="K424" s="4" t="s">
        <v>95</v>
      </c>
      <c r="L424" s="22">
        <v>35</v>
      </c>
      <c r="M424" s="4"/>
      <c r="N424" s="24" t="s">
        <v>237</v>
      </c>
    </row>
    <row r="425" spans="1:14">
      <c r="A425" s="4" t="s">
        <v>2205</v>
      </c>
      <c r="B425" s="4" t="s">
        <v>2206</v>
      </c>
      <c r="C425" s="4" t="s">
        <v>109</v>
      </c>
      <c r="D425" s="4" t="s">
        <v>70</v>
      </c>
      <c r="E425" s="4" t="s">
        <v>2094</v>
      </c>
      <c r="F425" s="4" t="s">
        <v>1596</v>
      </c>
      <c r="G425" s="22">
        <v>45</v>
      </c>
      <c r="H425" s="21">
        <v>10000</v>
      </c>
      <c r="I425" s="22">
        <v>0.0045</v>
      </c>
      <c r="J425" s="24"/>
      <c r="K425" s="4" t="s">
        <v>95</v>
      </c>
      <c r="L425" s="22">
        <v>45</v>
      </c>
      <c r="M425" s="4"/>
      <c r="N425" s="24" t="s">
        <v>237</v>
      </c>
    </row>
    <row r="426" spans="1:14">
      <c r="A426" s="4" t="s">
        <v>2207</v>
      </c>
      <c r="B426" s="4" t="s">
        <v>1743</v>
      </c>
      <c r="C426" s="4" t="s">
        <v>82</v>
      </c>
      <c r="D426" s="4" t="s">
        <v>70</v>
      </c>
      <c r="E426" s="4" t="s">
        <v>2094</v>
      </c>
      <c r="F426" s="4" t="s">
        <v>1596</v>
      </c>
      <c r="G426" s="22">
        <v>50</v>
      </c>
      <c r="H426" s="21">
        <v>14368</v>
      </c>
      <c r="I426" s="22">
        <v>0.003479955456570156</v>
      </c>
      <c r="J426" s="24"/>
      <c r="K426" s="4" t="s">
        <v>95</v>
      </c>
      <c r="L426" s="22">
        <v>50</v>
      </c>
      <c r="M426" s="4"/>
      <c r="N426" s="4" t="s">
        <v>1562</v>
      </c>
    </row>
    <row r="427" spans="1:14">
      <c r="A427" s="4" t="s">
        <v>2208</v>
      </c>
      <c r="B427" s="4" t="s">
        <v>2209</v>
      </c>
      <c r="C427" s="4" t="s">
        <v>112</v>
      </c>
      <c r="D427" s="4" t="s">
        <v>65</v>
      </c>
      <c r="E427" s="4" t="s">
        <v>2094</v>
      </c>
      <c r="F427" s="4" t="s">
        <v>1596</v>
      </c>
      <c r="G427" s="22">
        <v>40</v>
      </c>
      <c r="H427" s="21">
        <v>14491</v>
      </c>
      <c r="I427" s="22">
        <v>0.00276033400041405</v>
      </c>
      <c r="J427" s="24"/>
      <c r="K427" s="4" t="s">
        <v>95</v>
      </c>
      <c r="L427" s="22">
        <v>40</v>
      </c>
      <c r="M427" s="4"/>
      <c r="N427" s="4" t="s">
        <v>1475</v>
      </c>
    </row>
    <row r="428" spans="1:14">
      <c r="A428" s="4" t="s">
        <v>2210</v>
      </c>
      <c r="B428" s="4" t="s">
        <v>2211</v>
      </c>
      <c r="C428" s="4" t="s">
        <v>81</v>
      </c>
      <c r="D428" s="4" t="s">
        <v>65</v>
      </c>
      <c r="E428" s="4" t="s">
        <v>2094</v>
      </c>
      <c r="F428" s="4" t="s">
        <v>1596</v>
      </c>
      <c r="G428" s="22">
        <v>40</v>
      </c>
      <c r="H428" s="21">
        <v>22799</v>
      </c>
      <c r="I428" s="22">
        <v>0.001754462915040133</v>
      </c>
      <c r="J428" s="24"/>
      <c r="K428" s="4" t="s">
        <v>95</v>
      </c>
      <c r="L428" s="22">
        <v>40</v>
      </c>
      <c r="M428" s="4"/>
      <c r="N428" s="24" t="s">
        <v>237</v>
      </c>
    </row>
    <row r="429" spans="1:14">
      <c r="A429" s="4" t="s">
        <v>2212</v>
      </c>
      <c r="B429" s="4" t="s">
        <v>2213</v>
      </c>
      <c r="C429" s="4" t="s">
        <v>59</v>
      </c>
      <c r="D429" s="4" t="s">
        <v>65</v>
      </c>
      <c r="E429" s="4" t="s">
        <v>2094</v>
      </c>
      <c r="F429" s="4" t="s">
        <v>1596</v>
      </c>
      <c r="G429" s="22">
        <v>39</v>
      </c>
      <c r="H429" s="21">
        <v>1010</v>
      </c>
      <c r="I429" s="22">
        <v>0.03861386138613861</v>
      </c>
      <c r="J429" s="24"/>
      <c r="K429" s="4" t="s">
        <v>95</v>
      </c>
      <c r="L429" s="22">
        <v>39</v>
      </c>
      <c r="M429" s="4"/>
      <c r="N429" s="4" t="s">
        <v>1750</v>
      </c>
    </row>
    <row r="430" spans="1:14">
      <c r="A430" s="4" t="s">
        <v>2214</v>
      </c>
      <c r="B430" s="4" t="s">
        <v>2215</v>
      </c>
      <c r="C430" s="4" t="s">
        <v>77</v>
      </c>
      <c r="D430" s="4" t="s">
        <v>70</v>
      </c>
      <c r="E430" s="4" t="s">
        <v>2094</v>
      </c>
      <c r="F430" s="4" t="s">
        <v>1596</v>
      </c>
      <c r="G430" s="22">
        <v>36</v>
      </c>
      <c r="H430" s="21">
        <v>11458</v>
      </c>
      <c r="I430" s="22">
        <v>0.003141909582824228</v>
      </c>
      <c r="J430" s="24"/>
      <c r="K430" s="4" t="s">
        <v>95</v>
      </c>
      <c r="L430" s="22">
        <v>36</v>
      </c>
      <c r="M430" s="4"/>
      <c r="N430" s="4" t="s">
        <v>2216</v>
      </c>
    </row>
    <row r="431" spans="1:14">
      <c r="A431" s="4" t="s">
        <v>2217</v>
      </c>
      <c r="B431" s="4" t="s">
        <v>2218</v>
      </c>
      <c r="C431" s="4" t="s">
        <v>79</v>
      </c>
      <c r="D431" s="4" t="s">
        <v>65</v>
      </c>
      <c r="E431" s="4" t="s">
        <v>2094</v>
      </c>
      <c r="F431" s="4" t="s">
        <v>1596</v>
      </c>
      <c r="G431" s="22">
        <v>35</v>
      </c>
      <c r="H431" s="21">
        <v>6248</v>
      </c>
      <c r="I431" s="22">
        <v>0.00560179257362356</v>
      </c>
      <c r="J431" s="24"/>
      <c r="K431" s="4" t="s">
        <v>95</v>
      </c>
      <c r="L431" s="22">
        <v>35</v>
      </c>
      <c r="M431" s="4"/>
      <c r="N431" s="4" t="s">
        <v>1475</v>
      </c>
    </row>
    <row r="432" spans="1:14">
      <c r="A432" s="4" t="s">
        <v>2219</v>
      </c>
      <c r="B432" s="4" t="s">
        <v>2220</v>
      </c>
      <c r="C432" s="4" t="s">
        <v>120</v>
      </c>
      <c r="D432" s="4" t="s">
        <v>70</v>
      </c>
      <c r="E432" s="4" t="s">
        <v>2094</v>
      </c>
      <c r="F432" s="4" t="s">
        <v>1596</v>
      </c>
      <c r="G432" s="22">
        <v>28</v>
      </c>
      <c r="H432" s="24"/>
      <c r="I432" s="24"/>
      <c r="J432" s="21">
        <v>1958</v>
      </c>
      <c r="K432" s="4" t="s">
        <v>95</v>
      </c>
      <c r="L432" s="24"/>
      <c r="M432" s="4"/>
      <c r="N432" s="4" t="s">
        <v>1462</v>
      </c>
    </row>
    <row r="433" spans="1:14">
      <c r="A433" s="4" t="s">
        <v>2221</v>
      </c>
      <c r="B433" s="4" t="s">
        <v>2222</v>
      </c>
      <c r="C433" s="4" t="s">
        <v>111</v>
      </c>
      <c r="D433" s="4" t="s">
        <v>65</v>
      </c>
      <c r="E433" s="4" t="s">
        <v>2094</v>
      </c>
      <c r="F433" s="4" t="s">
        <v>1596</v>
      </c>
      <c r="G433" s="22">
        <v>30</v>
      </c>
      <c r="H433" s="21">
        <v>15418</v>
      </c>
      <c r="I433" s="22">
        <v>0.001945777662472435</v>
      </c>
      <c r="J433" s="24"/>
      <c r="K433" s="4" t="s">
        <v>95</v>
      </c>
      <c r="L433" s="22">
        <v>30</v>
      </c>
      <c r="M433" s="4"/>
      <c r="N433" s="4" t="s">
        <v>1473</v>
      </c>
    </row>
    <row r="434" spans="1:14">
      <c r="A434" s="4" t="s">
        <v>2223</v>
      </c>
      <c r="B434" s="4" t="s">
        <v>2047</v>
      </c>
      <c r="C434" s="4" t="s">
        <v>79</v>
      </c>
      <c r="D434" s="4" t="s">
        <v>65</v>
      </c>
      <c r="E434" s="4" t="s">
        <v>2094</v>
      </c>
      <c r="F434" s="4" t="s">
        <v>1596</v>
      </c>
      <c r="G434" s="22">
        <v>30</v>
      </c>
      <c r="H434" s="24"/>
      <c r="I434" s="24"/>
      <c r="J434" s="24"/>
      <c r="K434" s="4" t="s">
        <v>95</v>
      </c>
      <c r="L434" s="24"/>
      <c r="M434" s="4"/>
      <c r="N434" s="4" t="s">
        <v>1467</v>
      </c>
    </row>
    <row r="435" spans="1:14">
      <c r="A435" s="4" t="s">
        <v>2224</v>
      </c>
      <c r="B435" s="4" t="s">
        <v>2225</v>
      </c>
      <c r="C435" s="4" t="s">
        <v>83</v>
      </c>
      <c r="D435" s="4" t="s">
        <v>70</v>
      </c>
      <c r="E435" s="4" t="s">
        <v>2094</v>
      </c>
      <c r="F435" s="4" t="s">
        <v>1596</v>
      </c>
      <c r="G435" s="22">
        <v>30</v>
      </c>
      <c r="H435" s="21">
        <v>161456</v>
      </c>
      <c r="I435" s="22">
        <v>0.0001858091368546229</v>
      </c>
      <c r="J435" s="24"/>
      <c r="K435" s="4" t="s">
        <v>95</v>
      </c>
      <c r="L435" s="22">
        <v>30</v>
      </c>
      <c r="M435" s="4"/>
      <c r="N435" s="4" t="s">
        <v>1820</v>
      </c>
    </row>
    <row r="436" spans="1:14">
      <c r="A436" s="4" t="s">
        <v>2226</v>
      </c>
      <c r="B436" s="4" t="s">
        <v>2227</v>
      </c>
      <c r="C436" s="4" t="s">
        <v>111</v>
      </c>
      <c r="D436" s="4" t="s">
        <v>65</v>
      </c>
      <c r="E436" s="4" t="s">
        <v>2094</v>
      </c>
      <c r="F436" s="4" t="s">
        <v>1596</v>
      </c>
      <c r="G436" s="22">
        <v>29</v>
      </c>
      <c r="H436" s="21">
        <v>28600</v>
      </c>
      <c r="I436" s="22">
        <v>0.001013986013986014</v>
      </c>
      <c r="J436" s="24"/>
      <c r="K436" s="4" t="s">
        <v>95</v>
      </c>
      <c r="L436" s="22">
        <v>29</v>
      </c>
      <c r="M436" s="4"/>
      <c r="N436" s="4" t="s">
        <v>1550</v>
      </c>
    </row>
    <row r="437" spans="1:14">
      <c r="A437" s="4" t="s">
        <v>2228</v>
      </c>
      <c r="B437" s="4" t="s">
        <v>2229</v>
      </c>
      <c r="C437" s="4" t="s">
        <v>79</v>
      </c>
      <c r="D437" s="4" t="s">
        <v>65</v>
      </c>
      <c r="E437" s="4" t="s">
        <v>2094</v>
      </c>
      <c r="F437" s="4" t="s">
        <v>1596</v>
      </c>
      <c r="G437" s="22">
        <v>29</v>
      </c>
      <c r="H437" s="21">
        <v>12499</v>
      </c>
      <c r="I437" s="22">
        <v>0.002320185614849188</v>
      </c>
      <c r="J437" s="24"/>
      <c r="K437" s="4" t="s">
        <v>95</v>
      </c>
      <c r="L437" s="22">
        <v>29</v>
      </c>
      <c r="M437" s="4"/>
      <c r="N437" s="4" t="s">
        <v>1475</v>
      </c>
    </row>
    <row r="438" spans="1:14">
      <c r="A438" s="4" t="s">
        <v>2230</v>
      </c>
      <c r="B438" s="4" t="s">
        <v>511</v>
      </c>
      <c r="C438" s="4" t="s">
        <v>79</v>
      </c>
      <c r="D438" s="4" t="s">
        <v>65</v>
      </c>
      <c r="E438" s="4" t="s">
        <v>2094</v>
      </c>
      <c r="F438" s="4" t="s">
        <v>1596</v>
      </c>
      <c r="G438" s="22">
        <v>28</v>
      </c>
      <c r="H438" s="24"/>
      <c r="I438" s="24"/>
      <c r="J438" s="21">
        <v>1980</v>
      </c>
      <c r="K438" s="4" t="s">
        <v>95</v>
      </c>
      <c r="L438" s="24"/>
      <c r="M438" s="4"/>
      <c r="N438" s="4" t="s">
        <v>1475</v>
      </c>
    </row>
    <row r="439" spans="1:14">
      <c r="A439" s="4" t="s">
        <v>2231</v>
      </c>
      <c r="B439" s="4" t="s">
        <v>882</v>
      </c>
      <c r="C439" s="4" t="s">
        <v>59</v>
      </c>
      <c r="D439" s="4" t="s">
        <v>65</v>
      </c>
      <c r="E439" s="4" t="s">
        <v>2094</v>
      </c>
      <c r="F439" s="4" t="s">
        <v>1596</v>
      </c>
      <c r="G439" s="22">
        <v>25</v>
      </c>
      <c r="H439" s="21">
        <v>1938</v>
      </c>
      <c r="I439" s="22">
        <v>0.01289989680082559</v>
      </c>
      <c r="J439" s="24"/>
      <c r="K439" s="4" t="s">
        <v>95</v>
      </c>
      <c r="L439" s="22">
        <v>25</v>
      </c>
      <c r="M439" s="4"/>
      <c r="N439" s="4" t="s">
        <v>1475</v>
      </c>
    </row>
    <row r="440" spans="1:14">
      <c r="A440" s="4" t="s">
        <v>2232</v>
      </c>
      <c r="B440" s="4" t="s">
        <v>2233</v>
      </c>
      <c r="C440" s="4" t="s">
        <v>79</v>
      </c>
      <c r="D440" s="4" t="s">
        <v>65</v>
      </c>
      <c r="E440" s="4" t="s">
        <v>2094</v>
      </c>
      <c r="F440" s="4" t="s">
        <v>1596</v>
      </c>
      <c r="G440" s="22">
        <v>10000</v>
      </c>
      <c r="H440" s="21">
        <v>18187</v>
      </c>
      <c r="I440" s="22">
        <v>0.5498432946610217</v>
      </c>
      <c r="J440" s="24"/>
      <c r="K440" s="4" t="s">
        <v>95</v>
      </c>
      <c r="L440" s="22">
        <v>6.598119535932259</v>
      </c>
      <c r="M440" s="4"/>
      <c r="N440" s="4" t="s">
        <v>2234</v>
      </c>
    </row>
    <row r="441" spans="1:14">
      <c r="A441" s="4" t="s">
        <v>2235</v>
      </c>
      <c r="B441" s="4" t="s">
        <v>2236</v>
      </c>
      <c r="C441" s="4" t="s">
        <v>83</v>
      </c>
      <c r="D441" s="4" t="s">
        <v>70</v>
      </c>
      <c r="E441" s="4" t="s">
        <v>2094</v>
      </c>
      <c r="F441" s="4" t="s">
        <v>1596</v>
      </c>
      <c r="G441" s="22">
        <v>25</v>
      </c>
      <c r="H441" s="21">
        <v>20250</v>
      </c>
      <c r="I441" s="22">
        <v>0.001234567901234568</v>
      </c>
      <c r="J441" s="24"/>
      <c r="K441" s="4" t="s">
        <v>95</v>
      </c>
      <c r="L441" s="22">
        <v>25</v>
      </c>
      <c r="M441" s="4"/>
      <c r="N441" s="4" t="s">
        <v>1475</v>
      </c>
    </row>
    <row r="442" spans="1:14">
      <c r="A442" s="4" t="s">
        <v>2237</v>
      </c>
      <c r="B442" s="4" t="s">
        <v>2238</v>
      </c>
      <c r="C442" s="4" t="s">
        <v>81</v>
      </c>
      <c r="D442" s="4" t="s">
        <v>65</v>
      </c>
      <c r="E442" s="4" t="s">
        <v>2094</v>
      </c>
      <c r="F442" s="4" t="s">
        <v>1596</v>
      </c>
      <c r="G442" s="22">
        <v>46</v>
      </c>
      <c r="H442" s="24"/>
      <c r="I442" s="24"/>
      <c r="J442" s="24"/>
      <c r="K442" s="4" t="s">
        <v>95</v>
      </c>
      <c r="L442" s="24"/>
      <c r="M442" s="4"/>
      <c r="N442" s="4" t="s">
        <v>1479</v>
      </c>
    </row>
    <row r="443" spans="1:14">
      <c r="A443" s="4" t="s">
        <v>2239</v>
      </c>
      <c r="B443" s="4" t="s">
        <v>2240</v>
      </c>
      <c r="C443" s="4" t="s">
        <v>81</v>
      </c>
      <c r="D443" s="4" t="s">
        <v>65</v>
      </c>
      <c r="E443" s="4" t="s">
        <v>2094</v>
      </c>
      <c r="F443" s="4" t="s">
        <v>1596</v>
      </c>
      <c r="G443" s="22">
        <v>25</v>
      </c>
      <c r="H443" s="24"/>
      <c r="I443" s="24"/>
      <c r="J443" s="24"/>
      <c r="K443" s="4" t="s">
        <v>95</v>
      </c>
      <c r="L443" s="24"/>
      <c r="M443" s="4"/>
      <c r="N443" s="4" t="s">
        <v>2241</v>
      </c>
    </row>
    <row r="444" spans="1:14">
      <c r="A444" s="4" t="s">
        <v>2242</v>
      </c>
      <c r="B444" s="4" t="s">
        <v>2243</v>
      </c>
      <c r="C444" s="4" t="s">
        <v>115</v>
      </c>
      <c r="D444" s="4" t="s">
        <v>65</v>
      </c>
      <c r="E444" s="4" t="s">
        <v>2094</v>
      </c>
      <c r="F444" s="4" t="s">
        <v>1596</v>
      </c>
      <c r="G444" s="22">
        <v>23</v>
      </c>
      <c r="H444" s="21">
        <v>47826</v>
      </c>
      <c r="I444" s="22">
        <v>0.000480909965290846</v>
      </c>
      <c r="J444" s="24"/>
      <c r="K444" s="4" t="s">
        <v>95</v>
      </c>
      <c r="L444" s="22">
        <v>23</v>
      </c>
      <c r="M444" s="4"/>
      <c r="N444" s="4" t="s">
        <v>1711</v>
      </c>
    </row>
    <row r="445" spans="1:14">
      <c r="A445" s="4" t="s">
        <v>2244</v>
      </c>
      <c r="B445" s="4" t="s">
        <v>2079</v>
      </c>
      <c r="C445" s="4" t="s">
        <v>78</v>
      </c>
      <c r="D445" s="4" t="s">
        <v>70</v>
      </c>
      <c r="E445" s="4" t="s">
        <v>2094</v>
      </c>
      <c r="F445" s="4" t="s">
        <v>1596</v>
      </c>
      <c r="G445" s="22">
        <v>23</v>
      </c>
      <c r="H445" s="21">
        <v>9538</v>
      </c>
      <c r="I445" s="22">
        <v>0.002411407003564688</v>
      </c>
      <c r="J445" s="24"/>
      <c r="K445" s="4" t="s">
        <v>95</v>
      </c>
      <c r="L445" s="22">
        <v>23</v>
      </c>
      <c r="M445" s="4"/>
      <c r="N445" s="4" t="s">
        <v>1473</v>
      </c>
    </row>
    <row r="446" spans="1:14">
      <c r="A446" s="4" t="s">
        <v>2245</v>
      </c>
      <c r="B446" s="4" t="s">
        <v>2246</v>
      </c>
      <c r="C446" s="4" t="s">
        <v>79</v>
      </c>
      <c r="D446" s="4" t="s">
        <v>65</v>
      </c>
      <c r="E446" s="4" t="s">
        <v>2094</v>
      </c>
      <c r="F446" s="4" t="s">
        <v>1596</v>
      </c>
      <c r="G446" s="22">
        <v>20</v>
      </c>
      <c r="H446" s="21">
        <v>33050</v>
      </c>
      <c r="I446" s="22">
        <v>0.000605143721633888</v>
      </c>
      <c r="J446" s="24"/>
      <c r="K446" s="4" t="s">
        <v>95</v>
      </c>
      <c r="L446" s="22">
        <v>20</v>
      </c>
      <c r="M446" s="4"/>
      <c r="N446" s="4" t="s">
        <v>1467</v>
      </c>
    </row>
    <row r="447" spans="1:14">
      <c r="A447" s="4" t="s">
        <v>2247</v>
      </c>
      <c r="B447" s="4" t="s">
        <v>2248</v>
      </c>
      <c r="C447" s="4" t="s">
        <v>78</v>
      </c>
      <c r="D447" s="4" t="s">
        <v>65</v>
      </c>
      <c r="E447" s="4" t="s">
        <v>2094</v>
      </c>
      <c r="F447" s="4" t="s">
        <v>1596</v>
      </c>
      <c r="G447" s="22">
        <v>20</v>
      </c>
      <c r="H447" s="21">
        <v>10125</v>
      </c>
      <c r="I447" s="22">
        <v>0.001975308641975309</v>
      </c>
      <c r="J447" s="24"/>
      <c r="K447" s="4" t="s">
        <v>95</v>
      </c>
      <c r="L447" s="22">
        <v>20</v>
      </c>
      <c r="M447" s="4"/>
      <c r="N447" s="4" t="s">
        <v>1483</v>
      </c>
    </row>
    <row r="448" spans="1:14">
      <c r="A448" s="4" t="s">
        <v>2249</v>
      </c>
      <c r="B448" s="4" t="s">
        <v>2250</v>
      </c>
      <c r="C448" s="4" t="s">
        <v>118</v>
      </c>
      <c r="D448" s="4" t="s">
        <v>67</v>
      </c>
      <c r="E448" s="4" t="s">
        <v>2094</v>
      </c>
      <c r="F448" s="4" t="s">
        <v>1596</v>
      </c>
      <c r="G448" s="22">
        <v>18</v>
      </c>
      <c r="H448" s="21">
        <v>13688</v>
      </c>
      <c r="I448" s="22">
        <v>0.001315020455873758</v>
      </c>
      <c r="J448" s="24"/>
      <c r="K448" s="4" t="s">
        <v>95</v>
      </c>
      <c r="L448" s="22">
        <v>18</v>
      </c>
      <c r="M448" s="4"/>
      <c r="N448" s="4" t="s">
        <v>1668</v>
      </c>
    </row>
    <row r="449" spans="1:14">
      <c r="A449" s="4" t="s">
        <v>2251</v>
      </c>
      <c r="B449" s="4" t="s">
        <v>2252</v>
      </c>
      <c r="C449" s="4" t="s">
        <v>115</v>
      </c>
      <c r="D449" s="4" t="s">
        <v>65</v>
      </c>
      <c r="E449" s="4" t="s">
        <v>2094</v>
      </c>
      <c r="F449" s="4" t="s">
        <v>1596</v>
      </c>
      <c r="G449" s="22">
        <v>17</v>
      </c>
      <c r="H449" s="21">
        <v>47826</v>
      </c>
      <c r="I449" s="22">
        <v>0.0003554551917367122</v>
      </c>
      <c r="J449" s="24"/>
      <c r="K449" s="4" t="s">
        <v>95</v>
      </c>
      <c r="L449" s="22">
        <v>17</v>
      </c>
      <c r="M449" s="4"/>
      <c r="N449" s="4" t="s">
        <v>1711</v>
      </c>
    </row>
    <row r="450" spans="1:14">
      <c r="A450" s="4" t="s">
        <v>2253</v>
      </c>
      <c r="B450" s="4" t="s">
        <v>2254</v>
      </c>
      <c r="C450" s="4" t="s">
        <v>78</v>
      </c>
      <c r="D450" s="4" t="s">
        <v>68</v>
      </c>
      <c r="E450" s="4" t="s">
        <v>2094</v>
      </c>
      <c r="F450" s="4" t="s">
        <v>1596</v>
      </c>
      <c r="G450" s="22">
        <v>16</v>
      </c>
      <c r="H450" s="21">
        <v>38454</v>
      </c>
      <c r="I450" s="22">
        <v>0.0004160815519841889</v>
      </c>
      <c r="J450" s="24"/>
      <c r="K450" s="4" t="s">
        <v>95</v>
      </c>
      <c r="L450" s="22">
        <v>16</v>
      </c>
      <c r="M450" s="4"/>
      <c r="N450" s="4" t="s">
        <v>1467</v>
      </c>
    </row>
    <row r="451" spans="1:14">
      <c r="A451" s="4" t="s">
        <v>2255</v>
      </c>
      <c r="B451" s="4" t="s">
        <v>2256</v>
      </c>
      <c r="C451" s="4" t="s">
        <v>115</v>
      </c>
      <c r="D451" s="4" t="s">
        <v>65</v>
      </c>
      <c r="E451" s="4" t="s">
        <v>2094</v>
      </c>
      <c r="F451" s="4" t="s">
        <v>1596</v>
      </c>
      <c r="G451" s="22">
        <v>15</v>
      </c>
      <c r="H451" s="21">
        <v>47826</v>
      </c>
      <c r="I451" s="22">
        <v>0.0003136369338853344</v>
      </c>
      <c r="J451" s="24"/>
      <c r="K451" s="4" t="s">
        <v>95</v>
      </c>
      <c r="L451" s="22">
        <v>15</v>
      </c>
      <c r="M451" s="4"/>
      <c r="N451" s="4" t="s">
        <v>1711</v>
      </c>
    </row>
    <row r="452" spans="1:14">
      <c r="A452" s="4" t="s">
        <v>2257</v>
      </c>
      <c r="B452" s="4" t="s">
        <v>2258</v>
      </c>
      <c r="C452" s="4" t="s">
        <v>115</v>
      </c>
      <c r="D452" s="4" t="s">
        <v>67</v>
      </c>
      <c r="E452" s="4" t="s">
        <v>2094</v>
      </c>
      <c r="F452" s="4" t="s">
        <v>1596</v>
      </c>
      <c r="G452" s="22">
        <v>2</v>
      </c>
      <c r="H452" s="21">
        <v>9500</v>
      </c>
      <c r="I452" s="22">
        <v>0.0002105263157894737</v>
      </c>
      <c r="J452" s="24"/>
      <c r="K452" s="4" t="s">
        <v>95</v>
      </c>
      <c r="L452" s="24"/>
      <c r="M452" s="4"/>
      <c r="N452" s="4" t="s">
        <v>1711</v>
      </c>
    </row>
    <row r="453" spans="1:14">
      <c r="A453" s="4" t="s">
        <v>2259</v>
      </c>
      <c r="B453" s="4" t="s">
        <v>1067</v>
      </c>
      <c r="C453" s="4" t="s">
        <v>108</v>
      </c>
      <c r="D453" s="4" t="s">
        <v>69</v>
      </c>
      <c r="E453" s="4" t="s">
        <v>259</v>
      </c>
      <c r="F453" s="4" t="s">
        <v>1456</v>
      </c>
      <c r="G453" s="22">
        <v>21000000</v>
      </c>
      <c r="H453" s="21">
        <v>37685</v>
      </c>
      <c r="I453" s="22">
        <v>557.2508955817965</v>
      </c>
      <c r="J453" s="21">
        <v>1969</v>
      </c>
      <c r="K453" s="4" t="s">
        <v>98</v>
      </c>
      <c r="L453" s="24"/>
      <c r="M453" s="4"/>
      <c r="N453" s="4" t="s">
        <v>1475</v>
      </c>
    </row>
    <row r="454" spans="1:14">
      <c r="A454" s="4" t="s">
        <v>2260</v>
      </c>
      <c r="B454" s="4" t="s">
        <v>1057</v>
      </c>
      <c r="C454" s="4" t="s">
        <v>107</v>
      </c>
      <c r="D454" s="4" t="s">
        <v>71</v>
      </c>
      <c r="E454" s="4" t="s">
        <v>259</v>
      </c>
      <c r="F454" s="4" t="s">
        <v>1456</v>
      </c>
      <c r="G454" s="22">
        <v>14999000</v>
      </c>
      <c r="H454" s="21">
        <v>13483</v>
      </c>
      <c r="I454" s="22">
        <v>1112.437884743751</v>
      </c>
      <c r="J454" s="21">
        <v>1951</v>
      </c>
      <c r="K454" s="4" t="s">
        <v>98</v>
      </c>
      <c r="L454" s="24"/>
      <c r="M454" s="4"/>
      <c r="N454" s="4" t="s">
        <v>2261</v>
      </c>
    </row>
    <row r="455" spans="1:14">
      <c r="A455" s="4" t="s">
        <v>2262</v>
      </c>
      <c r="B455" s="4" t="s">
        <v>1066</v>
      </c>
      <c r="C455" s="4" t="s">
        <v>528</v>
      </c>
      <c r="D455" s="4" t="s">
        <v>69</v>
      </c>
      <c r="E455" s="4" t="s">
        <v>259</v>
      </c>
      <c r="F455" s="4" t="s">
        <v>1456</v>
      </c>
      <c r="G455" s="22">
        <v>12500000</v>
      </c>
      <c r="H455" s="21">
        <v>15535</v>
      </c>
      <c r="I455" s="22">
        <v>804.634695848085</v>
      </c>
      <c r="J455" s="21">
        <v>1974</v>
      </c>
      <c r="K455" s="4" t="s">
        <v>98</v>
      </c>
      <c r="L455" s="24"/>
      <c r="M455" s="4"/>
      <c r="N455" s="4" t="s">
        <v>1571</v>
      </c>
    </row>
    <row r="456" spans="1:14">
      <c r="A456" s="4" t="s">
        <v>2263</v>
      </c>
      <c r="B456" s="4" t="s">
        <v>1055</v>
      </c>
      <c r="C456" s="4" t="s">
        <v>107</v>
      </c>
      <c r="D456" s="4" t="s">
        <v>71</v>
      </c>
      <c r="E456" s="4" t="s">
        <v>259</v>
      </c>
      <c r="F456" s="4" t="s">
        <v>1456</v>
      </c>
      <c r="G456" s="22">
        <v>12400000</v>
      </c>
      <c r="H456" s="21">
        <v>12500</v>
      </c>
      <c r="I456" s="22">
        <v>992</v>
      </c>
      <c r="J456" s="21">
        <v>1941</v>
      </c>
      <c r="K456" s="4" t="s">
        <v>98</v>
      </c>
      <c r="L456" s="24"/>
      <c r="M456" s="4"/>
      <c r="N456" s="24" t="s">
        <v>237</v>
      </c>
    </row>
    <row r="457" spans="1:14">
      <c r="A457" s="4" t="s">
        <v>2264</v>
      </c>
      <c r="B457" s="4" t="s">
        <v>1056</v>
      </c>
      <c r="C457" s="4" t="s">
        <v>107</v>
      </c>
      <c r="D457" s="4" t="s">
        <v>66</v>
      </c>
      <c r="E457" s="4" t="s">
        <v>259</v>
      </c>
      <c r="F457" s="4" t="s">
        <v>1456</v>
      </c>
      <c r="G457" s="22">
        <v>10795000</v>
      </c>
      <c r="H457" s="21">
        <v>21315</v>
      </c>
      <c r="I457" s="22">
        <v>506.4508562045508</v>
      </c>
      <c r="J457" s="21">
        <v>2023</v>
      </c>
      <c r="K457" s="4" t="s">
        <v>98</v>
      </c>
      <c r="L457" s="24"/>
      <c r="M457" s="4"/>
      <c r="N457" s="4" t="s">
        <v>1473</v>
      </c>
    </row>
    <row r="458" spans="1:14">
      <c r="A458" s="4" t="s">
        <v>2265</v>
      </c>
      <c r="B458" s="4" t="s">
        <v>1065</v>
      </c>
      <c r="C458" s="4" t="s">
        <v>59</v>
      </c>
      <c r="D458" s="4" t="s">
        <v>70</v>
      </c>
      <c r="E458" s="4" t="s">
        <v>259</v>
      </c>
      <c r="F458" s="4" t="s">
        <v>1456</v>
      </c>
      <c r="G458" s="22">
        <v>7995000</v>
      </c>
      <c r="H458" s="21">
        <v>12433</v>
      </c>
      <c r="I458" s="22">
        <v>643.0467304753479</v>
      </c>
      <c r="J458" s="21">
        <v>2018</v>
      </c>
      <c r="K458" s="4" t="s">
        <v>97</v>
      </c>
      <c r="L458" s="24"/>
      <c r="M458" s="4" t="s">
        <v>1542</v>
      </c>
      <c r="N458" s="4" t="s">
        <v>1580</v>
      </c>
    </row>
    <row r="459" spans="1:14">
      <c r="A459" s="4" t="s">
        <v>2266</v>
      </c>
      <c r="B459" s="4" t="s">
        <v>258</v>
      </c>
      <c r="C459" s="4" t="s">
        <v>116</v>
      </c>
      <c r="D459" s="4" t="s">
        <v>70</v>
      </c>
      <c r="E459" s="4" t="s">
        <v>259</v>
      </c>
      <c r="F459" s="4" t="s">
        <v>1456</v>
      </c>
      <c r="G459" s="22">
        <v>7000000</v>
      </c>
      <c r="H459" s="21">
        <v>16875</v>
      </c>
      <c r="I459" s="22">
        <v>414.8148148148148</v>
      </c>
      <c r="J459" s="21">
        <v>1968</v>
      </c>
      <c r="K459" s="4" t="s">
        <v>97</v>
      </c>
      <c r="L459" s="24"/>
      <c r="M459" s="4"/>
      <c r="N459" s="4" t="s">
        <v>1467</v>
      </c>
    </row>
    <row r="460" spans="1:14">
      <c r="A460" s="4" t="s">
        <v>2267</v>
      </c>
      <c r="B460" s="4" t="s">
        <v>258</v>
      </c>
      <c r="C460" s="4" t="s">
        <v>76</v>
      </c>
      <c r="D460" s="4" t="s">
        <v>70</v>
      </c>
      <c r="E460" s="4" t="s">
        <v>259</v>
      </c>
      <c r="F460" s="4" t="s">
        <v>1456</v>
      </c>
      <c r="G460" s="22">
        <v>7000000</v>
      </c>
      <c r="H460" s="21">
        <v>16875</v>
      </c>
      <c r="I460" s="22">
        <v>414.8148148148148</v>
      </c>
      <c r="J460" s="21">
        <v>1968</v>
      </c>
      <c r="K460" s="4" t="s">
        <v>97</v>
      </c>
      <c r="L460" s="24"/>
      <c r="M460" s="4"/>
      <c r="N460" s="4" t="s">
        <v>1467</v>
      </c>
    </row>
    <row r="461" spans="1:14">
      <c r="A461" s="4" t="s">
        <v>2268</v>
      </c>
      <c r="B461" s="4" t="s">
        <v>1046</v>
      </c>
      <c r="C461" s="4" t="s">
        <v>119</v>
      </c>
      <c r="D461" s="4" t="s">
        <v>67</v>
      </c>
      <c r="E461" s="4" t="s">
        <v>259</v>
      </c>
      <c r="F461" s="4" t="s">
        <v>1456</v>
      </c>
      <c r="G461" s="22">
        <v>5500000</v>
      </c>
      <c r="H461" s="21">
        <v>11800</v>
      </c>
      <c r="I461" s="22">
        <v>466.1016949152543</v>
      </c>
      <c r="J461" s="21">
        <v>2009</v>
      </c>
      <c r="K461" s="4" t="s">
        <v>97</v>
      </c>
      <c r="L461" s="24"/>
      <c r="M461" s="4"/>
      <c r="N461" s="4" t="s">
        <v>1580</v>
      </c>
    </row>
    <row r="462" spans="1:14">
      <c r="A462" s="4" t="s">
        <v>2269</v>
      </c>
      <c r="B462" s="4" t="s">
        <v>2270</v>
      </c>
      <c r="C462" s="4" t="s">
        <v>112</v>
      </c>
      <c r="D462" s="4" t="s">
        <v>65</v>
      </c>
      <c r="E462" s="4" t="s">
        <v>259</v>
      </c>
      <c r="F462" s="4" t="s">
        <v>1456</v>
      </c>
      <c r="G462" s="22">
        <v>4495000</v>
      </c>
      <c r="H462" s="24"/>
      <c r="I462" s="24"/>
      <c r="J462" s="21">
        <v>1993</v>
      </c>
      <c r="K462" s="4" t="s">
        <v>96</v>
      </c>
      <c r="L462" s="24"/>
      <c r="M462" s="4"/>
      <c r="N462" s="24" t="s">
        <v>237</v>
      </c>
    </row>
    <row r="463" spans="1:14">
      <c r="A463" s="4" t="s">
        <v>2271</v>
      </c>
      <c r="B463" s="4" t="s">
        <v>319</v>
      </c>
      <c r="C463" s="4" t="s">
        <v>78</v>
      </c>
      <c r="D463" s="4" t="s">
        <v>65</v>
      </c>
      <c r="E463" s="4" t="s">
        <v>259</v>
      </c>
      <c r="F463" s="4" t="s">
        <v>1456</v>
      </c>
      <c r="G463" s="22">
        <v>4250000</v>
      </c>
      <c r="H463" s="21">
        <v>11156</v>
      </c>
      <c r="I463" s="22">
        <v>380.9609178917175</v>
      </c>
      <c r="J463" s="21">
        <v>1964</v>
      </c>
      <c r="K463" s="4" t="s">
        <v>96</v>
      </c>
      <c r="L463" s="24"/>
      <c r="M463" s="4"/>
      <c r="N463" s="4" t="s">
        <v>1462</v>
      </c>
    </row>
    <row r="464" spans="1:14">
      <c r="A464" s="4" t="s">
        <v>2272</v>
      </c>
      <c r="B464" s="4" t="s">
        <v>2273</v>
      </c>
      <c r="C464" s="4" t="s">
        <v>81</v>
      </c>
      <c r="D464" s="4" t="s">
        <v>65</v>
      </c>
      <c r="E464" s="4" t="s">
        <v>259</v>
      </c>
      <c r="F464" s="4" t="s">
        <v>1456</v>
      </c>
      <c r="G464" s="22">
        <v>3800000</v>
      </c>
      <c r="H464" s="24"/>
      <c r="I464" s="24"/>
      <c r="J464" s="24"/>
      <c r="K464" s="4" t="s">
        <v>96</v>
      </c>
      <c r="L464" s="24"/>
      <c r="M464" s="4"/>
      <c r="N464" s="24" t="s">
        <v>237</v>
      </c>
    </row>
    <row r="465" spans="1:14">
      <c r="A465" s="4" t="s">
        <v>2274</v>
      </c>
      <c r="B465" s="4" t="s">
        <v>355</v>
      </c>
      <c r="C465" s="4" t="s">
        <v>76</v>
      </c>
      <c r="D465" s="4" t="s">
        <v>70</v>
      </c>
      <c r="E465" s="4" t="s">
        <v>259</v>
      </c>
      <c r="F465" s="4" t="s">
        <v>1456</v>
      </c>
      <c r="G465" s="22">
        <v>3495000</v>
      </c>
      <c r="H465" s="21">
        <v>12150</v>
      </c>
      <c r="I465" s="22">
        <v>287.6543209876543</v>
      </c>
      <c r="J465" s="21">
        <v>2011</v>
      </c>
      <c r="K465" s="4" t="s">
        <v>96</v>
      </c>
      <c r="L465" s="24"/>
      <c r="M465" s="4"/>
      <c r="N465" s="4" t="s">
        <v>1467</v>
      </c>
    </row>
    <row r="466" spans="1:14">
      <c r="A466" s="4" t="s">
        <v>2275</v>
      </c>
      <c r="B466" s="4" t="s">
        <v>390</v>
      </c>
      <c r="C466" s="4" t="s">
        <v>110</v>
      </c>
      <c r="D466" s="4" t="s">
        <v>65</v>
      </c>
      <c r="E466" s="4" t="s">
        <v>259</v>
      </c>
      <c r="F466" s="4" t="s">
        <v>1456</v>
      </c>
      <c r="G466" s="22">
        <v>3250000</v>
      </c>
      <c r="H466" s="21">
        <v>7500</v>
      </c>
      <c r="I466" s="22">
        <v>433.3333333333333</v>
      </c>
      <c r="J466" s="21">
        <v>1960</v>
      </c>
      <c r="K466" s="4" t="s">
        <v>96</v>
      </c>
      <c r="L466" s="24"/>
      <c r="M466" s="4"/>
      <c r="N466" s="4" t="s">
        <v>1550</v>
      </c>
    </row>
    <row r="467" spans="1:14">
      <c r="A467" s="4" t="s">
        <v>2276</v>
      </c>
      <c r="B467" s="4" t="s">
        <v>394</v>
      </c>
      <c r="C467" s="4" t="s">
        <v>79</v>
      </c>
      <c r="D467" s="4" t="s">
        <v>70</v>
      </c>
      <c r="E467" s="4" t="s">
        <v>259</v>
      </c>
      <c r="F467" s="4" t="s">
        <v>1456</v>
      </c>
      <c r="G467" s="22">
        <v>3200000</v>
      </c>
      <c r="H467" s="21">
        <v>32741</v>
      </c>
      <c r="I467" s="22">
        <v>97.73678262728689</v>
      </c>
      <c r="J467" s="21">
        <v>1961</v>
      </c>
      <c r="K467" s="4" t="s">
        <v>96</v>
      </c>
      <c r="L467" s="24"/>
      <c r="M467" s="4"/>
      <c r="N467" s="4" t="s">
        <v>1459</v>
      </c>
    </row>
    <row r="468" spans="1:14">
      <c r="A468" s="4" t="s">
        <v>2277</v>
      </c>
      <c r="B468" s="4" t="s">
        <v>2273</v>
      </c>
      <c r="C468" s="4" t="s">
        <v>81</v>
      </c>
      <c r="D468" s="4" t="s">
        <v>65</v>
      </c>
      <c r="E468" s="4" t="s">
        <v>259</v>
      </c>
      <c r="F468" s="4" t="s">
        <v>1456</v>
      </c>
      <c r="G468" s="22">
        <v>3000000</v>
      </c>
      <c r="H468" s="24"/>
      <c r="I468" s="24"/>
      <c r="J468" s="24"/>
      <c r="K468" s="4" t="s">
        <v>96</v>
      </c>
      <c r="L468" s="24"/>
      <c r="M468" s="4"/>
      <c r="N468" s="24" t="s">
        <v>237</v>
      </c>
    </row>
    <row r="469" spans="1:14">
      <c r="A469" s="4" t="s">
        <v>2278</v>
      </c>
      <c r="B469" s="4" t="s">
        <v>402</v>
      </c>
      <c r="C469" s="4" t="s">
        <v>82</v>
      </c>
      <c r="D469" s="4" t="s">
        <v>66</v>
      </c>
      <c r="E469" s="4" t="s">
        <v>259</v>
      </c>
      <c r="F469" s="4" t="s">
        <v>1456</v>
      </c>
      <c r="G469" s="22">
        <v>2999990</v>
      </c>
      <c r="H469" s="21">
        <v>17500</v>
      </c>
      <c r="I469" s="22">
        <v>171.428</v>
      </c>
      <c r="J469" s="21">
        <v>1928</v>
      </c>
      <c r="K469" s="4" t="s">
        <v>96</v>
      </c>
      <c r="L469" s="24"/>
      <c r="M469" s="4"/>
      <c r="N469" s="4" t="s">
        <v>1517</v>
      </c>
    </row>
    <row r="470" spans="1:14">
      <c r="A470" s="4" t="s">
        <v>2279</v>
      </c>
      <c r="B470" s="4" t="s">
        <v>406</v>
      </c>
      <c r="C470" s="4" t="s">
        <v>82</v>
      </c>
      <c r="D470" s="4" t="s">
        <v>67</v>
      </c>
      <c r="E470" s="4" t="s">
        <v>259</v>
      </c>
      <c r="F470" s="4" t="s">
        <v>1456</v>
      </c>
      <c r="G470" s="22">
        <v>2975000</v>
      </c>
      <c r="H470" s="21">
        <v>13951</v>
      </c>
      <c r="I470" s="22">
        <v>213.2463622679378</v>
      </c>
      <c r="J470" s="21">
        <v>1957</v>
      </c>
      <c r="K470" s="4" t="s">
        <v>96</v>
      </c>
      <c r="L470" s="24"/>
      <c r="M470" s="4"/>
      <c r="N470" s="4" t="s">
        <v>1469</v>
      </c>
    </row>
    <row r="471" spans="1:14">
      <c r="A471" s="4" t="s">
        <v>2280</v>
      </c>
      <c r="B471" s="4" t="s">
        <v>2233</v>
      </c>
      <c r="C471" s="4" t="s">
        <v>79</v>
      </c>
      <c r="D471" s="4" t="s">
        <v>74</v>
      </c>
      <c r="E471" s="4" t="s">
        <v>259</v>
      </c>
      <c r="F471" s="4" t="s">
        <v>1456</v>
      </c>
      <c r="G471" s="22">
        <v>2825000</v>
      </c>
      <c r="H471" s="24"/>
      <c r="I471" s="24"/>
      <c r="J471" s="21">
        <v>1965</v>
      </c>
      <c r="K471" s="4" t="s">
        <v>96</v>
      </c>
      <c r="L471" s="24"/>
      <c r="M471" s="4" t="s">
        <v>1542</v>
      </c>
      <c r="N471" s="4" t="s">
        <v>1471</v>
      </c>
    </row>
    <row r="472" spans="1:14">
      <c r="A472" s="4" t="s">
        <v>2281</v>
      </c>
      <c r="B472" s="4" t="s">
        <v>424</v>
      </c>
      <c r="C472" s="4" t="s">
        <v>111</v>
      </c>
      <c r="D472" s="4" t="s">
        <v>66</v>
      </c>
      <c r="E472" s="4" t="s">
        <v>259</v>
      </c>
      <c r="F472" s="4" t="s">
        <v>1456</v>
      </c>
      <c r="G472" s="22">
        <v>2750000</v>
      </c>
      <c r="H472" s="21">
        <v>6250</v>
      </c>
      <c r="I472" s="22">
        <v>440</v>
      </c>
      <c r="J472" s="21">
        <v>1952</v>
      </c>
      <c r="K472" s="4" t="s">
        <v>96</v>
      </c>
      <c r="L472" s="24"/>
      <c r="M472" s="4" t="s">
        <v>1542</v>
      </c>
      <c r="N472" s="4" t="s">
        <v>1473</v>
      </c>
    </row>
    <row r="473" spans="1:14">
      <c r="A473" s="4" t="s">
        <v>2282</v>
      </c>
      <c r="B473" s="4" t="s">
        <v>452</v>
      </c>
      <c r="C473" s="4" t="s">
        <v>78</v>
      </c>
      <c r="D473" s="4" t="s">
        <v>65</v>
      </c>
      <c r="E473" s="4" t="s">
        <v>259</v>
      </c>
      <c r="F473" s="4" t="s">
        <v>1456</v>
      </c>
      <c r="G473" s="22">
        <v>2500000</v>
      </c>
      <c r="H473" s="21">
        <v>3130</v>
      </c>
      <c r="I473" s="22">
        <v>798.7220447284345</v>
      </c>
      <c r="J473" s="21">
        <v>1959</v>
      </c>
      <c r="K473" s="4" t="s">
        <v>96</v>
      </c>
      <c r="L473" s="24"/>
      <c r="M473" s="4"/>
      <c r="N473" s="4" t="s">
        <v>1467</v>
      </c>
    </row>
    <row r="474" spans="1:14">
      <c r="A474" s="4" t="s">
        <v>2283</v>
      </c>
      <c r="B474" s="4" t="s">
        <v>464</v>
      </c>
      <c r="C474" s="4" t="s">
        <v>120</v>
      </c>
      <c r="D474" s="4" t="s">
        <v>72</v>
      </c>
      <c r="E474" s="4" t="s">
        <v>259</v>
      </c>
      <c r="F474" s="4" t="s">
        <v>1456</v>
      </c>
      <c r="G474" s="22">
        <v>2499999</v>
      </c>
      <c r="H474" s="21">
        <v>6375</v>
      </c>
      <c r="I474" s="22">
        <v>392.1567058823529</v>
      </c>
      <c r="J474" s="21">
        <v>1975</v>
      </c>
      <c r="K474" s="4" t="s">
        <v>94</v>
      </c>
      <c r="L474" s="24"/>
      <c r="M474" s="4"/>
      <c r="N474" s="4" t="s">
        <v>1510</v>
      </c>
    </row>
    <row r="475" spans="1:14">
      <c r="A475" s="4" t="s">
        <v>2284</v>
      </c>
      <c r="B475" s="4" t="s">
        <v>468</v>
      </c>
      <c r="C475" s="4" t="s">
        <v>469</v>
      </c>
      <c r="D475" s="4" t="s">
        <v>65</v>
      </c>
      <c r="E475" s="4" t="s">
        <v>259</v>
      </c>
      <c r="F475" s="4" t="s">
        <v>1456</v>
      </c>
      <c r="G475" s="22">
        <v>2499000</v>
      </c>
      <c r="H475" s="21">
        <v>11950</v>
      </c>
      <c r="I475" s="22">
        <v>209.1213389121339</v>
      </c>
      <c r="J475" s="24"/>
      <c r="K475" s="4" t="s">
        <v>94</v>
      </c>
      <c r="L475" s="24"/>
      <c r="M475" s="4"/>
      <c r="N475" s="4" t="s">
        <v>2285</v>
      </c>
    </row>
    <row r="476" spans="1:14">
      <c r="A476" s="4" t="s">
        <v>2286</v>
      </c>
      <c r="B476" s="4" t="s">
        <v>1052</v>
      </c>
      <c r="C476" s="4" t="s">
        <v>111</v>
      </c>
      <c r="D476" s="4" t="s">
        <v>70</v>
      </c>
      <c r="E476" s="4" t="s">
        <v>259</v>
      </c>
      <c r="F476" s="4" t="s">
        <v>1456</v>
      </c>
      <c r="G476" s="22">
        <v>2200000</v>
      </c>
      <c r="H476" s="21">
        <v>1849</v>
      </c>
      <c r="I476" s="22">
        <v>1189.832341806382</v>
      </c>
      <c r="J476" s="21">
        <v>1968</v>
      </c>
      <c r="K476" s="4" t="s">
        <v>94</v>
      </c>
      <c r="L476" s="24"/>
      <c r="M476" s="4"/>
      <c r="N476" s="4" t="s">
        <v>1750</v>
      </c>
    </row>
    <row r="477" spans="1:14">
      <c r="A477" s="4" t="s">
        <v>2287</v>
      </c>
      <c r="B477" s="4" t="s">
        <v>2240</v>
      </c>
      <c r="C477" s="4" t="s">
        <v>81</v>
      </c>
      <c r="D477" s="4" t="s">
        <v>65</v>
      </c>
      <c r="E477" s="4" t="s">
        <v>259</v>
      </c>
      <c r="F477" s="4" t="s">
        <v>1456</v>
      </c>
      <c r="G477" s="22">
        <v>2000000</v>
      </c>
      <c r="H477" s="24"/>
      <c r="I477" s="24"/>
      <c r="J477" s="21">
        <v>1986</v>
      </c>
      <c r="K477" s="4" t="s">
        <v>94</v>
      </c>
      <c r="L477" s="24"/>
      <c r="M477" s="4"/>
      <c r="N477" s="4" t="s">
        <v>2241</v>
      </c>
    </row>
    <row r="478" spans="1:14">
      <c r="A478" s="4" t="s">
        <v>2288</v>
      </c>
      <c r="B478" s="4" t="s">
        <v>2289</v>
      </c>
      <c r="C478" s="4" t="s">
        <v>79</v>
      </c>
      <c r="D478" s="4" t="s">
        <v>66</v>
      </c>
      <c r="E478" s="4" t="s">
        <v>259</v>
      </c>
      <c r="F478" s="4" t="s">
        <v>1456</v>
      </c>
      <c r="G478" s="22">
        <v>1980000</v>
      </c>
      <c r="H478" s="24"/>
      <c r="I478" s="24"/>
      <c r="J478" s="24"/>
      <c r="K478" s="4" t="s">
        <v>94</v>
      </c>
      <c r="L478" s="24"/>
      <c r="M478" s="4"/>
      <c r="N478" s="4" t="s">
        <v>2290</v>
      </c>
    </row>
    <row r="479" spans="1:14">
      <c r="A479" s="4" t="s">
        <v>2291</v>
      </c>
      <c r="B479" s="4" t="s">
        <v>540</v>
      </c>
      <c r="C479" s="4" t="s">
        <v>113</v>
      </c>
      <c r="D479" s="4" t="s">
        <v>66</v>
      </c>
      <c r="E479" s="4" t="s">
        <v>259</v>
      </c>
      <c r="F479" s="4" t="s">
        <v>1456</v>
      </c>
      <c r="G479" s="22">
        <v>1950000</v>
      </c>
      <c r="H479" s="21">
        <v>8518</v>
      </c>
      <c r="I479" s="22">
        <v>228.9269781638882</v>
      </c>
      <c r="J479" s="21">
        <v>1966</v>
      </c>
      <c r="K479" s="4" t="s">
        <v>94</v>
      </c>
      <c r="L479" s="24"/>
      <c r="M479" s="4"/>
      <c r="N479" s="4" t="s">
        <v>1517</v>
      </c>
    </row>
    <row r="480" spans="1:14">
      <c r="A480" s="4" t="s">
        <v>2292</v>
      </c>
      <c r="B480" s="4" t="s">
        <v>544</v>
      </c>
      <c r="C480" s="4" t="s">
        <v>114</v>
      </c>
      <c r="D480" s="4" t="s">
        <v>67</v>
      </c>
      <c r="E480" s="4" t="s">
        <v>259</v>
      </c>
      <c r="F480" s="4" t="s">
        <v>1456</v>
      </c>
      <c r="G480" s="22">
        <v>1950000</v>
      </c>
      <c r="H480" s="21">
        <v>16875</v>
      </c>
      <c r="I480" s="22">
        <v>115.5555555555556</v>
      </c>
      <c r="J480" s="24"/>
      <c r="K480" s="4" t="s">
        <v>94</v>
      </c>
      <c r="L480" s="24"/>
      <c r="M480" s="4"/>
      <c r="N480" s="4" t="s">
        <v>1711</v>
      </c>
    </row>
    <row r="481" spans="1:14">
      <c r="A481" s="4" t="s">
        <v>2293</v>
      </c>
      <c r="B481" s="4" t="s">
        <v>562</v>
      </c>
      <c r="C481" s="4" t="s">
        <v>79</v>
      </c>
      <c r="D481" s="4" t="s">
        <v>65</v>
      </c>
      <c r="E481" s="4" t="s">
        <v>259</v>
      </c>
      <c r="F481" s="4" t="s">
        <v>1456</v>
      </c>
      <c r="G481" s="22">
        <v>1890000</v>
      </c>
      <c r="H481" s="21">
        <v>5664</v>
      </c>
      <c r="I481" s="22">
        <v>333.6864406779661</v>
      </c>
      <c r="J481" s="21">
        <v>2011</v>
      </c>
      <c r="K481" s="4" t="s">
        <v>94</v>
      </c>
      <c r="L481" s="24"/>
      <c r="M481" s="4"/>
      <c r="N481" s="4" t="s">
        <v>1471</v>
      </c>
    </row>
    <row r="482" spans="1:14">
      <c r="A482" s="4" t="s">
        <v>2294</v>
      </c>
      <c r="B482" s="4" t="s">
        <v>574</v>
      </c>
      <c r="C482" s="4" t="s">
        <v>575</v>
      </c>
      <c r="D482" s="4" t="s">
        <v>66</v>
      </c>
      <c r="E482" s="4" t="s">
        <v>259</v>
      </c>
      <c r="F482" s="4" t="s">
        <v>1456</v>
      </c>
      <c r="G482" s="22">
        <v>1800000</v>
      </c>
      <c r="H482" s="21">
        <v>13402</v>
      </c>
      <c r="I482" s="22">
        <v>134.3083121922101</v>
      </c>
      <c r="J482" s="21">
        <v>1960</v>
      </c>
      <c r="K482" s="4" t="s">
        <v>94</v>
      </c>
      <c r="L482" s="24"/>
      <c r="M482" s="4"/>
      <c r="N482" s="4" t="s">
        <v>1510</v>
      </c>
    </row>
    <row r="483" spans="1:14">
      <c r="A483" s="4" t="s">
        <v>2295</v>
      </c>
      <c r="B483" s="4" t="s">
        <v>519</v>
      </c>
      <c r="C483" s="4" t="s">
        <v>81</v>
      </c>
      <c r="D483" s="4" t="s">
        <v>69</v>
      </c>
      <c r="E483" s="4" t="s">
        <v>259</v>
      </c>
      <c r="F483" s="4" t="s">
        <v>1456</v>
      </c>
      <c r="G483" s="22">
        <v>1740000</v>
      </c>
      <c r="H483" s="21">
        <v>4540</v>
      </c>
      <c r="I483" s="22">
        <v>383.2599118942731</v>
      </c>
      <c r="J483" s="21">
        <v>2005</v>
      </c>
      <c r="K483" s="4" t="s">
        <v>94</v>
      </c>
      <c r="L483" s="24"/>
      <c r="M483" s="4"/>
      <c r="N483" s="4" t="s">
        <v>1479</v>
      </c>
    </row>
    <row r="484" spans="1:14">
      <c r="A484" s="4" t="s">
        <v>2296</v>
      </c>
      <c r="B484" s="4" t="s">
        <v>503</v>
      </c>
      <c r="C484" s="4" t="s">
        <v>82</v>
      </c>
      <c r="D484" s="4" t="s">
        <v>66</v>
      </c>
      <c r="E484" s="4" t="s">
        <v>259</v>
      </c>
      <c r="F484" s="4" t="s">
        <v>1456</v>
      </c>
      <c r="G484" s="22">
        <v>1599900</v>
      </c>
      <c r="H484" s="21">
        <v>14000</v>
      </c>
      <c r="I484" s="22">
        <v>114.2785714285714</v>
      </c>
      <c r="J484" s="21">
        <v>1941</v>
      </c>
      <c r="K484" s="4" t="s">
        <v>94</v>
      </c>
      <c r="L484" s="24"/>
      <c r="M484" s="4"/>
      <c r="N484" s="4" t="s">
        <v>1517</v>
      </c>
    </row>
    <row r="485" spans="1:14">
      <c r="A485" s="4" t="s">
        <v>2297</v>
      </c>
      <c r="B485" s="4" t="s">
        <v>2240</v>
      </c>
      <c r="C485" s="4" t="s">
        <v>81</v>
      </c>
      <c r="D485" s="4" t="s">
        <v>65</v>
      </c>
      <c r="E485" s="4" t="s">
        <v>259</v>
      </c>
      <c r="F485" s="4" t="s">
        <v>1456</v>
      </c>
      <c r="G485" s="22">
        <v>1500000</v>
      </c>
      <c r="H485" s="24"/>
      <c r="I485" s="24"/>
      <c r="J485" s="21">
        <v>1986</v>
      </c>
      <c r="K485" s="4" t="s">
        <v>94</v>
      </c>
      <c r="L485" s="24"/>
      <c r="M485" s="4"/>
      <c r="N485" s="4" t="s">
        <v>2241</v>
      </c>
    </row>
    <row r="486" spans="1:14">
      <c r="A486" s="4" t="s">
        <v>2298</v>
      </c>
      <c r="B486" s="4" t="s">
        <v>2299</v>
      </c>
      <c r="C486" s="4" t="s">
        <v>110</v>
      </c>
      <c r="D486" s="4" t="s">
        <v>66</v>
      </c>
      <c r="E486" s="4" t="s">
        <v>259</v>
      </c>
      <c r="F486" s="4" t="s">
        <v>1456</v>
      </c>
      <c r="G486" s="22">
        <v>1495000</v>
      </c>
      <c r="H486" s="24"/>
      <c r="I486" s="24"/>
      <c r="J486" s="21">
        <v>1962</v>
      </c>
      <c r="K486" s="4" t="s">
        <v>94</v>
      </c>
      <c r="L486" s="24"/>
      <c r="M486" s="4"/>
      <c r="N486" s="4" t="s">
        <v>1473</v>
      </c>
    </row>
    <row r="487" spans="1:14">
      <c r="A487" s="4" t="s">
        <v>2300</v>
      </c>
      <c r="B487" s="4" t="s">
        <v>634</v>
      </c>
      <c r="C487" s="4" t="s">
        <v>76</v>
      </c>
      <c r="D487" s="4" t="s">
        <v>66</v>
      </c>
      <c r="E487" s="4" t="s">
        <v>259</v>
      </c>
      <c r="F487" s="4" t="s">
        <v>1456</v>
      </c>
      <c r="G487" s="22">
        <v>1490000</v>
      </c>
      <c r="H487" s="21">
        <v>6977</v>
      </c>
      <c r="I487" s="22">
        <v>213.5588361760069</v>
      </c>
      <c r="J487" s="21">
        <v>1958</v>
      </c>
      <c r="K487" s="4" t="s">
        <v>94</v>
      </c>
      <c r="L487" s="24"/>
      <c r="M487" s="4"/>
      <c r="N487" s="4" t="s">
        <v>1550</v>
      </c>
    </row>
    <row r="488" spans="1:14">
      <c r="A488" s="4" t="s">
        <v>2301</v>
      </c>
      <c r="B488" s="4" t="s">
        <v>642</v>
      </c>
      <c r="C488" s="4" t="s">
        <v>643</v>
      </c>
      <c r="D488" s="4" t="s">
        <v>66</v>
      </c>
      <c r="E488" s="4" t="s">
        <v>259</v>
      </c>
      <c r="F488" s="4" t="s">
        <v>1456</v>
      </c>
      <c r="G488" s="22">
        <v>1400000</v>
      </c>
      <c r="H488" s="21">
        <v>9167</v>
      </c>
      <c r="I488" s="22">
        <v>152.7217192102106</v>
      </c>
      <c r="J488" s="21">
        <v>1978</v>
      </c>
      <c r="K488" s="4" t="s">
        <v>94</v>
      </c>
      <c r="L488" s="24"/>
      <c r="M488" s="4"/>
      <c r="N488" s="4" t="s">
        <v>1517</v>
      </c>
    </row>
    <row r="489" spans="1:14">
      <c r="A489" s="4" t="s">
        <v>2302</v>
      </c>
      <c r="B489" s="4" t="s">
        <v>616</v>
      </c>
      <c r="C489" s="4" t="s">
        <v>83</v>
      </c>
      <c r="D489" s="4" t="s">
        <v>67</v>
      </c>
      <c r="E489" s="4" t="s">
        <v>259</v>
      </c>
      <c r="F489" s="4" t="s">
        <v>1456</v>
      </c>
      <c r="G489" s="22">
        <v>1400000</v>
      </c>
      <c r="H489" s="21">
        <v>16875</v>
      </c>
      <c r="I489" s="22">
        <v>82.96296296296296</v>
      </c>
      <c r="J489" s="21">
        <v>1969</v>
      </c>
      <c r="K489" s="4" t="s">
        <v>94</v>
      </c>
      <c r="L489" s="24"/>
      <c r="M489" s="4"/>
      <c r="N489" s="4" t="s">
        <v>1469</v>
      </c>
    </row>
    <row r="490" spans="1:14">
      <c r="A490" s="4" t="s">
        <v>2303</v>
      </c>
      <c r="B490" s="4" t="s">
        <v>1020</v>
      </c>
      <c r="C490" s="4" t="s">
        <v>1021</v>
      </c>
      <c r="D490" s="4" t="s">
        <v>67</v>
      </c>
      <c r="E490" s="4" t="s">
        <v>259</v>
      </c>
      <c r="F490" s="4" t="s">
        <v>1456</v>
      </c>
      <c r="G490" s="22">
        <v>1295000</v>
      </c>
      <c r="H490" s="21">
        <v>32374</v>
      </c>
      <c r="I490" s="22">
        <v>40.00123555939952</v>
      </c>
      <c r="J490" s="24"/>
      <c r="K490" s="4" t="s">
        <v>94</v>
      </c>
      <c r="L490" s="24"/>
      <c r="M490" s="4"/>
      <c r="N490" s="4" t="s">
        <v>1469</v>
      </c>
    </row>
    <row r="491" spans="1:14">
      <c r="A491" s="4" t="s">
        <v>2304</v>
      </c>
      <c r="B491" s="4" t="s">
        <v>2305</v>
      </c>
      <c r="C491" s="4" t="s">
        <v>79</v>
      </c>
      <c r="D491" s="4" t="s">
        <v>66</v>
      </c>
      <c r="E491" s="4" t="s">
        <v>259</v>
      </c>
      <c r="F491" s="4" t="s">
        <v>1456</v>
      </c>
      <c r="G491" s="22">
        <v>1285000</v>
      </c>
      <c r="H491" s="24"/>
      <c r="I491" s="24"/>
      <c r="J491" s="21">
        <v>1970</v>
      </c>
      <c r="K491" s="4" t="s">
        <v>94</v>
      </c>
      <c r="L491" s="24"/>
      <c r="M491" s="4" t="s">
        <v>1542</v>
      </c>
      <c r="N491" s="4" t="s">
        <v>1543</v>
      </c>
    </row>
    <row r="492" spans="1:14">
      <c r="A492" s="4" t="s">
        <v>2306</v>
      </c>
      <c r="B492" s="4" t="s">
        <v>689</v>
      </c>
      <c r="C492" s="4" t="s">
        <v>81</v>
      </c>
      <c r="D492" s="4" t="s">
        <v>69</v>
      </c>
      <c r="E492" s="4" t="s">
        <v>259</v>
      </c>
      <c r="F492" s="4" t="s">
        <v>1456</v>
      </c>
      <c r="G492" s="22">
        <v>1250000</v>
      </c>
      <c r="H492" s="21">
        <v>3300</v>
      </c>
      <c r="I492" s="22">
        <v>378.7878787878788</v>
      </c>
      <c r="J492" s="21">
        <v>1986</v>
      </c>
      <c r="K492" s="4" t="s">
        <v>94</v>
      </c>
      <c r="L492" s="24"/>
      <c r="M492" s="4"/>
      <c r="N492" s="4" t="s">
        <v>1479</v>
      </c>
    </row>
    <row r="493" spans="1:14">
      <c r="A493" s="4" t="s">
        <v>2307</v>
      </c>
      <c r="B493" s="4" t="s">
        <v>697</v>
      </c>
      <c r="C493" s="4" t="s">
        <v>79</v>
      </c>
      <c r="D493" s="4" t="s">
        <v>69</v>
      </c>
      <c r="E493" s="4" t="s">
        <v>259</v>
      </c>
      <c r="F493" s="4" t="s">
        <v>1456</v>
      </c>
      <c r="G493" s="22">
        <v>1200000</v>
      </c>
      <c r="H493" s="21">
        <v>8798</v>
      </c>
      <c r="I493" s="22">
        <v>136.394635144351</v>
      </c>
      <c r="J493" s="21">
        <v>1952</v>
      </c>
      <c r="K493" s="4" t="s">
        <v>94</v>
      </c>
      <c r="L493" s="24"/>
      <c r="M493" s="4"/>
      <c r="N493" s="4" t="s">
        <v>1471</v>
      </c>
    </row>
    <row r="494" spans="1:14">
      <c r="A494" s="4" t="s">
        <v>2308</v>
      </c>
      <c r="B494" s="4" t="s">
        <v>689</v>
      </c>
      <c r="C494" s="4" t="s">
        <v>110</v>
      </c>
      <c r="D494" s="4" t="s">
        <v>69</v>
      </c>
      <c r="E494" s="4" t="s">
        <v>259</v>
      </c>
      <c r="F494" s="4" t="s">
        <v>1456</v>
      </c>
      <c r="G494" s="22">
        <v>1150000</v>
      </c>
      <c r="H494" s="21">
        <v>58370</v>
      </c>
      <c r="I494" s="22">
        <v>19.70190166181257</v>
      </c>
      <c r="J494" s="21">
        <v>1986</v>
      </c>
      <c r="K494" s="4" t="s">
        <v>94</v>
      </c>
      <c r="L494" s="24"/>
      <c r="M494" s="4"/>
      <c r="N494" s="4" t="s">
        <v>1479</v>
      </c>
    </row>
    <row r="495" spans="1:14">
      <c r="A495" s="4" t="s">
        <v>2309</v>
      </c>
      <c r="B495" s="4" t="s">
        <v>2310</v>
      </c>
      <c r="C495" s="4" t="s">
        <v>81</v>
      </c>
      <c r="D495" s="4" t="s">
        <v>65</v>
      </c>
      <c r="E495" s="4" t="s">
        <v>259</v>
      </c>
      <c r="F495" s="4" t="s">
        <v>1456</v>
      </c>
      <c r="G495" s="22">
        <v>1075000</v>
      </c>
      <c r="H495" s="24"/>
      <c r="I495" s="24"/>
      <c r="J495" s="24"/>
      <c r="K495" s="4" t="s">
        <v>94</v>
      </c>
      <c r="L495" s="24"/>
      <c r="M495" s="4"/>
      <c r="N495" s="24" t="s">
        <v>237</v>
      </c>
    </row>
    <row r="496" spans="1:14">
      <c r="A496" s="4" t="s">
        <v>2311</v>
      </c>
      <c r="B496" s="4" t="s">
        <v>2310</v>
      </c>
      <c r="C496" s="4" t="s">
        <v>81</v>
      </c>
      <c r="D496" s="4" t="s">
        <v>65</v>
      </c>
      <c r="E496" s="4" t="s">
        <v>259</v>
      </c>
      <c r="F496" s="4" t="s">
        <v>1456</v>
      </c>
      <c r="G496" s="22">
        <v>1075000</v>
      </c>
      <c r="H496" s="24"/>
      <c r="I496" s="24"/>
      <c r="J496" s="24"/>
      <c r="K496" s="4" t="s">
        <v>94</v>
      </c>
      <c r="L496" s="24"/>
      <c r="M496" s="4"/>
      <c r="N496" s="24" t="s">
        <v>237</v>
      </c>
    </row>
    <row r="497" spans="1:14">
      <c r="A497" s="4" t="s">
        <v>2312</v>
      </c>
      <c r="B497" s="4" t="s">
        <v>753</v>
      </c>
      <c r="C497" s="4" t="s">
        <v>81</v>
      </c>
      <c r="D497" s="4" t="s">
        <v>69</v>
      </c>
      <c r="E497" s="4" t="s">
        <v>259</v>
      </c>
      <c r="F497" s="4" t="s">
        <v>1456</v>
      </c>
      <c r="G497" s="22">
        <v>1020000</v>
      </c>
      <c r="H497" s="21">
        <v>2400</v>
      </c>
      <c r="I497" s="22">
        <v>425</v>
      </c>
      <c r="J497" s="21">
        <v>1986</v>
      </c>
      <c r="K497" s="4" t="s">
        <v>94</v>
      </c>
      <c r="L497" s="24"/>
      <c r="M497" s="4"/>
      <c r="N497" s="4" t="s">
        <v>1479</v>
      </c>
    </row>
    <row r="498" spans="1:14">
      <c r="A498" s="4" t="s">
        <v>2313</v>
      </c>
      <c r="B498" s="4" t="s">
        <v>2314</v>
      </c>
      <c r="C498" s="4" t="s">
        <v>110</v>
      </c>
      <c r="D498" s="4" t="s">
        <v>66</v>
      </c>
      <c r="E498" s="4" t="s">
        <v>259</v>
      </c>
      <c r="F498" s="4" t="s">
        <v>1456</v>
      </c>
      <c r="G498" s="22">
        <v>1000000</v>
      </c>
      <c r="H498" s="24"/>
      <c r="I498" s="24"/>
      <c r="J498" s="24"/>
      <c r="K498" s="4" t="s">
        <v>94</v>
      </c>
      <c r="L498" s="24"/>
      <c r="M498" s="4"/>
      <c r="N498" s="24" t="s">
        <v>237</v>
      </c>
    </row>
    <row r="499" spans="1:14">
      <c r="A499" s="4" t="s">
        <v>2315</v>
      </c>
      <c r="B499" s="4" t="s">
        <v>753</v>
      </c>
      <c r="C499" s="4" t="s">
        <v>81</v>
      </c>
      <c r="D499" s="4" t="s">
        <v>69</v>
      </c>
      <c r="E499" s="4" t="s">
        <v>259</v>
      </c>
      <c r="F499" s="4" t="s">
        <v>1456</v>
      </c>
      <c r="G499" s="22">
        <v>1000000</v>
      </c>
      <c r="H499" s="21">
        <v>2400</v>
      </c>
      <c r="I499" s="22">
        <v>416.6666666666667</v>
      </c>
      <c r="J499" s="21">
        <v>1986</v>
      </c>
      <c r="K499" s="4" t="s">
        <v>94</v>
      </c>
      <c r="L499" s="24"/>
      <c r="M499" s="4"/>
      <c r="N499" s="4" t="s">
        <v>1479</v>
      </c>
    </row>
    <row r="500" spans="1:14">
      <c r="A500" s="4" t="s">
        <v>2316</v>
      </c>
      <c r="B500" s="4" t="s">
        <v>763</v>
      </c>
      <c r="C500" s="4" t="s">
        <v>764</v>
      </c>
      <c r="D500" s="4" t="s">
        <v>67</v>
      </c>
      <c r="E500" s="4" t="s">
        <v>259</v>
      </c>
      <c r="F500" s="4" t="s">
        <v>1456</v>
      </c>
      <c r="G500" s="22">
        <v>985000</v>
      </c>
      <c r="H500" s="21">
        <v>6750</v>
      </c>
      <c r="I500" s="22">
        <v>145.9259259259259</v>
      </c>
      <c r="J500" s="21">
        <v>1956</v>
      </c>
      <c r="K500" s="4" t="s">
        <v>95</v>
      </c>
      <c r="L500" s="24"/>
      <c r="M500" s="4"/>
      <c r="N500" s="4" t="s">
        <v>1483</v>
      </c>
    </row>
    <row r="501" spans="1:14">
      <c r="A501" s="4" t="s">
        <v>2317</v>
      </c>
      <c r="B501" s="4" t="s">
        <v>768</v>
      </c>
      <c r="C501" s="4" t="s">
        <v>80</v>
      </c>
      <c r="D501" s="4" t="s">
        <v>66</v>
      </c>
      <c r="E501" s="4" t="s">
        <v>259</v>
      </c>
      <c r="F501" s="4" t="s">
        <v>1456</v>
      </c>
      <c r="G501" s="22">
        <v>954000</v>
      </c>
      <c r="H501" s="21">
        <v>6375</v>
      </c>
      <c r="I501" s="22">
        <v>149.6470588235294</v>
      </c>
      <c r="J501" s="21">
        <v>1938</v>
      </c>
      <c r="K501" s="4" t="s">
        <v>95</v>
      </c>
      <c r="L501" s="24"/>
      <c r="M501" s="4"/>
      <c r="N501" s="4" t="s">
        <v>1462</v>
      </c>
    </row>
    <row r="502" spans="1:14">
      <c r="A502" s="4" t="s">
        <v>2318</v>
      </c>
      <c r="B502" s="4" t="s">
        <v>784</v>
      </c>
      <c r="C502" s="4" t="s">
        <v>81</v>
      </c>
      <c r="D502" s="4" t="s">
        <v>65</v>
      </c>
      <c r="E502" s="4" t="s">
        <v>259</v>
      </c>
      <c r="F502" s="4" t="s">
        <v>1456</v>
      </c>
      <c r="G502" s="22">
        <v>929000</v>
      </c>
      <c r="H502" s="21">
        <v>7000</v>
      </c>
      <c r="I502" s="22">
        <v>132.7142857142857</v>
      </c>
      <c r="J502" s="21">
        <v>1942</v>
      </c>
      <c r="K502" s="4" t="s">
        <v>95</v>
      </c>
      <c r="L502" s="24"/>
      <c r="M502" s="4"/>
      <c r="N502" s="4" t="s">
        <v>1550</v>
      </c>
    </row>
    <row r="503" spans="1:14">
      <c r="A503" s="4" t="s">
        <v>2319</v>
      </c>
      <c r="B503" s="4" t="s">
        <v>792</v>
      </c>
      <c r="C503" s="4" t="s">
        <v>79</v>
      </c>
      <c r="D503" s="4" t="s">
        <v>66</v>
      </c>
      <c r="E503" s="4" t="s">
        <v>259</v>
      </c>
      <c r="F503" s="4" t="s">
        <v>1456</v>
      </c>
      <c r="G503" s="22">
        <v>890000</v>
      </c>
      <c r="H503" s="21">
        <v>6751</v>
      </c>
      <c r="I503" s="22">
        <v>131.8323211376093</v>
      </c>
      <c r="J503" s="21">
        <v>1982</v>
      </c>
      <c r="K503" s="4" t="s">
        <v>95</v>
      </c>
      <c r="L503" s="24"/>
      <c r="M503" s="4"/>
      <c r="N503" s="4" t="s">
        <v>1473</v>
      </c>
    </row>
    <row r="504" spans="1:14">
      <c r="A504" s="4" t="s">
        <v>2320</v>
      </c>
      <c r="B504" s="4" t="s">
        <v>826</v>
      </c>
      <c r="C504" s="4" t="s">
        <v>83</v>
      </c>
      <c r="D504" s="4" t="s">
        <v>68</v>
      </c>
      <c r="E504" s="4" t="s">
        <v>259</v>
      </c>
      <c r="F504" s="4" t="s">
        <v>1456</v>
      </c>
      <c r="G504" s="22">
        <v>775000</v>
      </c>
      <c r="H504" s="21">
        <v>4463</v>
      </c>
      <c r="I504" s="22">
        <v>173.6500112032265</v>
      </c>
      <c r="J504" s="21">
        <v>1966</v>
      </c>
      <c r="K504" s="4" t="s">
        <v>95</v>
      </c>
      <c r="L504" s="24"/>
      <c r="M504" s="4"/>
      <c r="N504" s="4" t="s">
        <v>1510</v>
      </c>
    </row>
    <row r="505" spans="1:14">
      <c r="A505" s="4" t="s">
        <v>2321</v>
      </c>
      <c r="B505" s="4" t="s">
        <v>1623</v>
      </c>
      <c r="C505" s="4" t="s">
        <v>119</v>
      </c>
      <c r="D505" s="4" t="s">
        <v>68</v>
      </c>
      <c r="E505" s="4" t="s">
        <v>259</v>
      </c>
      <c r="F505" s="4" t="s">
        <v>1456</v>
      </c>
      <c r="G505" s="22">
        <v>750000</v>
      </c>
      <c r="H505" s="21">
        <v>0</v>
      </c>
      <c r="I505" s="22" t="e">
        <f>1/0</f>
        <v>#DIV/0!</v>
      </c>
      <c r="J505" s="21">
        <v>2024</v>
      </c>
      <c r="K505" s="4" t="s">
        <v>95</v>
      </c>
      <c r="L505" s="24"/>
      <c r="M505" s="4"/>
      <c r="N505" s="4" t="s">
        <v>1580</v>
      </c>
    </row>
    <row r="506" spans="1:14">
      <c r="A506" s="4" t="s">
        <v>2322</v>
      </c>
      <c r="B506" s="4" t="s">
        <v>2323</v>
      </c>
      <c r="C506" s="4" t="s">
        <v>109</v>
      </c>
      <c r="D506" s="4" t="s">
        <v>65</v>
      </c>
      <c r="E506" s="4" t="s">
        <v>259</v>
      </c>
      <c r="F506" s="4" t="s">
        <v>1456</v>
      </c>
      <c r="G506" s="22">
        <v>699950</v>
      </c>
      <c r="H506" s="24"/>
      <c r="I506" s="24"/>
      <c r="J506" s="21">
        <v>1973</v>
      </c>
      <c r="K506" s="4" t="s">
        <v>95</v>
      </c>
      <c r="L506" s="24"/>
      <c r="M506" s="4"/>
      <c r="N506" s="4" t="s">
        <v>1467</v>
      </c>
    </row>
    <row r="507" spans="1:14">
      <c r="A507" s="4" t="s">
        <v>2324</v>
      </c>
      <c r="B507" s="4" t="s">
        <v>840</v>
      </c>
      <c r="C507" s="4" t="s">
        <v>81</v>
      </c>
      <c r="D507" s="4" t="s">
        <v>68</v>
      </c>
      <c r="E507" s="4" t="s">
        <v>259</v>
      </c>
      <c r="F507" s="4" t="s">
        <v>1456</v>
      </c>
      <c r="G507" s="22">
        <v>699000</v>
      </c>
      <c r="H507" s="21">
        <v>6950</v>
      </c>
      <c r="I507" s="22">
        <v>100.5755395683453</v>
      </c>
      <c r="J507" s="21">
        <v>1968</v>
      </c>
      <c r="K507" s="4" t="s">
        <v>95</v>
      </c>
      <c r="L507" s="24"/>
      <c r="M507" s="4"/>
      <c r="N507" s="4" t="s">
        <v>1522</v>
      </c>
    </row>
    <row r="508" spans="1:14">
      <c r="A508" s="4" t="s">
        <v>2325</v>
      </c>
      <c r="B508" s="4" t="s">
        <v>844</v>
      </c>
      <c r="C508" s="4" t="s">
        <v>81</v>
      </c>
      <c r="D508" s="4" t="s">
        <v>65</v>
      </c>
      <c r="E508" s="4" t="s">
        <v>259</v>
      </c>
      <c r="F508" s="4" t="s">
        <v>1456</v>
      </c>
      <c r="G508" s="22">
        <v>665000</v>
      </c>
      <c r="H508" s="21">
        <v>6000</v>
      </c>
      <c r="I508" s="22">
        <v>110.8333333333333</v>
      </c>
      <c r="J508" s="21">
        <v>1952</v>
      </c>
      <c r="K508" s="4" t="s">
        <v>95</v>
      </c>
      <c r="L508" s="24"/>
      <c r="M508" s="4"/>
      <c r="N508" s="4" t="s">
        <v>1522</v>
      </c>
    </row>
    <row r="509" spans="1:14">
      <c r="A509" s="4" t="s">
        <v>2326</v>
      </c>
      <c r="B509" s="4" t="s">
        <v>848</v>
      </c>
      <c r="C509" s="4" t="s">
        <v>115</v>
      </c>
      <c r="D509" s="4" t="s">
        <v>66</v>
      </c>
      <c r="E509" s="4" t="s">
        <v>259</v>
      </c>
      <c r="F509" s="4" t="s">
        <v>1456</v>
      </c>
      <c r="G509" s="22">
        <v>600000</v>
      </c>
      <c r="H509" s="21">
        <v>4335</v>
      </c>
      <c r="I509" s="22">
        <v>138.4083044982699</v>
      </c>
      <c r="J509" s="21">
        <v>1988</v>
      </c>
      <c r="K509" s="4" t="s">
        <v>95</v>
      </c>
      <c r="L509" s="24"/>
      <c r="M509" s="4"/>
      <c r="N509" s="4" t="s">
        <v>1467</v>
      </c>
    </row>
    <row r="510" spans="1:14">
      <c r="A510" s="4" t="s">
        <v>2327</v>
      </c>
      <c r="B510" s="4" t="s">
        <v>840</v>
      </c>
      <c r="C510" s="4" t="s">
        <v>81</v>
      </c>
      <c r="D510" s="4" t="s">
        <v>65</v>
      </c>
      <c r="E510" s="4" t="s">
        <v>259</v>
      </c>
      <c r="F510" s="4" t="s">
        <v>1456</v>
      </c>
      <c r="G510" s="22">
        <v>549000</v>
      </c>
      <c r="H510" s="21">
        <v>6950</v>
      </c>
      <c r="I510" s="22">
        <v>78.99280575539568</v>
      </c>
      <c r="J510" s="21">
        <v>1968</v>
      </c>
      <c r="K510" s="4" t="s">
        <v>95</v>
      </c>
      <c r="L510" s="24"/>
      <c r="M510" s="4"/>
      <c r="N510" s="4" t="s">
        <v>1522</v>
      </c>
    </row>
    <row r="511" spans="1:14">
      <c r="A511" s="4" t="s">
        <v>2328</v>
      </c>
      <c r="B511" s="4" t="s">
        <v>1625</v>
      </c>
      <c r="C511" s="4" t="s">
        <v>119</v>
      </c>
      <c r="D511" s="4" t="s">
        <v>67</v>
      </c>
      <c r="E511" s="4" t="s">
        <v>259</v>
      </c>
      <c r="F511" s="4" t="s">
        <v>1456</v>
      </c>
      <c r="G511" s="22">
        <v>495000</v>
      </c>
      <c r="H511" s="21">
        <v>200000</v>
      </c>
      <c r="I511" s="22">
        <v>2.475</v>
      </c>
      <c r="J511" s="24"/>
      <c r="K511" s="4" t="s">
        <v>95</v>
      </c>
      <c r="L511" s="24"/>
      <c r="M511" s="4"/>
      <c r="N511" s="4" t="s">
        <v>2329</v>
      </c>
    </row>
    <row r="512" spans="1:14">
      <c r="A512" s="4" t="s">
        <v>2330</v>
      </c>
      <c r="B512" s="4" t="s">
        <v>2331</v>
      </c>
      <c r="C512" s="4" t="s">
        <v>59</v>
      </c>
      <c r="D512" s="4" t="s">
        <v>69</v>
      </c>
      <c r="E512" s="4" t="s">
        <v>259</v>
      </c>
      <c r="F512" s="4" t="s">
        <v>1456</v>
      </c>
      <c r="G512" s="22">
        <v>399000</v>
      </c>
      <c r="H512" s="21">
        <v>0</v>
      </c>
      <c r="I512" s="22" t="e">
        <f>1/0</f>
        <v>#DIV/0!</v>
      </c>
      <c r="J512" s="21">
        <v>1974</v>
      </c>
      <c r="K512" s="4" t="s">
        <v>95</v>
      </c>
      <c r="L512" s="24"/>
      <c r="M512" s="4"/>
      <c r="N512" s="4" t="s">
        <v>2152</v>
      </c>
    </row>
    <row r="513" spans="1:14">
      <c r="A513" s="4" t="s">
        <v>2332</v>
      </c>
      <c r="B513" s="4" t="s">
        <v>2151</v>
      </c>
      <c r="C513" s="4" t="s">
        <v>59</v>
      </c>
      <c r="D513" s="4" t="s">
        <v>65</v>
      </c>
      <c r="E513" s="4" t="s">
        <v>259</v>
      </c>
      <c r="F513" s="4" t="s">
        <v>1456</v>
      </c>
      <c r="G513" s="22">
        <v>380000</v>
      </c>
      <c r="H513" s="21">
        <v>0</v>
      </c>
      <c r="I513" s="22" t="e">
        <f>1/0</f>
        <v>#DIV/0!</v>
      </c>
      <c r="J513" s="21">
        <v>1974</v>
      </c>
      <c r="K513" s="4" t="s">
        <v>95</v>
      </c>
      <c r="L513" s="24"/>
      <c r="M513" s="4"/>
      <c r="N513" s="4" t="s">
        <v>2152</v>
      </c>
    </row>
    <row r="514" spans="1:14">
      <c r="A514" s="4" t="s">
        <v>2333</v>
      </c>
      <c r="B514" s="4" t="s">
        <v>1015</v>
      </c>
      <c r="C514" s="4" t="s">
        <v>117</v>
      </c>
      <c r="D514" s="4" t="s">
        <v>65</v>
      </c>
      <c r="E514" s="4" t="s">
        <v>259</v>
      </c>
      <c r="F514" s="4" t="s">
        <v>1456</v>
      </c>
      <c r="G514" s="22">
        <v>375000</v>
      </c>
      <c r="H514" s="21">
        <v>6120</v>
      </c>
      <c r="I514" s="22">
        <v>61.27450980392157</v>
      </c>
      <c r="J514" s="21">
        <v>1949</v>
      </c>
      <c r="K514" s="4" t="s">
        <v>95</v>
      </c>
      <c r="L514" s="24"/>
      <c r="M514" s="4"/>
      <c r="N514" s="4" t="s">
        <v>1471</v>
      </c>
    </row>
    <row r="515" spans="1:14">
      <c r="A515" s="4" t="s">
        <v>2334</v>
      </c>
      <c r="B515" s="4" t="s">
        <v>1019</v>
      </c>
      <c r="C515" s="4" t="s">
        <v>109</v>
      </c>
      <c r="D515" s="4" t="s">
        <v>69</v>
      </c>
      <c r="E515" s="4" t="s">
        <v>259</v>
      </c>
      <c r="F515" s="4" t="s">
        <v>1456</v>
      </c>
      <c r="G515" s="22">
        <v>350000</v>
      </c>
      <c r="H515" s="21">
        <v>13263</v>
      </c>
      <c r="I515" s="22">
        <v>26.38920304606801</v>
      </c>
      <c r="J515" s="21">
        <v>2008</v>
      </c>
      <c r="K515" s="4" t="s">
        <v>95</v>
      </c>
      <c r="L515" s="24"/>
      <c r="M515" s="4"/>
      <c r="N515" s="4" t="s">
        <v>1467</v>
      </c>
    </row>
    <row r="516" spans="1:14">
      <c r="A516" s="4" t="s">
        <v>2335</v>
      </c>
      <c r="B516" s="4" t="s">
        <v>2336</v>
      </c>
      <c r="C516" s="4" t="s">
        <v>2337</v>
      </c>
      <c r="D516" s="4" t="s">
        <v>65</v>
      </c>
      <c r="E516" s="4" t="s">
        <v>259</v>
      </c>
      <c r="F516" s="4" t="s">
        <v>1456</v>
      </c>
      <c r="G516" s="22">
        <v>207000</v>
      </c>
      <c r="H516" s="24"/>
      <c r="I516" s="24"/>
      <c r="J516" s="24"/>
      <c r="K516" s="4" t="s">
        <v>95</v>
      </c>
      <c r="L516" s="24"/>
      <c r="M516" s="4"/>
      <c r="N516" s="24" t="s">
        <v>237</v>
      </c>
    </row>
    <row r="517" spans="1:14">
      <c r="A517" s="4" t="s">
        <v>2338</v>
      </c>
      <c r="B517" s="4" t="s">
        <v>886</v>
      </c>
      <c r="C517" s="4" t="s">
        <v>118</v>
      </c>
      <c r="D517" s="4" t="s">
        <v>65</v>
      </c>
      <c r="E517" s="4" t="s">
        <v>259</v>
      </c>
      <c r="F517" s="4" t="s">
        <v>1456</v>
      </c>
      <c r="G517" s="22">
        <v>192000</v>
      </c>
      <c r="H517" s="21">
        <v>1837</v>
      </c>
      <c r="I517" s="22">
        <v>104.5182362547632</v>
      </c>
      <c r="J517" s="21">
        <v>1959</v>
      </c>
      <c r="K517" s="4" t="s">
        <v>95</v>
      </c>
      <c r="L517" s="24"/>
      <c r="M517" s="4"/>
      <c r="N517" s="4" t="s">
        <v>1475</v>
      </c>
    </row>
    <row r="518" spans="1:14">
      <c r="A518" s="4" t="s">
        <v>2339</v>
      </c>
      <c r="B518" s="4" t="s">
        <v>2340</v>
      </c>
      <c r="C518" s="4" t="s">
        <v>59</v>
      </c>
      <c r="D518" s="4" t="s">
        <v>65</v>
      </c>
      <c r="E518" s="4" t="s">
        <v>259</v>
      </c>
      <c r="F518" s="4" t="s">
        <v>1456</v>
      </c>
      <c r="G518" s="22">
        <v>175000</v>
      </c>
      <c r="H518" s="24"/>
      <c r="I518" s="24"/>
      <c r="J518" s="21">
        <v>1974</v>
      </c>
      <c r="K518" s="4" t="s">
        <v>95</v>
      </c>
      <c r="L518" s="24"/>
      <c r="M518" s="4"/>
      <c r="N518" s="4" t="s">
        <v>1475</v>
      </c>
    </row>
    <row r="519" spans="1:14">
      <c r="A519" s="4" t="s">
        <v>2341</v>
      </c>
      <c r="B519" s="4" t="s">
        <v>2342</v>
      </c>
      <c r="C519" s="4" t="s">
        <v>59</v>
      </c>
      <c r="D519" s="4" t="s">
        <v>65</v>
      </c>
      <c r="E519" s="4" t="s">
        <v>259</v>
      </c>
      <c r="F519" s="4" t="s">
        <v>1456</v>
      </c>
      <c r="G519" s="22">
        <v>123456</v>
      </c>
      <c r="H519" s="24"/>
      <c r="I519" s="24"/>
      <c r="J519" s="24"/>
      <c r="K519" s="4" t="s">
        <v>95</v>
      </c>
      <c r="L519" s="24"/>
      <c r="M519" s="4"/>
      <c r="N519" s="24" t="s">
        <v>237</v>
      </c>
    </row>
    <row r="520" spans="1:14">
      <c r="A520" s="4" t="s">
        <v>2343</v>
      </c>
      <c r="B520" s="4" t="s">
        <v>2344</v>
      </c>
      <c r="C520" s="4" t="s">
        <v>111</v>
      </c>
      <c r="D520" s="4" t="s">
        <v>70</v>
      </c>
      <c r="E520" s="4" t="s">
        <v>259</v>
      </c>
      <c r="F520" s="4" t="s">
        <v>1596</v>
      </c>
      <c r="G520" s="22">
        <v>40000</v>
      </c>
      <c r="H520" s="21">
        <v>10111</v>
      </c>
      <c r="I520" s="22">
        <v>3.956087429532193</v>
      </c>
      <c r="J520" s="24"/>
      <c r="K520" s="4" t="s">
        <v>95</v>
      </c>
      <c r="L520" s="22">
        <v>47.47304915438631</v>
      </c>
      <c r="M520" s="4"/>
      <c r="N520" s="4" t="s">
        <v>2005</v>
      </c>
    </row>
    <row r="521" spans="1:14">
      <c r="A521" s="4" t="s">
        <v>2345</v>
      </c>
      <c r="B521" s="4" t="s">
        <v>2346</v>
      </c>
      <c r="C521" s="4" t="s">
        <v>117</v>
      </c>
      <c r="D521" s="4" t="s">
        <v>72</v>
      </c>
      <c r="E521" s="4" t="s">
        <v>259</v>
      </c>
      <c r="F521" s="4" t="s">
        <v>1596</v>
      </c>
      <c r="G521" s="22">
        <v>22000</v>
      </c>
      <c r="H521" s="21">
        <v>32680</v>
      </c>
      <c r="I521" s="22">
        <v>0.6731946144430845</v>
      </c>
      <c r="J521" s="21">
        <v>1987</v>
      </c>
      <c r="K521" s="4" t="s">
        <v>95</v>
      </c>
      <c r="L521" s="22">
        <v>8.078335373317014</v>
      </c>
      <c r="M521" s="4"/>
      <c r="N521" s="4" t="s">
        <v>1471</v>
      </c>
    </row>
    <row r="522" spans="1:14">
      <c r="A522" s="4" t="s">
        <v>2347</v>
      </c>
      <c r="B522" s="4" t="s">
        <v>2346</v>
      </c>
      <c r="C522" s="4" t="s">
        <v>117</v>
      </c>
      <c r="D522" s="4" t="s">
        <v>68</v>
      </c>
      <c r="E522" s="4" t="s">
        <v>259</v>
      </c>
      <c r="F522" s="4" t="s">
        <v>1596</v>
      </c>
      <c r="G522" s="22">
        <v>18000</v>
      </c>
      <c r="H522" s="21">
        <v>32680</v>
      </c>
      <c r="I522" s="22">
        <v>0.5507955936352509</v>
      </c>
      <c r="J522" s="21">
        <v>1987</v>
      </c>
      <c r="K522" s="4" t="s">
        <v>95</v>
      </c>
      <c r="L522" s="22">
        <v>6.609547123623011</v>
      </c>
      <c r="M522" s="4"/>
      <c r="N522" s="4" t="s">
        <v>1471</v>
      </c>
    </row>
    <row r="523" spans="1:14">
      <c r="A523" s="4" t="s">
        <v>2348</v>
      </c>
      <c r="B523" s="4" t="s">
        <v>503</v>
      </c>
      <c r="C523" s="4" t="s">
        <v>82</v>
      </c>
      <c r="D523" s="4" t="s">
        <v>66</v>
      </c>
      <c r="E523" s="4" t="s">
        <v>259</v>
      </c>
      <c r="F523" s="4" t="s">
        <v>1596</v>
      </c>
      <c r="G523" s="22">
        <v>14000</v>
      </c>
      <c r="H523" s="21">
        <v>14000</v>
      </c>
      <c r="I523" s="22">
        <v>1</v>
      </c>
      <c r="J523" s="21">
        <v>1941</v>
      </c>
      <c r="K523" s="4" t="s">
        <v>95</v>
      </c>
      <c r="L523" s="22">
        <v>12</v>
      </c>
      <c r="M523" s="4"/>
      <c r="N523" s="4" t="s">
        <v>1517</v>
      </c>
    </row>
    <row r="524" spans="1:14">
      <c r="A524" s="4" t="s">
        <v>2349</v>
      </c>
      <c r="B524" s="4" t="s">
        <v>2350</v>
      </c>
      <c r="C524" s="4" t="s">
        <v>83</v>
      </c>
      <c r="D524" s="4" t="s">
        <v>72</v>
      </c>
      <c r="E524" s="4" t="s">
        <v>259</v>
      </c>
      <c r="F524" s="4" t="s">
        <v>1596</v>
      </c>
      <c r="G524" s="22">
        <v>10000</v>
      </c>
      <c r="H524" s="21">
        <v>12518</v>
      </c>
      <c r="I524" s="22">
        <v>0.7988496564946477</v>
      </c>
      <c r="J524" s="21">
        <v>1955</v>
      </c>
      <c r="K524" s="4" t="s">
        <v>95</v>
      </c>
      <c r="L524" s="22">
        <v>9.586195877935772</v>
      </c>
      <c r="M524" s="4"/>
      <c r="N524" s="4" t="s">
        <v>1510</v>
      </c>
    </row>
    <row r="525" spans="1:14">
      <c r="A525" s="4" t="s">
        <v>2351</v>
      </c>
      <c r="B525" s="4" t="s">
        <v>2352</v>
      </c>
      <c r="C525" s="4" t="s">
        <v>82</v>
      </c>
      <c r="D525" s="4" t="s">
        <v>66</v>
      </c>
      <c r="E525" s="4" t="s">
        <v>259</v>
      </c>
      <c r="F525" s="4" t="s">
        <v>1596</v>
      </c>
      <c r="G525" s="22">
        <v>9000</v>
      </c>
      <c r="H525" s="21">
        <v>7000</v>
      </c>
      <c r="I525" s="22">
        <v>1.285714285714286</v>
      </c>
      <c r="J525" s="21">
        <v>1970</v>
      </c>
      <c r="K525" s="4" t="s">
        <v>95</v>
      </c>
      <c r="L525" s="22">
        <v>15.42857142857143</v>
      </c>
      <c r="M525" s="4"/>
      <c r="N525" s="4" t="s">
        <v>1459</v>
      </c>
    </row>
    <row r="526" spans="1:14">
      <c r="A526" s="4" t="s">
        <v>2353</v>
      </c>
      <c r="B526" s="4" t="s">
        <v>2331</v>
      </c>
      <c r="C526" s="4" t="s">
        <v>59</v>
      </c>
      <c r="D526" s="4" t="s">
        <v>68</v>
      </c>
      <c r="E526" s="4" t="s">
        <v>259</v>
      </c>
      <c r="F526" s="4" t="s">
        <v>1596</v>
      </c>
      <c r="G526" s="22">
        <v>8000</v>
      </c>
      <c r="H526" s="21">
        <v>0</v>
      </c>
      <c r="I526" s="22" t="e">
        <f>1/0</f>
        <v>#DIV/0!</v>
      </c>
      <c r="J526" s="21">
        <v>1988</v>
      </c>
      <c r="K526" s="4" t="s">
        <v>95</v>
      </c>
      <c r="L526" s="24"/>
      <c r="M526" s="4"/>
      <c r="N526" s="4" t="s">
        <v>1475</v>
      </c>
    </row>
    <row r="527" spans="1:14">
      <c r="A527" s="4" t="s">
        <v>2354</v>
      </c>
      <c r="B527" s="4" t="s">
        <v>2355</v>
      </c>
      <c r="C527" s="4" t="s">
        <v>109</v>
      </c>
      <c r="D527" s="4" t="s">
        <v>65</v>
      </c>
      <c r="E527" s="4" t="s">
        <v>259</v>
      </c>
      <c r="F527" s="4" t="s">
        <v>1596</v>
      </c>
      <c r="G527" s="22">
        <v>6995</v>
      </c>
      <c r="H527" s="24"/>
      <c r="I527" s="24"/>
      <c r="J527" s="21">
        <v>1973</v>
      </c>
      <c r="K527" s="4" t="s">
        <v>95</v>
      </c>
      <c r="L527" s="24"/>
      <c r="M527" s="4"/>
      <c r="N527" s="4" t="s">
        <v>1467</v>
      </c>
    </row>
    <row r="528" spans="1:14">
      <c r="A528" s="4" t="s">
        <v>2356</v>
      </c>
      <c r="B528" s="4" t="s">
        <v>689</v>
      </c>
      <c r="C528" s="4" t="s">
        <v>81</v>
      </c>
      <c r="D528" s="4" t="s">
        <v>69</v>
      </c>
      <c r="E528" s="4" t="s">
        <v>259</v>
      </c>
      <c r="F528" s="4" t="s">
        <v>1596</v>
      </c>
      <c r="G528" s="22">
        <v>6875</v>
      </c>
      <c r="H528" s="21">
        <v>0</v>
      </c>
      <c r="I528" s="22" t="e">
        <f>1/0</f>
        <v>#DIV/0!</v>
      </c>
      <c r="J528" s="21">
        <v>2007</v>
      </c>
      <c r="K528" s="4" t="s">
        <v>95</v>
      </c>
      <c r="L528" s="24"/>
      <c r="M528" s="4"/>
      <c r="N528" s="4" t="s">
        <v>1479</v>
      </c>
    </row>
    <row r="529" spans="1:14">
      <c r="A529" s="4" t="s">
        <v>2357</v>
      </c>
      <c r="B529" s="4" t="s">
        <v>2358</v>
      </c>
      <c r="C529" s="4" t="s">
        <v>81</v>
      </c>
      <c r="D529" s="4" t="s">
        <v>65</v>
      </c>
      <c r="E529" s="4" t="s">
        <v>259</v>
      </c>
      <c r="F529" s="4" t="s">
        <v>1596</v>
      </c>
      <c r="G529" s="22">
        <v>6875</v>
      </c>
      <c r="H529" s="24"/>
      <c r="I529" s="24"/>
      <c r="J529" s="24"/>
      <c r="K529" s="4" t="s">
        <v>95</v>
      </c>
      <c r="L529" s="24"/>
      <c r="M529" s="4"/>
      <c r="N529" s="24" t="s">
        <v>237</v>
      </c>
    </row>
    <row r="530" spans="1:14">
      <c r="A530" s="4" t="s">
        <v>2359</v>
      </c>
      <c r="B530" s="4" t="s">
        <v>2360</v>
      </c>
      <c r="C530" s="4" t="s">
        <v>81</v>
      </c>
      <c r="D530" s="4" t="s">
        <v>69</v>
      </c>
      <c r="E530" s="4" t="s">
        <v>259</v>
      </c>
      <c r="F530" s="4" t="s">
        <v>1596</v>
      </c>
      <c r="G530" s="22">
        <v>6800</v>
      </c>
      <c r="H530" s="21">
        <v>9360</v>
      </c>
      <c r="I530" s="22">
        <v>0.7264957264957265</v>
      </c>
      <c r="J530" s="21">
        <v>1966</v>
      </c>
      <c r="K530" s="4" t="s">
        <v>95</v>
      </c>
      <c r="L530" s="22">
        <v>8.717948717948717</v>
      </c>
      <c r="M530" s="4"/>
      <c r="N530" s="4" t="s">
        <v>2361</v>
      </c>
    </row>
    <row r="531" spans="1:14">
      <c r="A531" s="4" t="s">
        <v>2362</v>
      </c>
      <c r="B531" s="4" t="s">
        <v>2363</v>
      </c>
      <c r="C531" s="4" t="s">
        <v>116</v>
      </c>
      <c r="D531" s="4" t="s">
        <v>67</v>
      </c>
      <c r="E531" s="4" t="s">
        <v>259</v>
      </c>
      <c r="F531" s="4" t="s">
        <v>1596</v>
      </c>
      <c r="G531" s="22">
        <v>5820</v>
      </c>
      <c r="H531" s="24"/>
      <c r="I531" s="24"/>
      <c r="J531" s="24"/>
      <c r="K531" s="4" t="s">
        <v>95</v>
      </c>
      <c r="L531" s="24"/>
      <c r="M531" s="4"/>
      <c r="N531" s="24" t="s">
        <v>237</v>
      </c>
    </row>
    <row r="532" spans="1:14">
      <c r="A532" s="4" t="s">
        <v>2364</v>
      </c>
      <c r="B532" s="4" t="s">
        <v>2365</v>
      </c>
      <c r="C532" s="4" t="s">
        <v>2366</v>
      </c>
      <c r="D532" s="4" t="s">
        <v>67</v>
      </c>
      <c r="E532" s="4" t="s">
        <v>259</v>
      </c>
      <c r="F532" s="4" t="s">
        <v>1596</v>
      </c>
      <c r="G532" s="22">
        <v>5000</v>
      </c>
      <c r="H532" s="21">
        <v>3050</v>
      </c>
      <c r="I532" s="22">
        <v>1.639344262295082</v>
      </c>
      <c r="J532" s="21">
        <v>1973</v>
      </c>
      <c r="K532" s="4" t="s">
        <v>95</v>
      </c>
      <c r="L532" s="22">
        <v>19.67213114754098</v>
      </c>
      <c r="M532" s="4"/>
      <c r="N532" s="4" t="s">
        <v>1469</v>
      </c>
    </row>
    <row r="533" spans="1:14">
      <c r="A533" s="4" t="s">
        <v>2367</v>
      </c>
      <c r="B533" s="4" t="s">
        <v>2365</v>
      </c>
      <c r="C533" s="4" t="s">
        <v>2366</v>
      </c>
      <c r="D533" s="4" t="s">
        <v>69</v>
      </c>
      <c r="E533" s="4" t="s">
        <v>259</v>
      </c>
      <c r="F533" s="4" t="s">
        <v>1596</v>
      </c>
      <c r="G533" s="22">
        <v>5000</v>
      </c>
      <c r="H533" s="21">
        <v>3050</v>
      </c>
      <c r="I533" s="22">
        <v>1.639344262295082</v>
      </c>
      <c r="J533" s="21">
        <v>1973</v>
      </c>
      <c r="K533" s="4" t="s">
        <v>95</v>
      </c>
      <c r="L533" s="22">
        <v>19.67213114754098</v>
      </c>
      <c r="M533" s="4"/>
      <c r="N533" s="4" t="s">
        <v>1469</v>
      </c>
    </row>
    <row r="534" spans="1:14">
      <c r="A534" s="4" t="s">
        <v>2368</v>
      </c>
      <c r="B534" s="4" t="s">
        <v>2369</v>
      </c>
      <c r="C534" s="4" t="s">
        <v>1710</v>
      </c>
      <c r="D534" s="4" t="s">
        <v>67</v>
      </c>
      <c r="E534" s="4" t="s">
        <v>259</v>
      </c>
      <c r="F534" s="4" t="s">
        <v>1596</v>
      </c>
      <c r="G534" s="22">
        <v>4949</v>
      </c>
      <c r="H534" s="21">
        <v>48321</v>
      </c>
      <c r="I534" s="22">
        <v>0.1024192380124583</v>
      </c>
      <c r="J534" s="21">
        <v>1975</v>
      </c>
      <c r="K534" s="4" t="s">
        <v>95</v>
      </c>
      <c r="L534" s="24"/>
      <c r="M534" s="4"/>
      <c r="N534" s="24" t="s">
        <v>237</v>
      </c>
    </row>
    <row r="535" spans="1:14">
      <c r="A535" s="4" t="s">
        <v>2370</v>
      </c>
      <c r="B535" s="4" t="s">
        <v>1566</v>
      </c>
      <c r="C535" s="4" t="s">
        <v>109</v>
      </c>
      <c r="D535" s="4" t="s">
        <v>69</v>
      </c>
      <c r="E535" s="4" t="s">
        <v>259</v>
      </c>
      <c r="F535" s="4" t="s">
        <v>1596</v>
      </c>
      <c r="G535" s="22">
        <v>4500</v>
      </c>
      <c r="H535" s="21">
        <v>84506</v>
      </c>
      <c r="I535" s="22">
        <v>0.05325065675810001</v>
      </c>
      <c r="J535" s="21">
        <v>1973</v>
      </c>
      <c r="K535" s="4" t="s">
        <v>95</v>
      </c>
      <c r="L535" s="24"/>
      <c r="M535" s="4"/>
      <c r="N535" s="4" t="s">
        <v>1467</v>
      </c>
    </row>
    <row r="536" spans="1:14">
      <c r="A536" s="4" t="s">
        <v>2371</v>
      </c>
      <c r="B536" s="4" t="s">
        <v>2372</v>
      </c>
      <c r="C536" s="4" t="s">
        <v>109</v>
      </c>
      <c r="D536" s="4" t="s">
        <v>65</v>
      </c>
      <c r="E536" s="4" t="s">
        <v>259</v>
      </c>
      <c r="F536" s="4" t="s">
        <v>1596</v>
      </c>
      <c r="G536" s="22">
        <v>4500</v>
      </c>
      <c r="H536" s="21">
        <v>15000</v>
      </c>
      <c r="I536" s="22">
        <v>0.3</v>
      </c>
      <c r="J536" s="24"/>
      <c r="K536" s="4" t="s">
        <v>95</v>
      </c>
      <c r="L536" s="24"/>
      <c r="M536" s="4"/>
      <c r="N536" s="4" t="s">
        <v>1475</v>
      </c>
    </row>
    <row r="537" spans="1:14">
      <c r="A537" s="4" t="s">
        <v>2373</v>
      </c>
      <c r="B537" s="4" t="s">
        <v>2374</v>
      </c>
      <c r="C537" s="4" t="s">
        <v>79</v>
      </c>
      <c r="D537" s="4" t="s">
        <v>68</v>
      </c>
      <c r="E537" s="4" t="s">
        <v>259</v>
      </c>
      <c r="F537" s="4" t="s">
        <v>1596</v>
      </c>
      <c r="G537" s="22">
        <v>4500</v>
      </c>
      <c r="H537" s="21">
        <v>40000</v>
      </c>
      <c r="I537" s="22">
        <v>0.1125</v>
      </c>
      <c r="J537" s="24"/>
      <c r="K537" s="4" t="s">
        <v>95</v>
      </c>
      <c r="L537" s="24"/>
      <c r="M537" s="4"/>
      <c r="N537" s="24" t="s">
        <v>237</v>
      </c>
    </row>
    <row r="538" spans="1:14">
      <c r="A538" s="4" t="s">
        <v>2375</v>
      </c>
      <c r="B538" s="4" t="s">
        <v>788</v>
      </c>
      <c r="C538" s="4" t="s">
        <v>81</v>
      </c>
      <c r="D538" s="4" t="s">
        <v>69</v>
      </c>
      <c r="E538" s="4" t="s">
        <v>259</v>
      </c>
      <c r="F538" s="4" t="s">
        <v>1596</v>
      </c>
      <c r="G538" s="22">
        <v>4500</v>
      </c>
      <c r="H538" s="21">
        <v>6840</v>
      </c>
      <c r="I538" s="22">
        <v>0.6578947368421053</v>
      </c>
      <c r="J538" s="21">
        <v>1967</v>
      </c>
      <c r="K538" s="4" t="s">
        <v>95</v>
      </c>
      <c r="L538" s="22">
        <v>7.894736842105263</v>
      </c>
      <c r="M538" s="4"/>
      <c r="N538" s="4" t="s">
        <v>1550</v>
      </c>
    </row>
    <row r="539" spans="1:14">
      <c r="A539" s="4" t="s">
        <v>2376</v>
      </c>
      <c r="B539" s="4" t="s">
        <v>1182</v>
      </c>
      <c r="C539" s="4" t="s">
        <v>78</v>
      </c>
      <c r="D539" s="4" t="s">
        <v>65</v>
      </c>
      <c r="E539" s="4" t="s">
        <v>259</v>
      </c>
      <c r="F539" s="4" t="s">
        <v>1596</v>
      </c>
      <c r="G539" s="22">
        <v>4200</v>
      </c>
      <c r="H539" s="21">
        <v>1276</v>
      </c>
      <c r="I539" s="22">
        <v>3.29153605015674</v>
      </c>
      <c r="J539" s="24"/>
      <c r="K539" s="4" t="s">
        <v>95</v>
      </c>
      <c r="L539" s="22">
        <v>39.49843260188088</v>
      </c>
      <c r="M539" s="4"/>
      <c r="N539" s="4" t="s">
        <v>1469</v>
      </c>
    </row>
    <row r="540" spans="1:14">
      <c r="A540" s="4" t="s">
        <v>2377</v>
      </c>
      <c r="B540" s="4" t="s">
        <v>1641</v>
      </c>
      <c r="C540" s="4" t="s">
        <v>469</v>
      </c>
      <c r="D540" s="4" t="s">
        <v>74</v>
      </c>
      <c r="E540" s="4" t="s">
        <v>259</v>
      </c>
      <c r="F540" s="4" t="s">
        <v>1596</v>
      </c>
      <c r="G540" s="22">
        <v>4000</v>
      </c>
      <c r="H540" s="21">
        <v>3599</v>
      </c>
      <c r="I540" s="22">
        <v>1.111419838844123</v>
      </c>
      <c r="J540" s="21">
        <v>1956</v>
      </c>
      <c r="K540" s="4" t="s">
        <v>95</v>
      </c>
      <c r="L540" s="22">
        <v>13.33703806612948</v>
      </c>
      <c r="M540" s="4"/>
      <c r="N540" s="4" t="s">
        <v>1467</v>
      </c>
    </row>
    <row r="541" spans="1:14">
      <c r="A541" s="4" t="s">
        <v>2378</v>
      </c>
      <c r="B541" s="4" t="s">
        <v>1996</v>
      </c>
      <c r="C541" s="4" t="s">
        <v>109</v>
      </c>
      <c r="D541" s="4" t="s">
        <v>65</v>
      </c>
      <c r="E541" s="4" t="s">
        <v>259</v>
      </c>
      <c r="F541" s="4" t="s">
        <v>1596</v>
      </c>
      <c r="G541" s="22">
        <v>4000</v>
      </c>
      <c r="H541" s="24"/>
      <c r="I541" s="24"/>
      <c r="J541" s="24"/>
      <c r="K541" s="4" t="s">
        <v>95</v>
      </c>
      <c r="L541" s="24"/>
      <c r="M541" s="4"/>
      <c r="N541" s="24" t="s">
        <v>237</v>
      </c>
    </row>
    <row r="542" spans="1:14">
      <c r="A542" s="4" t="s">
        <v>2379</v>
      </c>
      <c r="B542" s="4" t="s">
        <v>2380</v>
      </c>
      <c r="C542" s="4" t="s">
        <v>78</v>
      </c>
      <c r="D542" s="4" t="s">
        <v>70</v>
      </c>
      <c r="E542" s="4" t="s">
        <v>259</v>
      </c>
      <c r="F542" s="4" t="s">
        <v>1596</v>
      </c>
      <c r="G542" s="22">
        <v>3800</v>
      </c>
      <c r="H542" s="24"/>
      <c r="I542" s="24"/>
      <c r="J542" s="21">
        <v>1951</v>
      </c>
      <c r="K542" s="4" t="s">
        <v>95</v>
      </c>
      <c r="L542" s="24"/>
      <c r="M542" s="4"/>
      <c r="N542" s="4" t="s">
        <v>1467</v>
      </c>
    </row>
    <row r="543" spans="1:14">
      <c r="A543" s="4" t="s">
        <v>2381</v>
      </c>
      <c r="B543" s="4" t="s">
        <v>1210</v>
      </c>
      <c r="C543" s="4" t="s">
        <v>81</v>
      </c>
      <c r="D543" s="4" t="s">
        <v>69</v>
      </c>
      <c r="E543" s="4" t="s">
        <v>259</v>
      </c>
      <c r="F543" s="4" t="s">
        <v>1596</v>
      </c>
      <c r="G543" s="22">
        <v>3800</v>
      </c>
      <c r="H543" s="21">
        <v>7380</v>
      </c>
      <c r="I543" s="22">
        <v>0.5149051490514905</v>
      </c>
      <c r="J543" s="21">
        <v>1960</v>
      </c>
      <c r="K543" s="4" t="s">
        <v>95</v>
      </c>
      <c r="L543" s="22">
        <v>6.178861788617886</v>
      </c>
      <c r="M543" s="4"/>
      <c r="N543" s="4" t="s">
        <v>1469</v>
      </c>
    </row>
    <row r="544" spans="1:14">
      <c r="A544" s="4" t="s">
        <v>2382</v>
      </c>
      <c r="B544" s="4" t="s">
        <v>840</v>
      </c>
      <c r="C544" s="4" t="s">
        <v>81</v>
      </c>
      <c r="D544" s="4" t="s">
        <v>68</v>
      </c>
      <c r="E544" s="4" t="s">
        <v>259</v>
      </c>
      <c r="F544" s="4" t="s">
        <v>1596</v>
      </c>
      <c r="G544" s="22">
        <v>3700</v>
      </c>
      <c r="H544" s="21">
        <v>6950</v>
      </c>
      <c r="I544" s="22">
        <v>0.5323741007194245</v>
      </c>
      <c r="J544" s="24"/>
      <c r="K544" s="4" t="s">
        <v>95</v>
      </c>
      <c r="L544" s="22">
        <v>6.388489208633094</v>
      </c>
      <c r="M544" s="4"/>
      <c r="N544" s="4" t="s">
        <v>1522</v>
      </c>
    </row>
    <row r="545" spans="1:14">
      <c r="A545" s="4" t="s">
        <v>2383</v>
      </c>
      <c r="B545" s="4" t="s">
        <v>2384</v>
      </c>
      <c r="C545" s="4" t="s">
        <v>79</v>
      </c>
      <c r="D545" s="4" t="s">
        <v>70</v>
      </c>
      <c r="E545" s="4" t="s">
        <v>259</v>
      </c>
      <c r="F545" s="4" t="s">
        <v>1596</v>
      </c>
      <c r="G545" s="22">
        <v>3600</v>
      </c>
      <c r="H545" s="21">
        <v>24725</v>
      </c>
      <c r="I545" s="22">
        <v>0.1456016177957533</v>
      </c>
      <c r="J545" s="21">
        <v>1969</v>
      </c>
      <c r="K545" s="4" t="s">
        <v>95</v>
      </c>
      <c r="L545" s="24"/>
      <c r="M545" s="4"/>
      <c r="N545" s="4" t="s">
        <v>1668</v>
      </c>
    </row>
    <row r="546" spans="1:14">
      <c r="A546" s="4" t="s">
        <v>2385</v>
      </c>
      <c r="B546" s="4" t="s">
        <v>2386</v>
      </c>
      <c r="C546" s="4" t="s">
        <v>2387</v>
      </c>
      <c r="D546" s="4" t="s">
        <v>65</v>
      </c>
      <c r="E546" s="4" t="s">
        <v>259</v>
      </c>
      <c r="F546" s="4" t="s">
        <v>1596</v>
      </c>
      <c r="G546" s="22">
        <v>3500</v>
      </c>
      <c r="H546" s="21">
        <v>8407</v>
      </c>
      <c r="I546" s="22">
        <v>0.4163197335553705</v>
      </c>
      <c r="J546" s="24"/>
      <c r="K546" s="4" t="s">
        <v>95</v>
      </c>
      <c r="L546" s="22">
        <v>4.995836802664447</v>
      </c>
      <c r="M546" s="4"/>
      <c r="N546" s="4" t="s">
        <v>1467</v>
      </c>
    </row>
    <row r="547" spans="1:14">
      <c r="A547" s="4" t="s">
        <v>2388</v>
      </c>
      <c r="B547" s="4" t="s">
        <v>1637</v>
      </c>
      <c r="C547" s="4" t="s">
        <v>246</v>
      </c>
      <c r="D547" s="4" t="s">
        <v>65</v>
      </c>
      <c r="E547" s="4" t="s">
        <v>259</v>
      </c>
      <c r="F547" s="4" t="s">
        <v>1596</v>
      </c>
      <c r="G547" s="22">
        <v>3400</v>
      </c>
      <c r="H547" s="24"/>
      <c r="I547" s="24"/>
      <c r="J547" s="21">
        <v>1964</v>
      </c>
      <c r="K547" s="4" t="s">
        <v>95</v>
      </c>
      <c r="L547" s="24"/>
      <c r="M547" s="4"/>
      <c r="N547" s="4" t="s">
        <v>1475</v>
      </c>
    </row>
    <row r="548" spans="1:14">
      <c r="A548" s="4" t="s">
        <v>2389</v>
      </c>
      <c r="B548" s="4" t="s">
        <v>2390</v>
      </c>
      <c r="C548" s="4" t="s">
        <v>528</v>
      </c>
      <c r="D548" s="4" t="s">
        <v>70</v>
      </c>
      <c r="E548" s="4" t="s">
        <v>259</v>
      </c>
      <c r="F548" s="4" t="s">
        <v>1596</v>
      </c>
      <c r="G548" s="22">
        <v>3010</v>
      </c>
      <c r="H548" s="21">
        <v>3124</v>
      </c>
      <c r="I548" s="22">
        <v>0.9635083226632523</v>
      </c>
      <c r="J548" s="21">
        <v>1975</v>
      </c>
      <c r="K548" s="4" t="s">
        <v>95</v>
      </c>
      <c r="L548" s="22">
        <v>11.56209987195903</v>
      </c>
      <c r="M548" s="4"/>
      <c r="N548" s="4" t="s">
        <v>1475</v>
      </c>
    </row>
    <row r="549" spans="1:14">
      <c r="A549" s="4" t="s">
        <v>2391</v>
      </c>
      <c r="B549" s="4" t="s">
        <v>2392</v>
      </c>
      <c r="C549" s="4" t="s">
        <v>118</v>
      </c>
      <c r="D549" s="4" t="s">
        <v>65</v>
      </c>
      <c r="E549" s="4" t="s">
        <v>259</v>
      </c>
      <c r="F549" s="4" t="s">
        <v>1596</v>
      </c>
      <c r="G549" s="22">
        <v>2895</v>
      </c>
      <c r="H549" s="21">
        <v>8916</v>
      </c>
      <c r="I549" s="22">
        <v>0.3246971736204576</v>
      </c>
      <c r="J549" s="24"/>
      <c r="K549" s="4" t="s">
        <v>95</v>
      </c>
      <c r="L549" s="24"/>
      <c r="M549" s="4"/>
      <c r="N549" s="4" t="s">
        <v>1471</v>
      </c>
    </row>
    <row r="550" spans="1:14">
      <c r="A550" s="4" t="s">
        <v>2393</v>
      </c>
      <c r="B550" s="4" t="s">
        <v>2394</v>
      </c>
      <c r="C550" s="4" t="s">
        <v>111</v>
      </c>
      <c r="D550" s="4" t="s">
        <v>70</v>
      </c>
      <c r="E550" s="4" t="s">
        <v>259</v>
      </c>
      <c r="F550" s="4" t="s">
        <v>1456</v>
      </c>
      <c r="G550" s="22">
        <v>2890</v>
      </c>
      <c r="H550" s="21">
        <v>16873</v>
      </c>
      <c r="I550" s="22">
        <v>0.1712795590588514</v>
      </c>
      <c r="J550" s="21">
        <v>1975</v>
      </c>
      <c r="K550" s="4" t="s">
        <v>95</v>
      </c>
      <c r="L550" s="24"/>
      <c r="M550" s="4"/>
      <c r="N550" s="4" t="s">
        <v>1467</v>
      </c>
    </row>
    <row r="551" spans="1:14">
      <c r="A551" s="4" t="s">
        <v>2395</v>
      </c>
      <c r="B551" s="4" t="s">
        <v>2396</v>
      </c>
      <c r="C551" s="4" t="s">
        <v>79</v>
      </c>
      <c r="D551" s="4" t="s">
        <v>68</v>
      </c>
      <c r="E551" s="4" t="s">
        <v>259</v>
      </c>
      <c r="F551" s="4" t="s">
        <v>1596</v>
      </c>
      <c r="G551" s="22">
        <v>2800</v>
      </c>
      <c r="H551" s="21">
        <v>40000</v>
      </c>
      <c r="I551" s="22">
        <v>0.07000000000000001</v>
      </c>
      <c r="J551" s="24"/>
      <c r="K551" s="4" t="s">
        <v>95</v>
      </c>
      <c r="L551" s="24"/>
      <c r="M551" s="4"/>
      <c r="N551" s="4" t="s">
        <v>1471</v>
      </c>
    </row>
    <row r="552" spans="1:14">
      <c r="A552" s="4" t="s">
        <v>2397</v>
      </c>
      <c r="B552" s="4" t="s">
        <v>2398</v>
      </c>
      <c r="C552" s="4" t="s">
        <v>78</v>
      </c>
      <c r="D552" s="4" t="s">
        <v>65</v>
      </c>
      <c r="E552" s="4" t="s">
        <v>259</v>
      </c>
      <c r="F552" s="4" t="s">
        <v>1596</v>
      </c>
      <c r="G552" s="22">
        <v>2800</v>
      </c>
      <c r="H552" s="24"/>
      <c r="I552" s="24"/>
      <c r="J552" s="24"/>
      <c r="K552" s="4" t="s">
        <v>95</v>
      </c>
      <c r="L552" s="24"/>
      <c r="M552" s="4"/>
      <c r="N552" s="24" t="s">
        <v>237</v>
      </c>
    </row>
    <row r="553" spans="1:14">
      <c r="A553" s="4" t="s">
        <v>2399</v>
      </c>
      <c r="B553" s="4" t="s">
        <v>2400</v>
      </c>
      <c r="C553" s="4" t="s">
        <v>78</v>
      </c>
      <c r="D553" s="4" t="s">
        <v>70</v>
      </c>
      <c r="E553" s="4" t="s">
        <v>259</v>
      </c>
      <c r="F553" s="4" t="s">
        <v>1596</v>
      </c>
      <c r="G553" s="22">
        <v>2600</v>
      </c>
      <c r="H553" s="21">
        <v>798</v>
      </c>
      <c r="I553" s="22">
        <v>3.258145363408521</v>
      </c>
      <c r="J553" s="24"/>
      <c r="K553" s="4" t="s">
        <v>95</v>
      </c>
      <c r="L553" s="22">
        <v>39.09774436090225</v>
      </c>
      <c r="M553" s="4"/>
      <c r="N553" s="4" t="s">
        <v>1475</v>
      </c>
    </row>
    <row r="554" spans="1:14">
      <c r="A554" s="4" t="s">
        <v>2401</v>
      </c>
      <c r="B554" s="4" t="s">
        <v>2402</v>
      </c>
      <c r="C554" s="4" t="s">
        <v>797</v>
      </c>
      <c r="D554" s="4" t="s">
        <v>70</v>
      </c>
      <c r="E554" s="4" t="s">
        <v>259</v>
      </c>
      <c r="F554" s="4" t="s">
        <v>1596</v>
      </c>
      <c r="G554" s="22">
        <v>2500</v>
      </c>
      <c r="H554" s="21">
        <v>5162</v>
      </c>
      <c r="I554" s="22">
        <v>0.4843084075939558</v>
      </c>
      <c r="J554" s="24"/>
      <c r="K554" s="4" t="s">
        <v>95</v>
      </c>
      <c r="L554" s="22">
        <v>5.81170089112747</v>
      </c>
      <c r="M554" s="4"/>
      <c r="N554" s="24" t="s">
        <v>237</v>
      </c>
    </row>
    <row r="555" spans="1:14">
      <c r="A555" s="4" t="s">
        <v>2403</v>
      </c>
      <c r="B555" s="4" t="s">
        <v>2404</v>
      </c>
      <c r="C555" s="4" t="s">
        <v>246</v>
      </c>
      <c r="D555" s="4" t="s">
        <v>69</v>
      </c>
      <c r="E555" s="4" t="s">
        <v>259</v>
      </c>
      <c r="F555" s="4" t="s">
        <v>1596</v>
      </c>
      <c r="G555" s="22">
        <v>2500</v>
      </c>
      <c r="H555" s="21">
        <v>350</v>
      </c>
      <c r="I555" s="22">
        <v>7.142857142857143</v>
      </c>
      <c r="J555" s="24"/>
      <c r="K555" s="4" t="s">
        <v>95</v>
      </c>
      <c r="L555" s="22">
        <v>7.142857142857143</v>
      </c>
      <c r="M555" s="4"/>
      <c r="N555" s="24" t="s">
        <v>237</v>
      </c>
    </row>
    <row r="556" spans="1:14">
      <c r="A556" s="4" t="s">
        <v>2405</v>
      </c>
      <c r="B556" s="4" t="s">
        <v>2406</v>
      </c>
      <c r="C556" s="4" t="s">
        <v>79</v>
      </c>
      <c r="D556" s="4" t="s">
        <v>70</v>
      </c>
      <c r="E556" s="4" t="s">
        <v>259</v>
      </c>
      <c r="F556" s="4" t="s">
        <v>1596</v>
      </c>
      <c r="G556" s="22">
        <v>2400</v>
      </c>
      <c r="H556" s="21">
        <v>21268</v>
      </c>
      <c r="I556" s="22">
        <v>0.1128455896182058</v>
      </c>
      <c r="J556" s="24"/>
      <c r="K556" s="4" t="s">
        <v>95</v>
      </c>
      <c r="L556" s="24"/>
      <c r="M556" s="4"/>
      <c r="N556" s="4" t="s">
        <v>1471</v>
      </c>
    </row>
    <row r="557" spans="1:14">
      <c r="A557" s="4" t="s">
        <v>2407</v>
      </c>
      <c r="B557" s="4" t="s">
        <v>1652</v>
      </c>
      <c r="C557" s="4" t="s">
        <v>80</v>
      </c>
      <c r="D557" s="4" t="s">
        <v>69</v>
      </c>
      <c r="E557" s="4" t="s">
        <v>259</v>
      </c>
      <c r="F557" s="4" t="s">
        <v>1596</v>
      </c>
      <c r="G557" s="22">
        <v>2400</v>
      </c>
      <c r="H557" s="21">
        <v>13664</v>
      </c>
      <c r="I557" s="22">
        <v>0.1756440281030445</v>
      </c>
      <c r="J557" s="21">
        <v>1975</v>
      </c>
      <c r="K557" s="4" t="s">
        <v>95</v>
      </c>
      <c r="L557" s="24"/>
      <c r="M557" s="4"/>
      <c r="N557" s="4" t="s">
        <v>1550</v>
      </c>
    </row>
    <row r="558" spans="1:14">
      <c r="A558" s="4" t="s">
        <v>2408</v>
      </c>
      <c r="B558" s="4" t="s">
        <v>1652</v>
      </c>
      <c r="C558" s="4" t="s">
        <v>80</v>
      </c>
      <c r="D558" s="4" t="s">
        <v>69</v>
      </c>
      <c r="E558" s="4" t="s">
        <v>259</v>
      </c>
      <c r="F558" s="4" t="s">
        <v>1596</v>
      </c>
      <c r="G558" s="22">
        <v>2349</v>
      </c>
      <c r="H558" s="21">
        <v>13664</v>
      </c>
      <c r="I558" s="22">
        <v>0.1719115925058548</v>
      </c>
      <c r="J558" s="21">
        <v>1975</v>
      </c>
      <c r="K558" s="4" t="s">
        <v>95</v>
      </c>
      <c r="L558" s="24"/>
      <c r="M558" s="4"/>
      <c r="N558" s="4" t="s">
        <v>1550</v>
      </c>
    </row>
    <row r="559" spans="1:14">
      <c r="A559" s="4" t="s">
        <v>2409</v>
      </c>
      <c r="B559" s="4" t="s">
        <v>2410</v>
      </c>
      <c r="C559" s="4" t="s">
        <v>79</v>
      </c>
      <c r="D559" s="4" t="s">
        <v>70</v>
      </c>
      <c r="E559" s="4" t="s">
        <v>259</v>
      </c>
      <c r="F559" s="4" t="s">
        <v>1596</v>
      </c>
      <c r="G559" s="22">
        <v>2100</v>
      </c>
      <c r="H559" s="21">
        <v>40000</v>
      </c>
      <c r="I559" s="22">
        <v>0.0525</v>
      </c>
      <c r="J559" s="24"/>
      <c r="K559" s="4" t="s">
        <v>95</v>
      </c>
      <c r="L559" s="24"/>
      <c r="M559" s="4"/>
      <c r="N559" s="24" t="s">
        <v>237</v>
      </c>
    </row>
    <row r="560" spans="1:14">
      <c r="A560" s="4" t="s">
        <v>2411</v>
      </c>
      <c r="B560" s="4" t="s">
        <v>2412</v>
      </c>
      <c r="C560" s="4" t="s">
        <v>108</v>
      </c>
      <c r="D560" s="4" t="s">
        <v>65</v>
      </c>
      <c r="E560" s="4" t="s">
        <v>259</v>
      </c>
      <c r="F560" s="4" t="s">
        <v>1596</v>
      </c>
      <c r="G560" s="22">
        <v>1950</v>
      </c>
      <c r="H560" s="21">
        <v>7502</v>
      </c>
      <c r="I560" s="22">
        <v>0.2599306851506265</v>
      </c>
      <c r="J560" s="24"/>
      <c r="K560" s="4" t="s">
        <v>95</v>
      </c>
      <c r="L560" s="24"/>
      <c r="M560" s="4"/>
      <c r="N560" s="4" t="s">
        <v>1475</v>
      </c>
    </row>
    <row r="561" spans="1:14">
      <c r="A561" s="4" t="s">
        <v>2413</v>
      </c>
      <c r="B561" s="4" t="s">
        <v>2414</v>
      </c>
      <c r="C561" s="4" t="s">
        <v>118</v>
      </c>
      <c r="D561" s="4" t="s">
        <v>65</v>
      </c>
      <c r="E561" s="4" t="s">
        <v>259</v>
      </c>
      <c r="F561" s="4" t="s">
        <v>1596</v>
      </c>
      <c r="G561" s="22">
        <v>1850</v>
      </c>
      <c r="H561" s="21">
        <v>4772</v>
      </c>
      <c r="I561" s="22">
        <v>0.3876781223805532</v>
      </c>
      <c r="J561" s="24"/>
      <c r="K561" s="4" t="s">
        <v>95</v>
      </c>
      <c r="L561" s="22">
        <v>4.652137468566639</v>
      </c>
      <c r="M561" s="4"/>
      <c r="N561" s="4" t="s">
        <v>1475</v>
      </c>
    </row>
    <row r="562" spans="1:14">
      <c r="A562" s="4" t="s">
        <v>2415</v>
      </c>
      <c r="B562" s="4" t="s">
        <v>2416</v>
      </c>
      <c r="C562" s="4" t="s">
        <v>2366</v>
      </c>
      <c r="D562" s="4" t="s">
        <v>69</v>
      </c>
      <c r="E562" s="4" t="s">
        <v>259</v>
      </c>
      <c r="F562" s="4" t="s">
        <v>1596</v>
      </c>
      <c r="G562" s="22">
        <v>1800</v>
      </c>
      <c r="H562" s="24"/>
      <c r="I562" s="24"/>
      <c r="J562" s="24"/>
      <c r="K562" s="4" t="s">
        <v>95</v>
      </c>
      <c r="L562" s="24"/>
      <c r="M562" s="4"/>
      <c r="N562" s="4" t="s">
        <v>2417</v>
      </c>
    </row>
    <row r="563" spans="1:14">
      <c r="A563" s="4" t="s">
        <v>2418</v>
      </c>
      <c r="B563" s="4" t="s">
        <v>2419</v>
      </c>
      <c r="C563" s="4" t="s">
        <v>79</v>
      </c>
      <c r="D563" s="4" t="s">
        <v>68</v>
      </c>
      <c r="E563" s="4" t="s">
        <v>259</v>
      </c>
      <c r="F563" s="4" t="s">
        <v>1596</v>
      </c>
      <c r="G563" s="22">
        <v>1800</v>
      </c>
      <c r="H563" s="21">
        <v>19998</v>
      </c>
      <c r="I563" s="22">
        <v>0.09000900090009001</v>
      </c>
      <c r="J563" s="21">
        <v>1974</v>
      </c>
      <c r="K563" s="4" t="s">
        <v>95</v>
      </c>
      <c r="L563" s="24"/>
      <c r="M563" s="4"/>
      <c r="N563" s="4" t="s">
        <v>1471</v>
      </c>
    </row>
    <row r="564" spans="1:14">
      <c r="A564" s="4" t="s">
        <v>2420</v>
      </c>
      <c r="B564" s="4" t="s">
        <v>2421</v>
      </c>
      <c r="C564" s="4" t="s">
        <v>469</v>
      </c>
      <c r="D564" s="4" t="s">
        <v>70</v>
      </c>
      <c r="E564" s="4" t="s">
        <v>259</v>
      </c>
      <c r="F564" s="4" t="s">
        <v>1596</v>
      </c>
      <c r="G564" s="22">
        <v>1650</v>
      </c>
      <c r="H564" s="21">
        <v>9047</v>
      </c>
      <c r="I564" s="22">
        <v>0.1823808997457721</v>
      </c>
      <c r="J564" s="21">
        <v>1951</v>
      </c>
      <c r="K564" s="4" t="s">
        <v>95</v>
      </c>
      <c r="L564" s="24"/>
      <c r="M564" s="4"/>
      <c r="N564" s="4" t="s">
        <v>1475</v>
      </c>
    </row>
    <row r="565" spans="1:14">
      <c r="A565" s="4" t="s">
        <v>2422</v>
      </c>
      <c r="B565" s="4" t="s">
        <v>1996</v>
      </c>
      <c r="C565" s="4" t="s">
        <v>109</v>
      </c>
      <c r="D565" s="4" t="s">
        <v>65</v>
      </c>
      <c r="E565" s="4" t="s">
        <v>259</v>
      </c>
      <c r="F565" s="4" t="s">
        <v>1596</v>
      </c>
      <c r="G565" s="22">
        <v>1600</v>
      </c>
      <c r="H565" s="24"/>
      <c r="I565" s="24"/>
      <c r="J565" s="24"/>
      <c r="K565" s="4" t="s">
        <v>95</v>
      </c>
      <c r="L565" s="24"/>
      <c r="M565" s="4"/>
      <c r="N565" s="24" t="s">
        <v>237</v>
      </c>
    </row>
    <row r="566" spans="1:14">
      <c r="A566" s="4" t="s">
        <v>2423</v>
      </c>
      <c r="B566" s="4" t="s">
        <v>2424</v>
      </c>
      <c r="C566" s="4" t="s">
        <v>116</v>
      </c>
      <c r="D566" s="4" t="s">
        <v>70</v>
      </c>
      <c r="E566" s="4" t="s">
        <v>259</v>
      </c>
      <c r="F566" s="4" t="s">
        <v>1596</v>
      </c>
      <c r="G566" s="22">
        <v>1500</v>
      </c>
      <c r="H566" s="21">
        <v>8151</v>
      </c>
      <c r="I566" s="22">
        <v>0.1840264998159735</v>
      </c>
      <c r="J566" s="24"/>
      <c r="K566" s="4" t="s">
        <v>95</v>
      </c>
      <c r="L566" s="24"/>
      <c r="M566" s="4"/>
      <c r="N566" s="4" t="s">
        <v>2425</v>
      </c>
    </row>
    <row r="567" spans="1:14">
      <c r="A567" s="4" t="s">
        <v>2426</v>
      </c>
      <c r="B567" s="4" t="s">
        <v>2427</v>
      </c>
      <c r="C567" s="4" t="s">
        <v>120</v>
      </c>
      <c r="D567" s="4" t="s">
        <v>65</v>
      </c>
      <c r="E567" s="4" t="s">
        <v>259</v>
      </c>
      <c r="F567" s="4" t="s">
        <v>1596</v>
      </c>
      <c r="G567" s="22">
        <v>1400</v>
      </c>
      <c r="H567" s="21">
        <v>42875</v>
      </c>
      <c r="I567" s="22">
        <v>0.0326530612244898</v>
      </c>
      <c r="J567" s="24"/>
      <c r="K567" s="4" t="s">
        <v>95</v>
      </c>
      <c r="L567" s="24"/>
      <c r="M567" s="4"/>
      <c r="N567" s="4" t="s">
        <v>1479</v>
      </c>
    </row>
    <row r="568" spans="1:14">
      <c r="A568" s="4" t="s">
        <v>2428</v>
      </c>
      <c r="B568" s="4" t="s">
        <v>1987</v>
      </c>
      <c r="C568" s="4" t="s">
        <v>246</v>
      </c>
      <c r="D568" s="4" t="s">
        <v>65</v>
      </c>
      <c r="E568" s="4" t="s">
        <v>259</v>
      </c>
      <c r="F568" s="4" t="s">
        <v>1596</v>
      </c>
      <c r="G568" s="22">
        <v>1300</v>
      </c>
      <c r="H568" s="24"/>
      <c r="I568" s="24"/>
      <c r="J568" s="21">
        <v>1964</v>
      </c>
      <c r="K568" s="4" t="s">
        <v>95</v>
      </c>
      <c r="L568" s="24"/>
      <c r="M568" s="4"/>
      <c r="N568" s="4" t="s">
        <v>1475</v>
      </c>
    </row>
    <row r="569" spans="1:14">
      <c r="A569" s="4" t="s">
        <v>2429</v>
      </c>
      <c r="B569" s="4" t="s">
        <v>2430</v>
      </c>
      <c r="C569" s="4" t="s">
        <v>113</v>
      </c>
      <c r="D569" s="4" t="s">
        <v>69</v>
      </c>
      <c r="E569" s="4" t="s">
        <v>259</v>
      </c>
      <c r="F569" s="4" t="s">
        <v>1596</v>
      </c>
      <c r="G569" s="22">
        <v>1300</v>
      </c>
      <c r="H569" s="21">
        <v>25366</v>
      </c>
      <c r="I569" s="22">
        <v>0.05124970432862887</v>
      </c>
      <c r="J569" s="21">
        <v>1966</v>
      </c>
      <c r="K569" s="4" t="s">
        <v>95</v>
      </c>
      <c r="L569" s="24"/>
      <c r="M569" s="4"/>
      <c r="N569" s="4" t="s">
        <v>1471</v>
      </c>
    </row>
    <row r="570" spans="1:14">
      <c r="A570" s="4" t="s">
        <v>2431</v>
      </c>
      <c r="B570" s="4" t="s">
        <v>2432</v>
      </c>
      <c r="C570" s="4" t="s">
        <v>120</v>
      </c>
      <c r="D570" s="4" t="s">
        <v>65</v>
      </c>
      <c r="E570" s="4" t="s">
        <v>259</v>
      </c>
      <c r="F570" s="4" t="s">
        <v>1596</v>
      </c>
      <c r="G570" s="22">
        <v>1175</v>
      </c>
      <c r="H570" s="21">
        <v>42875</v>
      </c>
      <c r="I570" s="22">
        <v>0.02740524781341108</v>
      </c>
      <c r="J570" s="24"/>
      <c r="K570" s="4" t="s">
        <v>95</v>
      </c>
      <c r="L570" s="24"/>
      <c r="M570" s="4"/>
      <c r="N570" s="4" t="s">
        <v>1479</v>
      </c>
    </row>
    <row r="571" spans="1:14">
      <c r="A571" s="4" t="s">
        <v>2433</v>
      </c>
      <c r="B571" s="4" t="s">
        <v>2434</v>
      </c>
      <c r="C571" s="4" t="s">
        <v>246</v>
      </c>
      <c r="D571" s="4" t="s">
        <v>69</v>
      </c>
      <c r="E571" s="4" t="s">
        <v>259</v>
      </c>
      <c r="F571" s="4" t="s">
        <v>1596</v>
      </c>
      <c r="G571" s="22">
        <v>1100</v>
      </c>
      <c r="H571" s="21">
        <v>150</v>
      </c>
      <c r="I571" s="22">
        <v>7.333333333333333</v>
      </c>
      <c r="J571" s="24"/>
      <c r="K571" s="4" t="s">
        <v>95</v>
      </c>
      <c r="L571" s="24"/>
      <c r="M571" s="4"/>
      <c r="N571" s="24" t="s">
        <v>237</v>
      </c>
    </row>
    <row r="572" spans="1:14">
      <c r="A572" s="4" t="s">
        <v>2435</v>
      </c>
      <c r="B572" s="4" t="s">
        <v>2436</v>
      </c>
      <c r="C572" s="4" t="s">
        <v>78</v>
      </c>
      <c r="D572" s="4" t="s">
        <v>68</v>
      </c>
      <c r="E572" s="4" t="s">
        <v>259</v>
      </c>
      <c r="F572" s="4" t="s">
        <v>1596</v>
      </c>
      <c r="G572" s="22">
        <v>1000</v>
      </c>
      <c r="H572" s="21">
        <v>1258</v>
      </c>
      <c r="I572" s="22">
        <v>0.794912559618442</v>
      </c>
      <c r="J572" s="24"/>
      <c r="K572" s="4" t="s">
        <v>95</v>
      </c>
      <c r="L572" s="22">
        <v>9.538950715421304</v>
      </c>
      <c r="M572" s="4"/>
      <c r="N572" s="4" t="s">
        <v>1469</v>
      </c>
    </row>
    <row r="573" spans="1:14">
      <c r="A573" s="4" t="s">
        <v>2437</v>
      </c>
      <c r="B573" s="4" t="s">
        <v>2438</v>
      </c>
      <c r="C573" s="4" t="s">
        <v>80</v>
      </c>
      <c r="D573" s="4" t="s">
        <v>69</v>
      </c>
      <c r="E573" s="4" t="s">
        <v>259</v>
      </c>
      <c r="F573" s="4" t="s">
        <v>1596</v>
      </c>
      <c r="G573" s="22">
        <v>999</v>
      </c>
      <c r="H573" s="21">
        <v>12974</v>
      </c>
      <c r="I573" s="22">
        <v>0.07700015415446278</v>
      </c>
      <c r="J573" s="21">
        <v>1986</v>
      </c>
      <c r="K573" s="4" t="s">
        <v>95</v>
      </c>
      <c r="L573" s="24"/>
      <c r="M573" s="4"/>
      <c r="N573" s="4" t="s">
        <v>2439</v>
      </c>
    </row>
    <row r="574" spans="1:14">
      <c r="A574" s="4" t="s">
        <v>2440</v>
      </c>
      <c r="B574" s="4" t="s">
        <v>2441</v>
      </c>
      <c r="C574" s="4" t="s">
        <v>108</v>
      </c>
      <c r="D574" s="4" t="s">
        <v>69</v>
      </c>
      <c r="E574" s="4" t="s">
        <v>259</v>
      </c>
      <c r="F574" s="4" t="s">
        <v>1596</v>
      </c>
      <c r="G574" s="22">
        <v>848</v>
      </c>
      <c r="H574" s="21">
        <v>15000</v>
      </c>
      <c r="I574" s="22">
        <v>0.05653333333333333</v>
      </c>
      <c r="J574" s="24"/>
      <c r="K574" s="4" t="s">
        <v>95</v>
      </c>
      <c r="L574" s="24"/>
      <c r="M574" s="4"/>
      <c r="N574" s="24" t="s">
        <v>237</v>
      </c>
    </row>
    <row r="575" spans="1:14">
      <c r="A575" s="4" t="s">
        <v>2442</v>
      </c>
      <c r="B575" s="4" t="s">
        <v>2443</v>
      </c>
      <c r="C575" s="4" t="s">
        <v>80</v>
      </c>
      <c r="D575" s="4" t="s">
        <v>69</v>
      </c>
      <c r="E575" s="4" t="s">
        <v>259</v>
      </c>
      <c r="F575" s="4" t="s">
        <v>1596</v>
      </c>
      <c r="G575" s="22">
        <v>700</v>
      </c>
      <c r="H575" s="21">
        <v>13664</v>
      </c>
      <c r="I575" s="22">
        <v>0.05122950819672131</v>
      </c>
      <c r="J575" s="21">
        <v>1975</v>
      </c>
      <c r="K575" s="4" t="s">
        <v>95</v>
      </c>
      <c r="L575" s="24"/>
      <c r="M575" s="4"/>
      <c r="N575" s="4" t="s">
        <v>1550</v>
      </c>
    </row>
    <row r="576" spans="1:14">
      <c r="A576" s="4" t="s">
        <v>2444</v>
      </c>
      <c r="B576" s="4" t="s">
        <v>2445</v>
      </c>
      <c r="C576" s="4" t="s">
        <v>116</v>
      </c>
      <c r="D576" s="4" t="s">
        <v>70</v>
      </c>
      <c r="E576" s="4" t="s">
        <v>259</v>
      </c>
      <c r="F576" s="4" t="s">
        <v>1596</v>
      </c>
      <c r="G576" s="22">
        <v>50</v>
      </c>
      <c r="H576" s="21">
        <v>16875</v>
      </c>
      <c r="I576" s="22">
        <v>0.002962962962962963</v>
      </c>
      <c r="J576" s="24"/>
      <c r="K576" s="4" t="s">
        <v>95</v>
      </c>
      <c r="L576" s="22">
        <v>50</v>
      </c>
      <c r="M576" s="4"/>
      <c r="N576" s="4" t="s">
        <v>1467</v>
      </c>
    </row>
    <row r="577" spans="1:14">
      <c r="A577" s="4" t="s">
        <v>2446</v>
      </c>
      <c r="B577" s="4" t="s">
        <v>258</v>
      </c>
      <c r="C577" s="4" t="s">
        <v>116</v>
      </c>
      <c r="D577" s="4" t="s">
        <v>70</v>
      </c>
      <c r="E577" s="4" t="s">
        <v>259</v>
      </c>
      <c r="F577" s="4" t="s">
        <v>1456</v>
      </c>
      <c r="G577" s="22">
        <v>50</v>
      </c>
      <c r="H577" s="21">
        <v>16875</v>
      </c>
      <c r="I577" s="22">
        <v>0.002962962962962963</v>
      </c>
      <c r="J577" s="21">
        <v>1968</v>
      </c>
      <c r="K577" s="4" t="s">
        <v>95</v>
      </c>
      <c r="L577" s="24"/>
      <c r="M577" s="4"/>
      <c r="N577" s="4" t="s">
        <v>1467</v>
      </c>
    </row>
    <row r="578" spans="1:14">
      <c r="A578" s="4" t="s">
        <v>2447</v>
      </c>
      <c r="B578" s="4" t="s">
        <v>2448</v>
      </c>
      <c r="C578" s="4" t="s">
        <v>118</v>
      </c>
      <c r="D578" s="4" t="s">
        <v>70</v>
      </c>
      <c r="E578" s="4" t="s">
        <v>259</v>
      </c>
      <c r="F578" s="4" t="s">
        <v>1596</v>
      </c>
      <c r="G578" s="22">
        <v>50</v>
      </c>
      <c r="H578" s="21">
        <v>6375</v>
      </c>
      <c r="I578" s="22">
        <v>0.007843137254901961</v>
      </c>
      <c r="J578" s="24"/>
      <c r="K578" s="4" t="s">
        <v>95</v>
      </c>
      <c r="L578" s="22">
        <v>50</v>
      </c>
      <c r="M578" s="4"/>
      <c r="N578" s="4" t="s">
        <v>1462</v>
      </c>
    </row>
    <row r="579" spans="1:14">
      <c r="A579" s="4" t="s">
        <v>2449</v>
      </c>
      <c r="B579" s="4" t="s">
        <v>2450</v>
      </c>
      <c r="C579" s="4" t="s">
        <v>79</v>
      </c>
      <c r="D579" s="4" t="s">
        <v>70</v>
      </c>
      <c r="E579" s="4" t="s">
        <v>259</v>
      </c>
      <c r="F579" s="4" t="s">
        <v>1596</v>
      </c>
      <c r="G579" s="22">
        <v>48</v>
      </c>
      <c r="H579" s="21">
        <v>3429</v>
      </c>
      <c r="I579" s="22">
        <v>0.01399825021872266</v>
      </c>
      <c r="J579" s="24"/>
      <c r="K579" s="4" t="s">
        <v>95</v>
      </c>
      <c r="L579" s="22">
        <v>48</v>
      </c>
      <c r="M579" s="4"/>
      <c r="N579" s="4" t="s">
        <v>1467</v>
      </c>
    </row>
    <row r="580" spans="1:14">
      <c r="A580" s="4" t="s">
        <v>2451</v>
      </c>
      <c r="B580" s="4" t="s">
        <v>319</v>
      </c>
      <c r="C580" s="4" t="s">
        <v>78</v>
      </c>
      <c r="D580" s="4" t="s">
        <v>65</v>
      </c>
      <c r="E580" s="4" t="s">
        <v>259</v>
      </c>
      <c r="F580" s="4" t="s">
        <v>1596</v>
      </c>
      <c r="G580" s="22">
        <v>45</v>
      </c>
      <c r="H580" s="21">
        <v>11156</v>
      </c>
      <c r="I580" s="22">
        <v>0.004033703836500538</v>
      </c>
      <c r="J580" s="24"/>
      <c r="K580" s="4" t="s">
        <v>95</v>
      </c>
      <c r="L580" s="22">
        <v>45</v>
      </c>
      <c r="M580" s="4"/>
      <c r="N580" s="4" t="s">
        <v>1462</v>
      </c>
    </row>
    <row r="581" spans="1:14">
      <c r="A581" s="4" t="s">
        <v>2452</v>
      </c>
      <c r="B581" s="4" t="s">
        <v>2270</v>
      </c>
      <c r="C581" s="4" t="s">
        <v>112</v>
      </c>
      <c r="D581" s="4" t="s">
        <v>65</v>
      </c>
      <c r="E581" s="4" t="s">
        <v>259</v>
      </c>
      <c r="F581" s="4" t="s">
        <v>1596</v>
      </c>
      <c r="G581" s="22">
        <v>40</v>
      </c>
      <c r="H581" s="24"/>
      <c r="I581" s="24"/>
      <c r="J581" s="24"/>
      <c r="K581" s="4" t="s">
        <v>95</v>
      </c>
      <c r="L581" s="24"/>
      <c r="M581" s="4"/>
      <c r="N581" s="24" t="s">
        <v>237</v>
      </c>
    </row>
    <row r="582" spans="1:14">
      <c r="A582" s="4" t="s">
        <v>2453</v>
      </c>
      <c r="B582" s="4" t="s">
        <v>2454</v>
      </c>
      <c r="C582" s="4" t="s">
        <v>79</v>
      </c>
      <c r="D582" s="4" t="s">
        <v>70</v>
      </c>
      <c r="E582" s="4" t="s">
        <v>259</v>
      </c>
      <c r="F582" s="4" t="s">
        <v>1596</v>
      </c>
      <c r="G582" s="22">
        <v>40</v>
      </c>
      <c r="H582" s="21">
        <v>6248</v>
      </c>
      <c r="I582" s="22">
        <v>0.006402048655569782</v>
      </c>
      <c r="J582" s="24"/>
      <c r="K582" s="4" t="s">
        <v>95</v>
      </c>
      <c r="L582" s="22">
        <v>40</v>
      </c>
      <c r="M582" s="4"/>
      <c r="N582" s="4" t="s">
        <v>1475</v>
      </c>
    </row>
    <row r="583" spans="1:14">
      <c r="A583" s="4" t="s">
        <v>2455</v>
      </c>
      <c r="B583" s="4" t="s">
        <v>2346</v>
      </c>
      <c r="C583" s="4" t="s">
        <v>117</v>
      </c>
      <c r="D583" s="4" t="s">
        <v>68</v>
      </c>
      <c r="E583" s="4" t="s">
        <v>259</v>
      </c>
      <c r="F583" s="4" t="s">
        <v>1596</v>
      </c>
      <c r="G583" s="22">
        <v>35</v>
      </c>
      <c r="H583" s="21">
        <v>32680</v>
      </c>
      <c r="I583" s="22">
        <v>0.001070991432068543</v>
      </c>
      <c r="J583" s="21">
        <v>1987</v>
      </c>
      <c r="K583" s="4" t="s">
        <v>95</v>
      </c>
      <c r="L583" s="22">
        <v>35</v>
      </c>
      <c r="M583" s="4"/>
      <c r="N583" s="4" t="s">
        <v>1471</v>
      </c>
    </row>
    <row r="584" spans="1:14">
      <c r="A584" s="4" t="s">
        <v>2456</v>
      </c>
      <c r="B584" s="4" t="s">
        <v>2457</v>
      </c>
      <c r="C584" s="4" t="s">
        <v>120</v>
      </c>
      <c r="D584" s="4" t="s">
        <v>70</v>
      </c>
      <c r="E584" s="4" t="s">
        <v>259</v>
      </c>
      <c r="F584" s="4" t="s">
        <v>1596</v>
      </c>
      <c r="G584" s="22">
        <v>35</v>
      </c>
      <c r="H584" s="21">
        <v>13720</v>
      </c>
      <c r="I584" s="22">
        <v>0.002551020408163265</v>
      </c>
      <c r="J584" s="24"/>
      <c r="K584" s="4" t="s">
        <v>95</v>
      </c>
      <c r="L584" s="22">
        <v>35</v>
      </c>
      <c r="M584" s="4"/>
      <c r="N584" s="4" t="s">
        <v>2458</v>
      </c>
    </row>
    <row r="585" spans="1:14">
      <c r="A585" s="4" t="s">
        <v>2459</v>
      </c>
      <c r="B585" s="4" t="s">
        <v>1202</v>
      </c>
      <c r="C585" s="4" t="s">
        <v>81</v>
      </c>
      <c r="D585" s="4" t="s">
        <v>65</v>
      </c>
      <c r="E585" s="4" t="s">
        <v>259</v>
      </c>
      <c r="F585" s="4" t="s">
        <v>1596</v>
      </c>
      <c r="G585" s="22">
        <v>35</v>
      </c>
      <c r="H585" s="21">
        <v>6997</v>
      </c>
      <c r="I585" s="22">
        <v>0.005002143775903959</v>
      </c>
      <c r="J585" s="24"/>
      <c r="K585" s="4" t="s">
        <v>95</v>
      </c>
      <c r="L585" s="22">
        <v>35</v>
      </c>
      <c r="M585" s="4"/>
      <c r="N585" s="4" t="s">
        <v>1479</v>
      </c>
    </row>
    <row r="586" spans="1:14">
      <c r="A586" s="4" t="s">
        <v>2460</v>
      </c>
      <c r="B586" s="4" t="s">
        <v>1205</v>
      </c>
      <c r="C586" s="4" t="s">
        <v>81</v>
      </c>
      <c r="D586" s="4" t="s">
        <v>65</v>
      </c>
      <c r="E586" s="4" t="s">
        <v>259</v>
      </c>
      <c r="F586" s="4" t="s">
        <v>1596</v>
      </c>
      <c r="G586" s="22">
        <v>35</v>
      </c>
      <c r="H586" s="21">
        <v>7000</v>
      </c>
      <c r="I586" s="22">
        <v>0.005</v>
      </c>
      <c r="J586" s="24"/>
      <c r="K586" s="4" t="s">
        <v>95</v>
      </c>
      <c r="L586" s="22">
        <v>35</v>
      </c>
      <c r="M586" s="4"/>
      <c r="N586" s="4" t="s">
        <v>1522</v>
      </c>
    </row>
    <row r="587" spans="1:14">
      <c r="A587" s="4" t="s">
        <v>2461</v>
      </c>
      <c r="B587" s="4" t="s">
        <v>2462</v>
      </c>
      <c r="C587" s="4" t="s">
        <v>83</v>
      </c>
      <c r="D587" s="4" t="s">
        <v>65</v>
      </c>
      <c r="E587" s="4" t="s">
        <v>259</v>
      </c>
      <c r="F587" s="4" t="s">
        <v>1596</v>
      </c>
      <c r="G587" s="22">
        <v>34</v>
      </c>
      <c r="H587" s="21">
        <v>60749</v>
      </c>
      <c r="I587" s="22">
        <v>0.0005596799947324236</v>
      </c>
      <c r="J587" s="24"/>
      <c r="K587" s="4" t="s">
        <v>95</v>
      </c>
      <c r="L587" s="22">
        <v>34</v>
      </c>
      <c r="M587" s="4"/>
      <c r="N587" s="4" t="s">
        <v>72</v>
      </c>
    </row>
    <row r="588" spans="1:14">
      <c r="A588" s="4" t="s">
        <v>2463</v>
      </c>
      <c r="B588" s="4" t="s">
        <v>1759</v>
      </c>
      <c r="C588" s="4" t="s">
        <v>79</v>
      </c>
      <c r="D588" s="4" t="s">
        <v>70</v>
      </c>
      <c r="E588" s="4" t="s">
        <v>259</v>
      </c>
      <c r="F588" s="4" t="s">
        <v>1596</v>
      </c>
      <c r="G588" s="22">
        <v>32</v>
      </c>
      <c r="H588" s="21">
        <v>25944</v>
      </c>
      <c r="I588" s="22">
        <v>0.001233425840271354</v>
      </c>
      <c r="J588" s="24"/>
      <c r="K588" s="4" t="s">
        <v>95</v>
      </c>
      <c r="L588" s="22">
        <v>32</v>
      </c>
      <c r="M588" s="4"/>
      <c r="N588" s="4" t="s">
        <v>1760</v>
      </c>
    </row>
    <row r="589" spans="1:14">
      <c r="A589" s="4" t="s">
        <v>2464</v>
      </c>
      <c r="B589" s="4" t="s">
        <v>2465</v>
      </c>
      <c r="C589" s="4" t="s">
        <v>118</v>
      </c>
      <c r="D589" s="4" t="s">
        <v>68</v>
      </c>
      <c r="E589" s="4" t="s">
        <v>259</v>
      </c>
      <c r="F589" s="4" t="s">
        <v>1596</v>
      </c>
      <c r="G589" s="22">
        <v>30</v>
      </c>
      <c r="H589" s="24"/>
      <c r="I589" s="24"/>
      <c r="J589" s="24"/>
      <c r="K589" s="4" t="s">
        <v>95</v>
      </c>
      <c r="L589" s="24"/>
      <c r="M589" s="4"/>
      <c r="N589" s="4" t="s">
        <v>1469</v>
      </c>
    </row>
    <row r="590" spans="1:14">
      <c r="A590" s="4" t="s">
        <v>2466</v>
      </c>
      <c r="B590" s="4" t="s">
        <v>2467</v>
      </c>
      <c r="C590" s="4" t="s">
        <v>246</v>
      </c>
      <c r="D590" s="4" t="s">
        <v>65</v>
      </c>
      <c r="E590" s="4" t="s">
        <v>259</v>
      </c>
      <c r="F590" s="4" t="s">
        <v>1596</v>
      </c>
      <c r="G590" s="22">
        <v>29</v>
      </c>
      <c r="H590" s="24"/>
      <c r="I590" s="24"/>
      <c r="J590" s="24"/>
      <c r="K590" s="4" t="s">
        <v>95</v>
      </c>
      <c r="L590" s="24"/>
      <c r="M590" s="4"/>
      <c r="N590" s="24" t="s">
        <v>237</v>
      </c>
    </row>
    <row r="591" spans="1:14">
      <c r="A591" s="4" t="s">
        <v>2468</v>
      </c>
      <c r="B591" s="4" t="s">
        <v>2469</v>
      </c>
      <c r="C591" s="4" t="s">
        <v>79</v>
      </c>
      <c r="D591" s="4" t="s">
        <v>65</v>
      </c>
      <c r="E591" s="4" t="s">
        <v>259</v>
      </c>
      <c r="F591" s="4" t="s">
        <v>1596</v>
      </c>
      <c r="G591" s="22">
        <v>28</v>
      </c>
      <c r="H591" s="21">
        <v>3429</v>
      </c>
      <c r="I591" s="22">
        <v>0.008165645960921552</v>
      </c>
      <c r="J591" s="24"/>
      <c r="K591" s="4" t="s">
        <v>95</v>
      </c>
      <c r="L591" s="22">
        <v>28</v>
      </c>
      <c r="M591" s="4"/>
      <c r="N591" s="4" t="s">
        <v>1467</v>
      </c>
    </row>
    <row r="592" spans="1:14">
      <c r="A592" s="4" t="s">
        <v>2470</v>
      </c>
      <c r="B592" s="4" t="s">
        <v>2346</v>
      </c>
      <c r="C592" s="4" t="s">
        <v>117</v>
      </c>
      <c r="D592" s="4" t="s">
        <v>68</v>
      </c>
      <c r="E592" s="4" t="s">
        <v>259</v>
      </c>
      <c r="F592" s="4" t="s">
        <v>1596</v>
      </c>
      <c r="G592" s="22">
        <v>28</v>
      </c>
      <c r="H592" s="21">
        <v>32680</v>
      </c>
      <c r="I592" s="22">
        <v>0.0008567931456548348</v>
      </c>
      <c r="J592" s="21">
        <v>1987</v>
      </c>
      <c r="K592" s="4" t="s">
        <v>95</v>
      </c>
      <c r="L592" s="22">
        <v>28</v>
      </c>
      <c r="M592" s="4"/>
      <c r="N592" s="4" t="s">
        <v>1471</v>
      </c>
    </row>
    <row r="593" spans="1:14">
      <c r="A593" s="4" t="s">
        <v>2471</v>
      </c>
      <c r="B593" s="4" t="s">
        <v>2472</v>
      </c>
      <c r="C593" s="4" t="s">
        <v>79</v>
      </c>
      <c r="D593" s="4" t="s">
        <v>65</v>
      </c>
      <c r="E593" s="4" t="s">
        <v>259</v>
      </c>
      <c r="F593" s="4" t="s">
        <v>1596</v>
      </c>
      <c r="G593" s="22">
        <v>28</v>
      </c>
      <c r="H593" s="24"/>
      <c r="I593" s="24"/>
      <c r="J593" s="24"/>
      <c r="K593" s="4" t="s">
        <v>95</v>
      </c>
      <c r="L593" s="24"/>
      <c r="M593" s="4"/>
      <c r="N593" s="4" t="s">
        <v>2473</v>
      </c>
    </row>
    <row r="594" spans="1:14">
      <c r="A594" s="4" t="s">
        <v>2474</v>
      </c>
      <c r="B594" s="4" t="s">
        <v>2240</v>
      </c>
      <c r="C594" s="4" t="s">
        <v>81</v>
      </c>
      <c r="D594" s="4" t="s">
        <v>65</v>
      </c>
      <c r="E594" s="4" t="s">
        <v>259</v>
      </c>
      <c r="F594" s="4" t="s">
        <v>1596</v>
      </c>
      <c r="G594" s="22">
        <v>26</v>
      </c>
      <c r="H594" s="24"/>
      <c r="I594" s="24"/>
      <c r="J594" s="24"/>
      <c r="K594" s="4" t="s">
        <v>95</v>
      </c>
      <c r="L594" s="24"/>
      <c r="M594" s="4"/>
      <c r="N594" s="4" t="s">
        <v>2241</v>
      </c>
    </row>
    <row r="595" spans="1:14">
      <c r="A595" s="4" t="s">
        <v>2475</v>
      </c>
      <c r="B595" s="4" t="s">
        <v>2273</v>
      </c>
      <c r="C595" s="4" t="s">
        <v>81</v>
      </c>
      <c r="D595" s="4" t="s">
        <v>65</v>
      </c>
      <c r="E595" s="4" t="s">
        <v>259</v>
      </c>
      <c r="F595" s="4" t="s">
        <v>1596</v>
      </c>
      <c r="G595" s="22">
        <v>26</v>
      </c>
      <c r="H595" s="24"/>
      <c r="I595" s="24"/>
      <c r="J595" s="24"/>
      <c r="K595" s="4" t="s">
        <v>95</v>
      </c>
      <c r="L595" s="24"/>
      <c r="M595" s="4"/>
      <c r="N595" s="24" t="s">
        <v>237</v>
      </c>
    </row>
    <row r="596" spans="1:14">
      <c r="A596" s="4" t="s">
        <v>2476</v>
      </c>
      <c r="B596" s="4" t="s">
        <v>2233</v>
      </c>
      <c r="C596" s="4" t="s">
        <v>79</v>
      </c>
      <c r="D596" s="4" t="s">
        <v>74</v>
      </c>
      <c r="E596" s="4" t="s">
        <v>259</v>
      </c>
      <c r="F596" s="4" t="s">
        <v>1596</v>
      </c>
      <c r="G596" s="22">
        <v>25</v>
      </c>
      <c r="H596" s="24"/>
      <c r="I596" s="24"/>
      <c r="J596" s="21">
        <v>1961</v>
      </c>
      <c r="K596" s="4" t="s">
        <v>95</v>
      </c>
      <c r="L596" s="24"/>
      <c r="M596" s="4" t="s">
        <v>1542</v>
      </c>
      <c r="N596" s="4" t="s">
        <v>1471</v>
      </c>
    </row>
    <row r="597" spans="1:14">
      <c r="A597" s="4" t="s">
        <v>2477</v>
      </c>
      <c r="B597" s="4" t="s">
        <v>753</v>
      </c>
      <c r="C597" s="4" t="s">
        <v>81</v>
      </c>
      <c r="D597" s="4" t="s">
        <v>69</v>
      </c>
      <c r="E597" s="4" t="s">
        <v>259</v>
      </c>
      <c r="F597" s="4" t="s">
        <v>1596</v>
      </c>
      <c r="G597" s="22">
        <v>25</v>
      </c>
      <c r="H597" s="21">
        <v>2400</v>
      </c>
      <c r="I597" s="22">
        <v>0.01041666666666667</v>
      </c>
      <c r="J597" s="21">
        <v>1986</v>
      </c>
      <c r="K597" s="4" t="s">
        <v>95</v>
      </c>
      <c r="L597" s="22">
        <v>25</v>
      </c>
      <c r="M597" s="4"/>
      <c r="N597" s="4" t="s">
        <v>1479</v>
      </c>
    </row>
    <row r="598" spans="1:14">
      <c r="A598" s="4" t="s">
        <v>2478</v>
      </c>
      <c r="B598" s="4" t="s">
        <v>753</v>
      </c>
      <c r="C598" s="4" t="s">
        <v>81</v>
      </c>
      <c r="D598" s="4" t="s">
        <v>69</v>
      </c>
      <c r="E598" s="4" t="s">
        <v>259</v>
      </c>
      <c r="F598" s="4" t="s">
        <v>1596</v>
      </c>
      <c r="G598" s="22">
        <v>25</v>
      </c>
      <c r="H598" s="21">
        <v>2400</v>
      </c>
      <c r="I598" s="22">
        <v>0.01041666666666667</v>
      </c>
      <c r="J598" s="21">
        <v>1986</v>
      </c>
      <c r="K598" s="4" t="s">
        <v>95</v>
      </c>
      <c r="L598" s="22">
        <v>25</v>
      </c>
      <c r="M598" s="4"/>
      <c r="N598" s="4" t="s">
        <v>1479</v>
      </c>
    </row>
    <row r="599" spans="1:14">
      <c r="A599" s="4" t="s">
        <v>2479</v>
      </c>
      <c r="B599" s="4" t="s">
        <v>689</v>
      </c>
      <c r="C599" s="4" t="s">
        <v>81</v>
      </c>
      <c r="D599" s="4" t="s">
        <v>69</v>
      </c>
      <c r="E599" s="4" t="s">
        <v>259</v>
      </c>
      <c r="F599" s="4" t="s">
        <v>1596</v>
      </c>
      <c r="G599" s="22">
        <v>25</v>
      </c>
      <c r="H599" s="21">
        <v>3300</v>
      </c>
      <c r="I599" s="22">
        <v>0.007575757575757576</v>
      </c>
      <c r="J599" s="21">
        <v>1986</v>
      </c>
      <c r="K599" s="4" t="s">
        <v>95</v>
      </c>
      <c r="L599" s="22">
        <v>25</v>
      </c>
      <c r="M599" s="4"/>
      <c r="N599" s="4" t="s">
        <v>1479</v>
      </c>
    </row>
    <row r="600" spans="1:14">
      <c r="A600" s="4" t="s">
        <v>2480</v>
      </c>
      <c r="B600" s="4" t="s">
        <v>2273</v>
      </c>
      <c r="C600" s="4" t="s">
        <v>81</v>
      </c>
      <c r="D600" s="4" t="s">
        <v>65</v>
      </c>
      <c r="E600" s="4" t="s">
        <v>259</v>
      </c>
      <c r="F600" s="4" t="s">
        <v>1596</v>
      </c>
      <c r="G600" s="22">
        <v>25</v>
      </c>
      <c r="H600" s="24"/>
      <c r="I600" s="24"/>
      <c r="J600" s="24"/>
      <c r="K600" s="4" t="s">
        <v>95</v>
      </c>
      <c r="L600" s="24"/>
      <c r="M600" s="4"/>
      <c r="N600" s="24" t="s">
        <v>237</v>
      </c>
    </row>
    <row r="601" spans="1:14">
      <c r="A601" s="4" t="s">
        <v>2481</v>
      </c>
      <c r="B601" s="4" t="s">
        <v>2482</v>
      </c>
      <c r="C601" s="4" t="s">
        <v>83</v>
      </c>
      <c r="D601" s="4" t="s">
        <v>68</v>
      </c>
      <c r="E601" s="4" t="s">
        <v>259</v>
      </c>
      <c r="F601" s="4" t="s">
        <v>1596</v>
      </c>
      <c r="G601" s="22">
        <v>23</v>
      </c>
      <c r="H601" s="21">
        <v>60749</v>
      </c>
      <c r="I601" s="22">
        <v>0.0003786070552601689</v>
      </c>
      <c r="J601" s="24"/>
      <c r="K601" s="4" t="s">
        <v>95</v>
      </c>
      <c r="L601" s="22">
        <v>23</v>
      </c>
      <c r="M601" s="4"/>
      <c r="N601" s="4" t="s">
        <v>73</v>
      </c>
    </row>
    <row r="602" spans="1:14">
      <c r="A602" s="4" t="s">
        <v>2483</v>
      </c>
      <c r="B602" s="4" t="s">
        <v>2484</v>
      </c>
      <c r="C602" s="4" t="s">
        <v>83</v>
      </c>
      <c r="D602" s="4" t="s">
        <v>68</v>
      </c>
      <c r="E602" s="4" t="s">
        <v>259</v>
      </c>
      <c r="F602" s="4" t="s">
        <v>1596</v>
      </c>
      <c r="G602" s="22">
        <v>23</v>
      </c>
      <c r="H602" s="21">
        <v>60749</v>
      </c>
      <c r="I602" s="22">
        <v>0.0003786070552601689</v>
      </c>
      <c r="J602" s="24"/>
      <c r="K602" s="4" t="s">
        <v>95</v>
      </c>
      <c r="L602" s="22">
        <v>23</v>
      </c>
      <c r="M602" s="4"/>
      <c r="N602" s="4" t="s">
        <v>73</v>
      </c>
    </row>
    <row r="603" spans="1:14">
      <c r="A603" s="4" t="s">
        <v>2485</v>
      </c>
      <c r="B603" s="4" t="s">
        <v>2486</v>
      </c>
      <c r="C603" s="4" t="s">
        <v>78</v>
      </c>
      <c r="D603" s="4" t="s">
        <v>67</v>
      </c>
      <c r="E603" s="4" t="s">
        <v>259</v>
      </c>
      <c r="F603" s="4" t="s">
        <v>1596</v>
      </c>
      <c r="G603" s="22">
        <v>20</v>
      </c>
      <c r="H603" s="21">
        <v>10125</v>
      </c>
      <c r="I603" s="22">
        <v>0.001975308641975309</v>
      </c>
      <c r="J603" s="24"/>
      <c r="K603" s="4" t="s">
        <v>95</v>
      </c>
      <c r="L603" s="22">
        <v>20</v>
      </c>
      <c r="M603" s="4"/>
      <c r="N603" s="4" t="s">
        <v>1483</v>
      </c>
    </row>
    <row r="604" spans="1:14">
      <c r="A604" s="4" t="s">
        <v>2487</v>
      </c>
      <c r="B604" s="4" t="s">
        <v>2488</v>
      </c>
      <c r="C604" s="4" t="s">
        <v>111</v>
      </c>
      <c r="D604" s="4" t="s">
        <v>69</v>
      </c>
      <c r="E604" s="4" t="s">
        <v>259</v>
      </c>
      <c r="F604" s="4" t="s">
        <v>1596</v>
      </c>
      <c r="G604" s="22">
        <v>18</v>
      </c>
      <c r="H604" s="21">
        <v>245865</v>
      </c>
      <c r="I604" s="22">
        <v>7.321090842535538E-05</v>
      </c>
      <c r="J604" s="21">
        <v>2005</v>
      </c>
      <c r="K604" s="4" t="s">
        <v>95</v>
      </c>
      <c r="L604" s="22">
        <v>18</v>
      </c>
      <c r="M604" s="4"/>
      <c r="N604" s="4" t="s">
        <v>2489</v>
      </c>
    </row>
    <row r="605" spans="1:14">
      <c r="A605" s="4" t="s">
        <v>2490</v>
      </c>
      <c r="B605" s="4" t="s">
        <v>2491</v>
      </c>
      <c r="C605" s="4" t="s">
        <v>83</v>
      </c>
      <c r="D605" s="4" t="s">
        <v>68</v>
      </c>
      <c r="E605" s="4" t="s">
        <v>259</v>
      </c>
      <c r="F605" s="4" t="s">
        <v>1596</v>
      </c>
      <c r="G605" s="22">
        <v>18</v>
      </c>
      <c r="H605" s="21">
        <v>60749</v>
      </c>
      <c r="I605" s="22">
        <v>0.0002963011736818713</v>
      </c>
      <c r="J605" s="24"/>
      <c r="K605" s="4" t="s">
        <v>95</v>
      </c>
      <c r="L605" s="22">
        <v>18</v>
      </c>
      <c r="M605" s="4"/>
      <c r="N605" s="4" t="s">
        <v>73</v>
      </c>
    </row>
    <row r="606" spans="1:14">
      <c r="A606" s="4" t="s">
        <v>2492</v>
      </c>
      <c r="B606" s="4" t="s">
        <v>2493</v>
      </c>
      <c r="C606" s="4" t="s">
        <v>114</v>
      </c>
      <c r="D606" s="4" t="s">
        <v>67</v>
      </c>
      <c r="E606" s="4" t="s">
        <v>259</v>
      </c>
      <c r="F606" s="4" t="s">
        <v>1596</v>
      </c>
      <c r="G606" s="22">
        <v>15</v>
      </c>
      <c r="H606" s="24"/>
      <c r="I606" s="24"/>
      <c r="J606" s="21">
        <v>1977</v>
      </c>
      <c r="K606" s="4" t="s">
        <v>95</v>
      </c>
      <c r="L606" s="24"/>
      <c r="M606" s="4"/>
      <c r="N606" s="4" t="s">
        <v>1483</v>
      </c>
    </row>
    <row r="607" spans="1:14">
      <c r="A607" s="4" t="s">
        <v>2494</v>
      </c>
      <c r="B607" s="4" t="s">
        <v>1063</v>
      </c>
      <c r="C607" s="4" t="s">
        <v>59</v>
      </c>
      <c r="D607" s="4" t="s">
        <v>66</v>
      </c>
      <c r="E607" s="4" t="s">
        <v>231</v>
      </c>
      <c r="F607" s="4" t="s">
        <v>1456</v>
      </c>
      <c r="G607" s="22">
        <v>23000000</v>
      </c>
      <c r="H607" s="24"/>
      <c r="I607" s="24"/>
      <c r="J607" s="21">
        <v>1947</v>
      </c>
      <c r="K607" s="4" t="s">
        <v>98</v>
      </c>
      <c r="L607" s="24"/>
      <c r="M607" s="4"/>
      <c r="N607" s="4" t="s">
        <v>1457</v>
      </c>
    </row>
    <row r="608" spans="1:14">
      <c r="A608" s="4" t="s">
        <v>2495</v>
      </c>
      <c r="B608" s="4" t="s">
        <v>1063</v>
      </c>
      <c r="C608" s="4" t="s">
        <v>107</v>
      </c>
      <c r="D608" s="4" t="s">
        <v>65</v>
      </c>
      <c r="E608" s="4" t="s">
        <v>231</v>
      </c>
      <c r="F608" s="4" t="s">
        <v>1456</v>
      </c>
      <c r="G608" s="22">
        <v>23000000</v>
      </c>
      <c r="H608" s="21">
        <v>28321</v>
      </c>
      <c r="I608" s="22">
        <v>812.1182161646834</v>
      </c>
      <c r="J608" s="21">
        <v>1947</v>
      </c>
      <c r="K608" s="4" t="s">
        <v>98</v>
      </c>
      <c r="L608" s="24"/>
      <c r="M608" s="4"/>
      <c r="N608" s="24" t="s">
        <v>237</v>
      </c>
    </row>
    <row r="609" spans="1:14">
      <c r="A609" s="4" t="s">
        <v>2496</v>
      </c>
      <c r="B609" s="4" t="s">
        <v>1058</v>
      </c>
      <c r="C609" s="4" t="s">
        <v>107</v>
      </c>
      <c r="D609" s="4" t="s">
        <v>71</v>
      </c>
      <c r="E609" s="4" t="s">
        <v>231</v>
      </c>
      <c r="F609" s="4" t="s">
        <v>1456</v>
      </c>
      <c r="G609" s="22">
        <v>14750000</v>
      </c>
      <c r="H609" s="21">
        <v>12976</v>
      </c>
      <c r="I609" s="22">
        <v>1136.713933415536</v>
      </c>
      <c r="J609" s="21">
        <v>1950</v>
      </c>
      <c r="K609" s="4" t="s">
        <v>98</v>
      </c>
      <c r="L609" s="24"/>
      <c r="M609" s="4"/>
      <c r="N609" s="4" t="s">
        <v>2261</v>
      </c>
    </row>
    <row r="610" spans="1:14">
      <c r="A610" s="4" t="s">
        <v>2497</v>
      </c>
      <c r="B610" s="4" t="s">
        <v>1059</v>
      </c>
      <c r="C610" s="4" t="s">
        <v>835</v>
      </c>
      <c r="D610" s="4" t="s">
        <v>65</v>
      </c>
      <c r="E610" s="4" t="s">
        <v>231</v>
      </c>
      <c r="F610" s="4" t="s">
        <v>1456</v>
      </c>
      <c r="G610" s="22">
        <v>13900000</v>
      </c>
      <c r="H610" s="21">
        <v>24715</v>
      </c>
      <c r="I610" s="22">
        <v>562.41149099737</v>
      </c>
      <c r="J610" s="21">
        <v>1962</v>
      </c>
      <c r="K610" s="4" t="s">
        <v>98</v>
      </c>
      <c r="L610" s="24"/>
      <c r="M610" s="4"/>
      <c r="N610" s="4" t="s">
        <v>1459</v>
      </c>
    </row>
    <row r="611" spans="1:14">
      <c r="A611" s="4" t="s">
        <v>2498</v>
      </c>
      <c r="B611" s="4" t="s">
        <v>1455</v>
      </c>
      <c r="C611" s="4" t="s">
        <v>107</v>
      </c>
      <c r="D611" s="4" t="s">
        <v>71</v>
      </c>
      <c r="E611" s="4" t="s">
        <v>231</v>
      </c>
      <c r="F611" s="4" t="s">
        <v>1456</v>
      </c>
      <c r="G611" s="22">
        <v>12500000</v>
      </c>
      <c r="H611" s="24"/>
      <c r="I611" s="24"/>
      <c r="J611" s="21">
        <v>1957</v>
      </c>
      <c r="K611" s="4" t="s">
        <v>98</v>
      </c>
      <c r="L611" s="24"/>
      <c r="M611" s="4"/>
      <c r="N611" s="24" t="s">
        <v>237</v>
      </c>
    </row>
    <row r="612" spans="1:14">
      <c r="A612" s="4" t="s">
        <v>2499</v>
      </c>
      <c r="B612" s="4" t="s">
        <v>1060</v>
      </c>
      <c r="C612" s="4" t="s">
        <v>246</v>
      </c>
      <c r="D612" s="4" t="s">
        <v>71</v>
      </c>
      <c r="E612" s="4" t="s">
        <v>231</v>
      </c>
      <c r="F612" s="4" t="s">
        <v>1456</v>
      </c>
      <c r="G612" s="22">
        <v>12000000</v>
      </c>
      <c r="H612" s="21">
        <v>6250</v>
      </c>
      <c r="I612" s="22">
        <v>1920</v>
      </c>
      <c r="J612" s="21">
        <v>1959</v>
      </c>
      <c r="K612" s="4" t="s">
        <v>98</v>
      </c>
      <c r="L612" s="24"/>
      <c r="M612" s="4"/>
      <c r="N612" s="4" t="s">
        <v>2500</v>
      </c>
    </row>
    <row r="613" spans="1:14">
      <c r="A613" s="4" t="s">
        <v>2501</v>
      </c>
      <c r="B613" s="4" t="s">
        <v>230</v>
      </c>
      <c r="C613" s="4" t="s">
        <v>81</v>
      </c>
      <c r="D613" s="4" t="s">
        <v>65</v>
      </c>
      <c r="E613" s="4" t="s">
        <v>231</v>
      </c>
      <c r="F613" s="4" t="s">
        <v>1456</v>
      </c>
      <c r="G613" s="22">
        <v>11900000</v>
      </c>
      <c r="H613" s="21">
        <v>90193</v>
      </c>
      <c r="I613" s="22">
        <v>131.9392857538833</v>
      </c>
      <c r="J613" s="21">
        <v>1972</v>
      </c>
      <c r="K613" s="4" t="s">
        <v>98</v>
      </c>
      <c r="L613" s="24"/>
      <c r="M613" s="4"/>
      <c r="N613" s="4" t="s">
        <v>1469</v>
      </c>
    </row>
    <row r="614" spans="1:14">
      <c r="A614" s="4" t="s">
        <v>2502</v>
      </c>
      <c r="B614" s="4" t="s">
        <v>1061</v>
      </c>
      <c r="C614" s="4" t="s">
        <v>118</v>
      </c>
      <c r="D614" s="4" t="s">
        <v>68</v>
      </c>
      <c r="E614" s="4" t="s">
        <v>231</v>
      </c>
      <c r="F614" s="4" t="s">
        <v>1456</v>
      </c>
      <c r="G614" s="22">
        <v>11250000</v>
      </c>
      <c r="H614" s="21">
        <v>17220</v>
      </c>
      <c r="I614" s="22">
        <v>653.3101045296168</v>
      </c>
      <c r="J614" s="21">
        <v>1970</v>
      </c>
      <c r="K614" s="4" t="s">
        <v>98</v>
      </c>
      <c r="L614" s="24"/>
      <c r="M614" s="4"/>
      <c r="N614" s="4" t="s">
        <v>1469</v>
      </c>
    </row>
    <row r="615" spans="1:14">
      <c r="A615" s="4" t="s">
        <v>2503</v>
      </c>
      <c r="B615" s="4" t="s">
        <v>236</v>
      </c>
      <c r="C615" s="4" t="s">
        <v>79</v>
      </c>
      <c r="D615" s="4" t="s">
        <v>71</v>
      </c>
      <c r="E615" s="4" t="s">
        <v>231</v>
      </c>
      <c r="F615" s="4" t="s">
        <v>1456</v>
      </c>
      <c r="G615" s="22">
        <v>9600000</v>
      </c>
      <c r="H615" s="21">
        <v>27696</v>
      </c>
      <c r="I615" s="22">
        <v>346.6204506065858</v>
      </c>
      <c r="J615" s="21">
        <v>1957</v>
      </c>
      <c r="K615" s="4" t="s">
        <v>97</v>
      </c>
      <c r="L615" s="24"/>
      <c r="M615" s="4"/>
      <c r="N615" s="4" t="s">
        <v>1757</v>
      </c>
    </row>
    <row r="616" spans="1:14">
      <c r="A616" s="4" t="s">
        <v>2504</v>
      </c>
      <c r="B616" s="4" t="s">
        <v>254</v>
      </c>
      <c r="C616" s="4" t="s">
        <v>118</v>
      </c>
      <c r="D616" s="4" t="s">
        <v>68</v>
      </c>
      <c r="E616" s="4" t="s">
        <v>231</v>
      </c>
      <c r="F616" s="4" t="s">
        <v>1456</v>
      </c>
      <c r="G616" s="22">
        <v>8900000</v>
      </c>
      <c r="H616" s="21">
        <v>26576</v>
      </c>
      <c r="I616" s="22">
        <v>334.8886213124624</v>
      </c>
      <c r="J616" s="21">
        <v>1979</v>
      </c>
      <c r="K616" s="4" t="s">
        <v>97</v>
      </c>
      <c r="L616" s="24"/>
      <c r="M616" s="4"/>
      <c r="N616" s="4" t="s">
        <v>1467</v>
      </c>
    </row>
    <row r="617" spans="1:14">
      <c r="A617" s="4" t="s">
        <v>2505</v>
      </c>
      <c r="B617" s="4" t="s">
        <v>241</v>
      </c>
      <c r="C617" s="4" t="s">
        <v>117</v>
      </c>
      <c r="D617" s="4" t="s">
        <v>67</v>
      </c>
      <c r="E617" s="4" t="s">
        <v>231</v>
      </c>
      <c r="F617" s="4" t="s">
        <v>1456</v>
      </c>
      <c r="G617" s="22">
        <v>8700000</v>
      </c>
      <c r="H617" s="21">
        <v>48992</v>
      </c>
      <c r="I617" s="22">
        <v>177.5800130633573</v>
      </c>
      <c r="J617" s="21">
        <v>1974</v>
      </c>
      <c r="K617" s="4" t="s">
        <v>97</v>
      </c>
      <c r="L617" s="24"/>
      <c r="M617" s="4"/>
      <c r="N617" s="4" t="s">
        <v>1483</v>
      </c>
    </row>
    <row r="618" spans="1:14">
      <c r="A618" s="4" t="s">
        <v>2506</v>
      </c>
      <c r="B618" s="4" t="s">
        <v>245</v>
      </c>
      <c r="C618" s="4" t="s">
        <v>246</v>
      </c>
      <c r="D618" s="4" t="s">
        <v>71</v>
      </c>
      <c r="E618" s="4" t="s">
        <v>231</v>
      </c>
      <c r="F618" s="4" t="s">
        <v>1456</v>
      </c>
      <c r="G618" s="22">
        <v>8000000</v>
      </c>
      <c r="H618" s="21">
        <v>18110</v>
      </c>
      <c r="I618" s="22">
        <v>441.7448923246825</v>
      </c>
      <c r="J618" s="24"/>
      <c r="K618" s="4" t="s">
        <v>97</v>
      </c>
      <c r="L618" s="24"/>
      <c r="M618" s="4"/>
      <c r="N618" s="4" t="s">
        <v>1475</v>
      </c>
    </row>
    <row r="619" spans="1:14">
      <c r="A619" s="4" t="s">
        <v>2507</v>
      </c>
      <c r="B619" s="4" t="s">
        <v>250</v>
      </c>
      <c r="C619" s="4" t="s">
        <v>82</v>
      </c>
      <c r="D619" s="4" t="s">
        <v>66</v>
      </c>
      <c r="E619" s="4" t="s">
        <v>231</v>
      </c>
      <c r="F619" s="4" t="s">
        <v>1456</v>
      </c>
      <c r="G619" s="22">
        <v>7950000</v>
      </c>
      <c r="H619" s="21">
        <v>39000</v>
      </c>
      <c r="I619" s="22">
        <v>203.8461538461538</v>
      </c>
      <c r="J619" s="21">
        <v>1966</v>
      </c>
      <c r="K619" s="4" t="s">
        <v>97</v>
      </c>
      <c r="L619" s="24"/>
      <c r="M619" s="4"/>
      <c r="N619" s="4" t="s">
        <v>1793</v>
      </c>
    </row>
    <row r="620" spans="1:14">
      <c r="A620" s="4" t="s">
        <v>2508</v>
      </c>
      <c r="B620" s="4" t="s">
        <v>254</v>
      </c>
      <c r="C620" s="4" t="s">
        <v>118</v>
      </c>
      <c r="D620" s="4" t="s">
        <v>68</v>
      </c>
      <c r="E620" s="4" t="s">
        <v>231</v>
      </c>
      <c r="F620" s="4" t="s">
        <v>1456</v>
      </c>
      <c r="G620" s="22">
        <v>7600000</v>
      </c>
      <c r="H620" s="21">
        <v>26576</v>
      </c>
      <c r="I620" s="22">
        <v>285.9723058398555</v>
      </c>
      <c r="J620" s="21">
        <v>1979</v>
      </c>
      <c r="K620" s="4" t="s">
        <v>97</v>
      </c>
      <c r="L620" s="24"/>
      <c r="M620" s="4"/>
      <c r="N620" s="4" t="s">
        <v>1467</v>
      </c>
    </row>
    <row r="621" spans="1:14">
      <c r="A621" s="4" t="s">
        <v>2509</v>
      </c>
      <c r="B621" s="4" t="s">
        <v>1062</v>
      </c>
      <c r="C621" s="4" t="s">
        <v>59</v>
      </c>
      <c r="D621" s="4" t="s">
        <v>66</v>
      </c>
      <c r="E621" s="4" t="s">
        <v>231</v>
      </c>
      <c r="F621" s="4" t="s">
        <v>1456</v>
      </c>
      <c r="G621" s="22">
        <v>6895000</v>
      </c>
      <c r="H621" s="21">
        <v>10000</v>
      </c>
      <c r="I621" s="22">
        <v>689.5</v>
      </c>
      <c r="J621" s="24"/>
      <c r="K621" s="4" t="s">
        <v>97</v>
      </c>
      <c r="L621" s="24"/>
      <c r="M621" s="4"/>
      <c r="N621" s="4" t="s">
        <v>1457</v>
      </c>
    </row>
    <row r="622" spans="1:14">
      <c r="A622" s="4" t="s">
        <v>2510</v>
      </c>
      <c r="B622" s="4" t="s">
        <v>266</v>
      </c>
      <c r="C622" s="4" t="s">
        <v>109</v>
      </c>
      <c r="D622" s="4" t="s">
        <v>65</v>
      </c>
      <c r="E622" s="4" t="s">
        <v>231</v>
      </c>
      <c r="F622" s="4" t="s">
        <v>1456</v>
      </c>
      <c r="G622" s="22">
        <v>6500000</v>
      </c>
      <c r="H622" s="21">
        <v>25000</v>
      </c>
      <c r="I622" s="22">
        <v>260</v>
      </c>
      <c r="J622" s="21">
        <v>1991</v>
      </c>
      <c r="K622" s="4" t="s">
        <v>97</v>
      </c>
      <c r="L622" s="24"/>
      <c r="M622" s="4"/>
      <c r="N622" s="24" t="s">
        <v>237</v>
      </c>
    </row>
    <row r="623" spans="1:14">
      <c r="A623" s="4" t="s">
        <v>2511</v>
      </c>
      <c r="B623" s="4" t="s">
        <v>270</v>
      </c>
      <c r="C623" s="4" t="s">
        <v>108</v>
      </c>
      <c r="D623" s="4" t="s">
        <v>71</v>
      </c>
      <c r="E623" s="4" t="s">
        <v>231</v>
      </c>
      <c r="F623" s="4" t="s">
        <v>1456</v>
      </c>
      <c r="G623" s="22">
        <v>6000000</v>
      </c>
      <c r="H623" s="21">
        <v>29865</v>
      </c>
      <c r="I623" s="22">
        <v>200.9040683073832</v>
      </c>
      <c r="J623" s="21">
        <v>1956</v>
      </c>
      <c r="K623" s="4" t="s">
        <v>97</v>
      </c>
      <c r="L623" s="24"/>
      <c r="M623" s="4"/>
      <c r="N623" s="4" t="s">
        <v>1473</v>
      </c>
    </row>
    <row r="624" spans="1:14">
      <c r="A624" s="4" t="s">
        <v>2512</v>
      </c>
      <c r="B624" s="4" t="s">
        <v>1051</v>
      </c>
      <c r="C624" s="4" t="s">
        <v>77</v>
      </c>
      <c r="D624" s="4" t="s">
        <v>65</v>
      </c>
      <c r="E624" s="4" t="s">
        <v>231</v>
      </c>
      <c r="F624" s="4" t="s">
        <v>1456</v>
      </c>
      <c r="G624" s="22">
        <v>6000000</v>
      </c>
      <c r="H624" s="21">
        <v>8126</v>
      </c>
      <c r="I624" s="22">
        <v>738.3706620723603</v>
      </c>
      <c r="J624" s="24"/>
      <c r="K624" s="4" t="s">
        <v>97</v>
      </c>
      <c r="L624" s="24"/>
      <c r="M624" s="4"/>
      <c r="N624" s="4" t="s">
        <v>1462</v>
      </c>
    </row>
    <row r="625" spans="1:14">
      <c r="A625" s="4" t="s">
        <v>2513</v>
      </c>
      <c r="B625" s="4" t="s">
        <v>274</v>
      </c>
      <c r="C625" s="4" t="s">
        <v>112</v>
      </c>
      <c r="D625" s="4" t="s">
        <v>69</v>
      </c>
      <c r="E625" s="4" t="s">
        <v>231</v>
      </c>
      <c r="F625" s="4" t="s">
        <v>1456</v>
      </c>
      <c r="G625" s="22">
        <v>5999999</v>
      </c>
      <c r="H625" s="21">
        <v>33482</v>
      </c>
      <c r="I625" s="22">
        <v>179.2007347231348</v>
      </c>
      <c r="J625" s="21">
        <v>1975</v>
      </c>
      <c r="K625" s="4" t="s">
        <v>97</v>
      </c>
      <c r="L625" s="24"/>
      <c r="M625" s="4"/>
      <c r="N625" s="4" t="s">
        <v>1467</v>
      </c>
    </row>
    <row r="626" spans="1:14">
      <c r="A626" s="4" t="s">
        <v>2514</v>
      </c>
      <c r="B626" s="4" t="s">
        <v>278</v>
      </c>
      <c r="C626" s="4" t="s">
        <v>279</v>
      </c>
      <c r="D626" s="4" t="s">
        <v>66</v>
      </c>
      <c r="E626" s="4" t="s">
        <v>231</v>
      </c>
      <c r="F626" s="4" t="s">
        <v>1456</v>
      </c>
      <c r="G626" s="22">
        <v>5999999</v>
      </c>
      <c r="H626" s="21">
        <v>26399</v>
      </c>
      <c r="I626" s="22">
        <v>227.2812985340354</v>
      </c>
      <c r="J626" s="21">
        <v>1967</v>
      </c>
      <c r="K626" s="4" t="s">
        <v>97</v>
      </c>
      <c r="L626" s="24"/>
      <c r="M626" s="4"/>
      <c r="N626" s="4" t="s">
        <v>1793</v>
      </c>
    </row>
    <row r="627" spans="1:14">
      <c r="A627" s="4" t="s">
        <v>2515</v>
      </c>
      <c r="B627" s="4" t="s">
        <v>283</v>
      </c>
      <c r="C627" s="4" t="s">
        <v>279</v>
      </c>
      <c r="D627" s="4" t="s">
        <v>66</v>
      </c>
      <c r="E627" s="4" t="s">
        <v>231</v>
      </c>
      <c r="F627" s="4" t="s">
        <v>1456</v>
      </c>
      <c r="G627" s="22">
        <v>5800888</v>
      </c>
      <c r="H627" s="21">
        <v>26399</v>
      </c>
      <c r="I627" s="22">
        <v>219.7389295049055</v>
      </c>
      <c r="J627" s="21">
        <v>1967</v>
      </c>
      <c r="K627" s="4" t="s">
        <v>97</v>
      </c>
      <c r="L627" s="24"/>
      <c r="M627" s="4"/>
      <c r="N627" s="4" t="s">
        <v>1793</v>
      </c>
    </row>
    <row r="628" spans="1:14">
      <c r="A628" s="4" t="s">
        <v>2516</v>
      </c>
      <c r="B628" s="4" t="s">
        <v>287</v>
      </c>
      <c r="C628" s="4" t="s">
        <v>109</v>
      </c>
      <c r="D628" s="4" t="s">
        <v>66</v>
      </c>
      <c r="E628" s="4" t="s">
        <v>231</v>
      </c>
      <c r="F628" s="4" t="s">
        <v>1456</v>
      </c>
      <c r="G628" s="22">
        <v>5450000</v>
      </c>
      <c r="H628" s="21">
        <v>19298</v>
      </c>
      <c r="I628" s="22">
        <v>282.4126852523577</v>
      </c>
      <c r="J628" s="21">
        <v>1959</v>
      </c>
      <c r="K628" s="4" t="s">
        <v>97</v>
      </c>
      <c r="L628" s="24"/>
      <c r="M628" s="4"/>
      <c r="N628" s="4" t="s">
        <v>1473</v>
      </c>
    </row>
    <row r="629" spans="1:14">
      <c r="A629" s="4" t="s">
        <v>2517</v>
      </c>
      <c r="B629" s="4" t="s">
        <v>291</v>
      </c>
      <c r="C629" s="4" t="s">
        <v>76</v>
      </c>
      <c r="D629" s="4" t="s">
        <v>66</v>
      </c>
      <c r="E629" s="4" t="s">
        <v>231</v>
      </c>
      <c r="F629" s="4" t="s">
        <v>1456</v>
      </c>
      <c r="G629" s="22">
        <v>5295000</v>
      </c>
      <c r="H629" s="21">
        <v>20020</v>
      </c>
      <c r="I629" s="22">
        <v>264.4855144855145</v>
      </c>
      <c r="J629" s="21">
        <v>1973</v>
      </c>
      <c r="K629" s="4" t="s">
        <v>97</v>
      </c>
      <c r="L629" s="24"/>
      <c r="M629" s="4"/>
      <c r="N629" s="4" t="s">
        <v>1473</v>
      </c>
    </row>
    <row r="630" spans="1:14">
      <c r="A630" s="4" t="s">
        <v>2518</v>
      </c>
      <c r="B630" s="4" t="s">
        <v>1064</v>
      </c>
      <c r="C630" s="4" t="s">
        <v>83</v>
      </c>
      <c r="D630" s="4" t="s">
        <v>66</v>
      </c>
      <c r="E630" s="4" t="s">
        <v>231</v>
      </c>
      <c r="F630" s="4" t="s">
        <v>1456</v>
      </c>
      <c r="G630" s="22">
        <v>5200000</v>
      </c>
      <c r="H630" s="21">
        <v>2691</v>
      </c>
      <c r="I630" s="22">
        <v>1932.367149758454</v>
      </c>
      <c r="J630" s="21">
        <v>2007</v>
      </c>
      <c r="K630" s="4" t="s">
        <v>97</v>
      </c>
      <c r="L630" s="24"/>
      <c r="M630" s="4"/>
      <c r="N630" s="4" t="s">
        <v>1473</v>
      </c>
    </row>
    <row r="631" spans="1:14">
      <c r="A631" s="4" t="s">
        <v>2519</v>
      </c>
      <c r="B631" s="4" t="s">
        <v>1053</v>
      </c>
      <c r="C631" s="4" t="s">
        <v>110</v>
      </c>
      <c r="D631" s="4" t="s">
        <v>73</v>
      </c>
      <c r="E631" s="4" t="s">
        <v>231</v>
      </c>
      <c r="F631" s="4" t="s">
        <v>1456</v>
      </c>
      <c r="G631" s="22">
        <v>5000000</v>
      </c>
      <c r="H631" s="21">
        <v>5715</v>
      </c>
      <c r="I631" s="22">
        <v>874.8906386701663</v>
      </c>
      <c r="J631" s="21">
        <v>1964</v>
      </c>
      <c r="K631" s="4" t="s">
        <v>97</v>
      </c>
      <c r="L631" s="24"/>
      <c r="M631" s="4"/>
      <c r="N631" s="4" t="s">
        <v>2520</v>
      </c>
    </row>
    <row r="632" spans="1:14">
      <c r="A632" s="4" t="s">
        <v>2521</v>
      </c>
      <c r="B632" s="4" t="s">
        <v>295</v>
      </c>
      <c r="C632" s="4" t="s">
        <v>81</v>
      </c>
      <c r="D632" s="4" t="s">
        <v>72</v>
      </c>
      <c r="E632" s="4" t="s">
        <v>231</v>
      </c>
      <c r="F632" s="4" t="s">
        <v>1456</v>
      </c>
      <c r="G632" s="22">
        <v>5000000</v>
      </c>
      <c r="H632" s="21">
        <v>8664</v>
      </c>
      <c r="I632" s="22">
        <v>577.100646352724</v>
      </c>
      <c r="J632" s="21">
        <v>2023</v>
      </c>
      <c r="K632" s="4" t="s">
        <v>97</v>
      </c>
      <c r="L632" s="24"/>
      <c r="M632" s="4" t="s">
        <v>1542</v>
      </c>
      <c r="N632" s="24" t="s">
        <v>237</v>
      </c>
    </row>
    <row r="633" spans="1:14">
      <c r="A633" s="4" t="s">
        <v>2522</v>
      </c>
      <c r="B633" s="4" t="s">
        <v>299</v>
      </c>
      <c r="C633" s="4" t="s">
        <v>77</v>
      </c>
      <c r="D633" s="4" t="s">
        <v>65</v>
      </c>
      <c r="E633" s="4" t="s">
        <v>231</v>
      </c>
      <c r="F633" s="4" t="s">
        <v>1456</v>
      </c>
      <c r="G633" s="22">
        <v>5000000</v>
      </c>
      <c r="H633" s="21">
        <v>15937</v>
      </c>
      <c r="I633" s="22">
        <v>313.7353328731882</v>
      </c>
      <c r="J633" s="24"/>
      <c r="K633" s="4" t="s">
        <v>97</v>
      </c>
      <c r="L633" s="24"/>
      <c r="M633" s="4"/>
      <c r="N633" s="4" t="s">
        <v>1462</v>
      </c>
    </row>
    <row r="634" spans="1:14">
      <c r="A634" s="4" t="s">
        <v>2523</v>
      </c>
      <c r="B634" s="4" t="s">
        <v>2524</v>
      </c>
      <c r="C634" s="4" t="s">
        <v>108</v>
      </c>
      <c r="D634" s="4" t="s">
        <v>71</v>
      </c>
      <c r="E634" s="4" t="s">
        <v>231</v>
      </c>
      <c r="F634" s="4" t="s">
        <v>1456</v>
      </c>
      <c r="G634" s="22">
        <v>4999000</v>
      </c>
      <c r="H634" s="24"/>
      <c r="I634" s="24"/>
      <c r="J634" s="21">
        <v>1959</v>
      </c>
      <c r="K634" s="4" t="s">
        <v>96</v>
      </c>
      <c r="L634" s="24"/>
      <c r="M634" s="4"/>
      <c r="N634" s="4" t="s">
        <v>1473</v>
      </c>
    </row>
    <row r="635" spans="1:14">
      <c r="A635" s="4" t="s">
        <v>2525</v>
      </c>
      <c r="B635" s="4" t="s">
        <v>1050</v>
      </c>
      <c r="C635" s="4" t="s">
        <v>109</v>
      </c>
      <c r="D635" s="4" t="s">
        <v>66</v>
      </c>
      <c r="E635" s="4" t="s">
        <v>231</v>
      </c>
      <c r="F635" s="4" t="s">
        <v>1456</v>
      </c>
      <c r="G635" s="22">
        <v>4795000</v>
      </c>
      <c r="H635" s="21">
        <v>10000</v>
      </c>
      <c r="I635" s="22">
        <v>479.5</v>
      </c>
      <c r="J635" s="21">
        <v>1976</v>
      </c>
      <c r="K635" s="4" t="s">
        <v>96</v>
      </c>
      <c r="L635" s="24"/>
      <c r="M635" s="4"/>
      <c r="N635" s="4" t="s">
        <v>1473</v>
      </c>
    </row>
    <row r="636" spans="1:14">
      <c r="A636" s="4" t="s">
        <v>2526</v>
      </c>
      <c r="B636" s="4" t="s">
        <v>303</v>
      </c>
      <c r="C636" s="4" t="s">
        <v>81</v>
      </c>
      <c r="D636" s="4" t="s">
        <v>65</v>
      </c>
      <c r="E636" s="4" t="s">
        <v>231</v>
      </c>
      <c r="F636" s="4" t="s">
        <v>1456</v>
      </c>
      <c r="G636" s="22">
        <v>4600000</v>
      </c>
      <c r="H636" s="21">
        <v>12715</v>
      </c>
      <c r="I636" s="22">
        <v>361.7774282343689</v>
      </c>
      <c r="J636" s="21">
        <v>1985</v>
      </c>
      <c r="K636" s="4" t="s">
        <v>96</v>
      </c>
      <c r="L636" s="24"/>
      <c r="M636" s="4"/>
      <c r="N636" s="4" t="s">
        <v>1467</v>
      </c>
    </row>
    <row r="637" spans="1:14">
      <c r="A637" s="4" t="s">
        <v>2527</v>
      </c>
      <c r="B637" s="4" t="s">
        <v>307</v>
      </c>
      <c r="C637" s="4" t="s">
        <v>59</v>
      </c>
      <c r="D637" s="4" t="s">
        <v>65</v>
      </c>
      <c r="E637" s="4" t="s">
        <v>231</v>
      </c>
      <c r="F637" s="4" t="s">
        <v>1456</v>
      </c>
      <c r="G637" s="22">
        <v>4500000</v>
      </c>
      <c r="H637" s="21">
        <v>45568</v>
      </c>
      <c r="I637" s="22">
        <v>98.75351123595506</v>
      </c>
      <c r="J637" s="21">
        <v>1955</v>
      </c>
      <c r="K637" s="4" t="s">
        <v>96</v>
      </c>
      <c r="L637" s="24"/>
      <c r="M637" s="4"/>
      <c r="N637" s="4" t="s">
        <v>1469</v>
      </c>
    </row>
    <row r="638" spans="1:14">
      <c r="A638" s="4" t="s">
        <v>2528</v>
      </c>
      <c r="B638" s="4" t="s">
        <v>311</v>
      </c>
      <c r="C638" s="4" t="s">
        <v>108</v>
      </c>
      <c r="D638" s="4" t="s">
        <v>65</v>
      </c>
      <c r="E638" s="4" t="s">
        <v>231</v>
      </c>
      <c r="F638" s="4" t="s">
        <v>1456</v>
      </c>
      <c r="G638" s="22">
        <v>4500000</v>
      </c>
      <c r="H638" s="21">
        <v>14860</v>
      </c>
      <c r="I638" s="22">
        <v>302.8263795423957</v>
      </c>
      <c r="J638" s="24"/>
      <c r="K638" s="4" t="s">
        <v>96</v>
      </c>
      <c r="L638" s="24"/>
      <c r="M638" s="4"/>
      <c r="N638" s="4" t="s">
        <v>1475</v>
      </c>
    </row>
    <row r="639" spans="1:14">
      <c r="A639" s="4" t="s">
        <v>2529</v>
      </c>
      <c r="B639" s="4" t="s">
        <v>315</v>
      </c>
      <c r="C639" s="4" t="s">
        <v>108</v>
      </c>
      <c r="D639" s="4" t="s">
        <v>71</v>
      </c>
      <c r="E639" s="4" t="s">
        <v>231</v>
      </c>
      <c r="F639" s="4" t="s">
        <v>1456</v>
      </c>
      <c r="G639" s="22">
        <v>4500000</v>
      </c>
      <c r="H639" s="21">
        <v>20004</v>
      </c>
      <c r="I639" s="22">
        <v>224.9550089982004</v>
      </c>
      <c r="J639" s="21">
        <v>1959</v>
      </c>
      <c r="K639" s="4" t="s">
        <v>96</v>
      </c>
      <c r="L639" s="24"/>
      <c r="M639" s="4"/>
      <c r="N639" s="4" t="s">
        <v>1473</v>
      </c>
    </row>
    <row r="640" spans="1:14">
      <c r="A640" s="4" t="s">
        <v>2530</v>
      </c>
      <c r="B640" s="4" t="s">
        <v>1047</v>
      </c>
      <c r="C640" s="4" t="s">
        <v>120</v>
      </c>
      <c r="D640" s="4" t="s">
        <v>66</v>
      </c>
      <c r="E640" s="4" t="s">
        <v>231</v>
      </c>
      <c r="F640" s="4" t="s">
        <v>1456</v>
      </c>
      <c r="G640" s="22">
        <v>4500000</v>
      </c>
      <c r="H640" s="21">
        <v>10126</v>
      </c>
      <c r="I640" s="22">
        <v>444.4005530317993</v>
      </c>
      <c r="J640" s="21">
        <v>2019</v>
      </c>
      <c r="K640" s="4" t="s">
        <v>96</v>
      </c>
      <c r="L640" s="24"/>
      <c r="M640" s="4"/>
      <c r="N640" s="4" t="s">
        <v>1462</v>
      </c>
    </row>
    <row r="641" spans="1:14">
      <c r="A641" s="4" t="s">
        <v>2531</v>
      </c>
      <c r="B641" s="4" t="s">
        <v>1048</v>
      </c>
      <c r="C641" s="4" t="s">
        <v>109</v>
      </c>
      <c r="D641" s="4" t="s">
        <v>66</v>
      </c>
      <c r="E641" s="4" t="s">
        <v>231</v>
      </c>
      <c r="F641" s="4" t="s">
        <v>1456</v>
      </c>
      <c r="G641" s="22">
        <v>4490000</v>
      </c>
      <c r="H641" s="21">
        <v>10000</v>
      </c>
      <c r="I641" s="22">
        <v>449</v>
      </c>
      <c r="J641" s="21">
        <v>1976</v>
      </c>
      <c r="K641" s="4" t="s">
        <v>96</v>
      </c>
      <c r="L641" s="24"/>
      <c r="M641" s="4" t="s">
        <v>1542</v>
      </c>
      <c r="N641" s="4" t="s">
        <v>1473</v>
      </c>
    </row>
    <row r="642" spans="1:14">
      <c r="A642" s="4" t="s">
        <v>2532</v>
      </c>
      <c r="B642" s="4" t="s">
        <v>291</v>
      </c>
      <c r="C642" s="4" t="s">
        <v>107</v>
      </c>
      <c r="D642" s="4" t="s">
        <v>66</v>
      </c>
      <c r="E642" s="4" t="s">
        <v>231</v>
      </c>
      <c r="F642" s="4" t="s">
        <v>1456</v>
      </c>
      <c r="G642" s="22">
        <v>4200000</v>
      </c>
      <c r="H642" s="24"/>
      <c r="I642" s="24"/>
      <c r="J642" s="21">
        <v>1973</v>
      </c>
      <c r="K642" s="4" t="s">
        <v>96</v>
      </c>
      <c r="L642" s="24"/>
      <c r="M642" s="4"/>
      <c r="N642" s="4" t="s">
        <v>1473</v>
      </c>
    </row>
    <row r="643" spans="1:14">
      <c r="A643" s="4" t="s">
        <v>2533</v>
      </c>
      <c r="B643" s="4" t="s">
        <v>315</v>
      </c>
      <c r="C643" s="4" t="s">
        <v>108</v>
      </c>
      <c r="D643" s="4" t="s">
        <v>71</v>
      </c>
      <c r="E643" s="4" t="s">
        <v>231</v>
      </c>
      <c r="F643" s="4" t="s">
        <v>1456</v>
      </c>
      <c r="G643" s="22">
        <v>4200000</v>
      </c>
      <c r="H643" s="21">
        <v>20004</v>
      </c>
      <c r="I643" s="22">
        <v>209.9580083983203</v>
      </c>
      <c r="J643" s="21">
        <v>1959</v>
      </c>
      <c r="K643" s="4" t="s">
        <v>96</v>
      </c>
      <c r="L643" s="24"/>
      <c r="M643" s="4"/>
      <c r="N643" s="4" t="s">
        <v>1473</v>
      </c>
    </row>
    <row r="644" spans="1:14">
      <c r="A644" s="4" t="s">
        <v>2534</v>
      </c>
      <c r="B644" s="4" t="s">
        <v>325</v>
      </c>
      <c r="C644" s="4" t="s">
        <v>110</v>
      </c>
      <c r="D644" s="4" t="s">
        <v>68</v>
      </c>
      <c r="E644" s="4" t="s">
        <v>231</v>
      </c>
      <c r="F644" s="4" t="s">
        <v>1456</v>
      </c>
      <c r="G644" s="22">
        <v>4000000</v>
      </c>
      <c r="H644" s="21">
        <v>19125</v>
      </c>
      <c r="I644" s="22">
        <v>209.1503267973856</v>
      </c>
      <c r="J644" s="21">
        <v>1959</v>
      </c>
      <c r="K644" s="4" t="s">
        <v>96</v>
      </c>
      <c r="L644" s="24"/>
      <c r="M644" s="4"/>
      <c r="N644" s="4" t="s">
        <v>1462</v>
      </c>
    </row>
    <row r="645" spans="1:14">
      <c r="A645" s="4" t="s">
        <v>2535</v>
      </c>
      <c r="B645" s="4" t="s">
        <v>329</v>
      </c>
      <c r="C645" s="4" t="s">
        <v>83</v>
      </c>
      <c r="D645" s="4" t="s">
        <v>65</v>
      </c>
      <c r="E645" s="4" t="s">
        <v>231</v>
      </c>
      <c r="F645" s="4" t="s">
        <v>1456</v>
      </c>
      <c r="G645" s="22">
        <v>3995000</v>
      </c>
      <c r="H645" s="21">
        <v>22630</v>
      </c>
      <c r="I645" s="22">
        <v>176.5355722492267</v>
      </c>
      <c r="J645" s="21">
        <v>1982</v>
      </c>
      <c r="K645" s="4" t="s">
        <v>96</v>
      </c>
      <c r="L645" s="24"/>
      <c r="M645" s="4"/>
      <c r="N645" s="4" t="s">
        <v>1475</v>
      </c>
    </row>
    <row r="646" spans="1:14">
      <c r="A646" s="4" t="s">
        <v>2536</v>
      </c>
      <c r="B646" s="4" t="s">
        <v>333</v>
      </c>
      <c r="C646" s="4" t="s">
        <v>79</v>
      </c>
      <c r="D646" s="4" t="s">
        <v>67</v>
      </c>
      <c r="E646" s="4" t="s">
        <v>231</v>
      </c>
      <c r="F646" s="4" t="s">
        <v>1456</v>
      </c>
      <c r="G646" s="22">
        <v>3900000</v>
      </c>
      <c r="H646" s="21">
        <v>13000</v>
      </c>
      <c r="I646" s="22">
        <v>300</v>
      </c>
      <c r="J646" s="24"/>
      <c r="K646" s="4" t="s">
        <v>96</v>
      </c>
      <c r="L646" s="24"/>
      <c r="M646" s="4"/>
      <c r="N646" s="24" t="s">
        <v>237</v>
      </c>
    </row>
    <row r="647" spans="1:14">
      <c r="A647" s="4" t="s">
        <v>2537</v>
      </c>
      <c r="B647" s="4" t="s">
        <v>337</v>
      </c>
      <c r="C647" s="4" t="s">
        <v>118</v>
      </c>
      <c r="D647" s="4" t="s">
        <v>70</v>
      </c>
      <c r="E647" s="4" t="s">
        <v>231</v>
      </c>
      <c r="F647" s="4" t="s">
        <v>1456</v>
      </c>
      <c r="G647" s="22">
        <v>3900000</v>
      </c>
      <c r="H647" s="21">
        <v>26836</v>
      </c>
      <c r="I647" s="22">
        <v>145.3271724549113</v>
      </c>
      <c r="J647" s="21">
        <v>1967</v>
      </c>
      <c r="K647" s="4" t="s">
        <v>96</v>
      </c>
      <c r="L647" s="24"/>
      <c r="M647" s="4"/>
      <c r="N647" s="4" t="s">
        <v>1469</v>
      </c>
    </row>
    <row r="648" spans="1:14">
      <c r="A648" s="4" t="s">
        <v>2538</v>
      </c>
      <c r="B648" s="4" t="s">
        <v>341</v>
      </c>
      <c r="C648" s="4" t="s">
        <v>108</v>
      </c>
      <c r="D648" s="4" t="s">
        <v>65</v>
      </c>
      <c r="E648" s="4" t="s">
        <v>231</v>
      </c>
      <c r="F648" s="4" t="s">
        <v>1456</v>
      </c>
      <c r="G648" s="22">
        <v>3800000</v>
      </c>
      <c r="H648" s="21">
        <v>15000</v>
      </c>
      <c r="I648" s="22">
        <v>253.3333333333333</v>
      </c>
      <c r="J648" s="21">
        <v>1961</v>
      </c>
      <c r="K648" s="4" t="s">
        <v>96</v>
      </c>
      <c r="L648" s="24"/>
      <c r="M648" s="4"/>
      <c r="N648" s="4" t="s">
        <v>1475</v>
      </c>
    </row>
    <row r="649" spans="1:14">
      <c r="A649" s="4" t="s">
        <v>2539</v>
      </c>
      <c r="B649" s="4" t="s">
        <v>345</v>
      </c>
      <c r="C649" s="4" t="s">
        <v>79</v>
      </c>
      <c r="D649" s="4" t="s">
        <v>70</v>
      </c>
      <c r="E649" s="4" t="s">
        <v>231</v>
      </c>
      <c r="F649" s="4" t="s">
        <v>1456</v>
      </c>
      <c r="G649" s="22">
        <v>3650000</v>
      </c>
      <c r="H649" s="21">
        <v>24725</v>
      </c>
      <c r="I649" s="22">
        <v>147.623862487361</v>
      </c>
      <c r="J649" s="21">
        <v>1961</v>
      </c>
      <c r="K649" s="4" t="s">
        <v>96</v>
      </c>
      <c r="L649" s="24"/>
      <c r="M649" s="4"/>
      <c r="N649" s="4" t="s">
        <v>1668</v>
      </c>
    </row>
    <row r="650" spans="1:14">
      <c r="A650" s="4" t="s">
        <v>2540</v>
      </c>
      <c r="B650" s="4" t="s">
        <v>341</v>
      </c>
      <c r="C650" s="4" t="s">
        <v>108</v>
      </c>
      <c r="D650" s="4" t="s">
        <v>65</v>
      </c>
      <c r="E650" s="4" t="s">
        <v>231</v>
      </c>
      <c r="F650" s="4" t="s">
        <v>1456</v>
      </c>
      <c r="G650" s="22">
        <v>3600000</v>
      </c>
      <c r="H650" s="21">
        <v>15000</v>
      </c>
      <c r="I650" s="22">
        <v>240</v>
      </c>
      <c r="J650" s="21">
        <v>1961</v>
      </c>
      <c r="K650" s="4" t="s">
        <v>96</v>
      </c>
      <c r="L650" s="24"/>
      <c r="M650" s="4"/>
      <c r="N650" s="4" t="s">
        <v>1475</v>
      </c>
    </row>
    <row r="651" spans="1:14">
      <c r="A651" s="4" t="s">
        <v>2541</v>
      </c>
      <c r="B651" s="4" t="s">
        <v>2542</v>
      </c>
      <c r="C651" s="4" t="s">
        <v>109</v>
      </c>
      <c r="D651" s="4" t="s">
        <v>65</v>
      </c>
      <c r="E651" s="4" t="s">
        <v>231</v>
      </c>
      <c r="F651" s="4" t="s">
        <v>1456</v>
      </c>
      <c r="G651" s="22">
        <v>3600000</v>
      </c>
      <c r="H651" s="24"/>
      <c r="I651" s="24"/>
      <c r="J651" s="21">
        <v>1973</v>
      </c>
      <c r="K651" s="4" t="s">
        <v>96</v>
      </c>
      <c r="L651" s="24"/>
      <c r="M651" s="4"/>
      <c r="N651" s="4" t="s">
        <v>2361</v>
      </c>
    </row>
    <row r="652" spans="1:14">
      <c r="A652" s="4" t="s">
        <v>2543</v>
      </c>
      <c r="B652" s="4" t="s">
        <v>351</v>
      </c>
      <c r="C652" s="4" t="s">
        <v>79</v>
      </c>
      <c r="D652" s="4" t="s">
        <v>65</v>
      </c>
      <c r="E652" s="4" t="s">
        <v>231</v>
      </c>
      <c r="F652" s="4" t="s">
        <v>1456</v>
      </c>
      <c r="G652" s="22">
        <v>3600000</v>
      </c>
      <c r="H652" s="21">
        <v>30093</v>
      </c>
      <c r="I652" s="22">
        <v>119.629149636128</v>
      </c>
      <c r="J652" s="21">
        <v>1973</v>
      </c>
      <c r="K652" s="4" t="s">
        <v>96</v>
      </c>
      <c r="L652" s="24"/>
      <c r="M652" s="4"/>
      <c r="N652" s="4" t="s">
        <v>1545</v>
      </c>
    </row>
    <row r="653" spans="1:14">
      <c r="A653" s="4" t="s">
        <v>2544</v>
      </c>
      <c r="B653" s="4" t="s">
        <v>355</v>
      </c>
      <c r="C653" s="4" t="s">
        <v>76</v>
      </c>
      <c r="D653" s="4" t="s">
        <v>70</v>
      </c>
      <c r="E653" s="4" t="s">
        <v>231</v>
      </c>
      <c r="F653" s="4" t="s">
        <v>1456</v>
      </c>
      <c r="G653" s="22">
        <v>3595000</v>
      </c>
      <c r="H653" s="21">
        <v>12150</v>
      </c>
      <c r="I653" s="22">
        <v>295.8847736625514</v>
      </c>
      <c r="J653" s="21">
        <v>2011</v>
      </c>
      <c r="K653" s="4" t="s">
        <v>96</v>
      </c>
      <c r="L653" s="24"/>
      <c r="M653" s="4"/>
      <c r="N653" s="4" t="s">
        <v>1467</v>
      </c>
    </row>
    <row r="654" spans="1:14">
      <c r="A654" s="4" t="s">
        <v>2545</v>
      </c>
      <c r="B654" s="4" t="s">
        <v>359</v>
      </c>
      <c r="C654" s="4" t="s">
        <v>109</v>
      </c>
      <c r="D654" s="4" t="s">
        <v>65</v>
      </c>
      <c r="E654" s="4" t="s">
        <v>231</v>
      </c>
      <c r="F654" s="4" t="s">
        <v>1456</v>
      </c>
      <c r="G654" s="22">
        <v>3520180</v>
      </c>
      <c r="H654" s="21">
        <v>12398</v>
      </c>
      <c r="I654" s="22">
        <v>283.9312792385869</v>
      </c>
      <c r="J654" s="24"/>
      <c r="K654" s="4" t="s">
        <v>96</v>
      </c>
      <c r="L654" s="24"/>
      <c r="M654" s="4"/>
      <c r="N654" s="4" t="s">
        <v>1467</v>
      </c>
    </row>
    <row r="655" spans="1:14">
      <c r="A655" s="4" t="s">
        <v>2546</v>
      </c>
      <c r="B655" s="4" t="s">
        <v>363</v>
      </c>
      <c r="C655" s="4" t="s">
        <v>364</v>
      </c>
      <c r="D655" s="4" t="s">
        <v>69</v>
      </c>
      <c r="E655" s="4" t="s">
        <v>231</v>
      </c>
      <c r="F655" s="4" t="s">
        <v>1456</v>
      </c>
      <c r="G655" s="22">
        <v>3500000</v>
      </c>
      <c r="H655" s="21">
        <v>17740</v>
      </c>
      <c r="I655" s="22">
        <v>197.2942502818489</v>
      </c>
      <c r="J655" s="21">
        <v>1981</v>
      </c>
      <c r="K655" s="4" t="s">
        <v>96</v>
      </c>
      <c r="L655" s="24"/>
      <c r="M655" s="4"/>
      <c r="N655" s="4" t="s">
        <v>1467</v>
      </c>
    </row>
    <row r="656" spans="1:14">
      <c r="A656" s="4" t="s">
        <v>2547</v>
      </c>
      <c r="B656" s="4" t="s">
        <v>2548</v>
      </c>
      <c r="C656" s="4" t="s">
        <v>81</v>
      </c>
      <c r="D656" s="4" t="s">
        <v>69</v>
      </c>
      <c r="E656" s="4" t="s">
        <v>231</v>
      </c>
      <c r="F656" s="4" t="s">
        <v>1456</v>
      </c>
      <c r="G656" s="22">
        <v>3500000</v>
      </c>
      <c r="H656" s="21">
        <v>0</v>
      </c>
      <c r="I656" s="22" t="e">
        <f>1/0</f>
        <v>#DIV/0!</v>
      </c>
      <c r="J656" s="21">
        <v>1986</v>
      </c>
      <c r="K656" s="4" t="s">
        <v>96</v>
      </c>
      <c r="L656" s="24"/>
      <c r="M656" s="4"/>
      <c r="N656" s="4" t="s">
        <v>1479</v>
      </c>
    </row>
    <row r="657" spans="1:14">
      <c r="A657" s="4" t="s">
        <v>2549</v>
      </c>
      <c r="B657" s="4" t="s">
        <v>337</v>
      </c>
      <c r="C657" s="4" t="s">
        <v>83</v>
      </c>
      <c r="D657" s="4" t="s">
        <v>65</v>
      </c>
      <c r="E657" s="4" t="s">
        <v>231</v>
      </c>
      <c r="F657" s="4" t="s">
        <v>1456</v>
      </c>
      <c r="G657" s="22">
        <v>3400000</v>
      </c>
      <c r="H657" s="21">
        <v>26836</v>
      </c>
      <c r="I657" s="22">
        <v>126.6954836786406</v>
      </c>
      <c r="J657" s="21">
        <v>1967</v>
      </c>
      <c r="K657" s="4" t="s">
        <v>96</v>
      </c>
      <c r="L657" s="24"/>
      <c r="M657" s="4"/>
      <c r="N657" s="4" t="s">
        <v>1469</v>
      </c>
    </row>
    <row r="658" spans="1:14">
      <c r="A658" s="4" t="s">
        <v>2550</v>
      </c>
      <c r="B658" s="4" t="s">
        <v>373</v>
      </c>
      <c r="C658" s="4" t="s">
        <v>80</v>
      </c>
      <c r="D658" s="4" t="s">
        <v>65</v>
      </c>
      <c r="E658" s="4" t="s">
        <v>231</v>
      </c>
      <c r="F658" s="4" t="s">
        <v>1456</v>
      </c>
      <c r="G658" s="22">
        <v>3395000</v>
      </c>
      <c r="H658" s="21">
        <v>12363</v>
      </c>
      <c r="I658" s="22">
        <v>274.6097225592493</v>
      </c>
      <c r="J658" s="21">
        <v>1982</v>
      </c>
      <c r="K658" s="4" t="s">
        <v>96</v>
      </c>
      <c r="L658" s="24"/>
      <c r="M658" s="4"/>
      <c r="N658" s="4" t="s">
        <v>1562</v>
      </c>
    </row>
    <row r="659" spans="1:14">
      <c r="A659" s="4" t="s">
        <v>2551</v>
      </c>
      <c r="B659" s="4" t="s">
        <v>382</v>
      </c>
      <c r="C659" s="4" t="s">
        <v>110</v>
      </c>
      <c r="D659" s="4" t="s">
        <v>65</v>
      </c>
      <c r="E659" s="4" t="s">
        <v>231</v>
      </c>
      <c r="F659" s="4" t="s">
        <v>1456</v>
      </c>
      <c r="G659" s="22">
        <v>3368750</v>
      </c>
      <c r="H659" s="21">
        <v>19250</v>
      </c>
      <c r="I659" s="22">
        <v>175</v>
      </c>
      <c r="J659" s="21">
        <v>1959</v>
      </c>
      <c r="K659" s="4" t="s">
        <v>96</v>
      </c>
      <c r="L659" s="24"/>
      <c r="M659" s="4"/>
      <c r="N659" s="4" t="s">
        <v>1462</v>
      </c>
    </row>
    <row r="660" spans="1:14">
      <c r="A660" s="4" t="s">
        <v>2552</v>
      </c>
      <c r="B660" s="4" t="s">
        <v>386</v>
      </c>
      <c r="C660" s="4" t="s">
        <v>109</v>
      </c>
      <c r="D660" s="4" t="s">
        <v>66</v>
      </c>
      <c r="E660" s="4" t="s">
        <v>231</v>
      </c>
      <c r="F660" s="4" t="s">
        <v>1456</v>
      </c>
      <c r="G660" s="22">
        <v>3349000</v>
      </c>
      <c r="H660" s="21">
        <v>13650</v>
      </c>
      <c r="I660" s="22">
        <v>245.3479853479853</v>
      </c>
      <c r="J660" s="21">
        <v>1959</v>
      </c>
      <c r="K660" s="4" t="s">
        <v>96</v>
      </c>
      <c r="L660" s="24"/>
      <c r="M660" s="4"/>
      <c r="N660" s="4" t="s">
        <v>1473</v>
      </c>
    </row>
    <row r="661" spans="1:14">
      <c r="A661" s="4" t="s">
        <v>2553</v>
      </c>
      <c r="B661" s="4" t="s">
        <v>398</v>
      </c>
      <c r="C661" s="4" t="s">
        <v>82</v>
      </c>
      <c r="D661" s="4" t="s">
        <v>66</v>
      </c>
      <c r="E661" s="4" t="s">
        <v>231</v>
      </c>
      <c r="F661" s="4" t="s">
        <v>1456</v>
      </c>
      <c r="G661" s="22">
        <v>3000000</v>
      </c>
      <c r="H661" s="21">
        <v>11500</v>
      </c>
      <c r="I661" s="22">
        <v>260.8695652173913</v>
      </c>
      <c r="J661" s="21">
        <v>1961</v>
      </c>
      <c r="K661" s="4" t="s">
        <v>96</v>
      </c>
      <c r="L661" s="24"/>
      <c r="M661" s="4"/>
      <c r="N661" s="4" t="s">
        <v>1517</v>
      </c>
    </row>
    <row r="662" spans="1:14">
      <c r="A662" s="4" t="s">
        <v>2554</v>
      </c>
      <c r="B662" s="4" t="s">
        <v>410</v>
      </c>
      <c r="C662" s="4" t="s">
        <v>108</v>
      </c>
      <c r="D662" s="4" t="s">
        <v>69</v>
      </c>
      <c r="E662" s="4" t="s">
        <v>231</v>
      </c>
      <c r="F662" s="4" t="s">
        <v>1456</v>
      </c>
      <c r="G662" s="22">
        <v>2850000</v>
      </c>
      <c r="H662" s="21">
        <v>7505</v>
      </c>
      <c r="I662" s="22">
        <v>379.746835443038</v>
      </c>
      <c r="J662" s="21">
        <v>1980</v>
      </c>
      <c r="K662" s="4" t="s">
        <v>96</v>
      </c>
      <c r="L662" s="24"/>
      <c r="M662" s="4"/>
      <c r="N662" s="4" t="s">
        <v>1475</v>
      </c>
    </row>
    <row r="663" spans="1:14">
      <c r="A663" s="4" t="s">
        <v>2555</v>
      </c>
      <c r="B663" s="4" t="s">
        <v>386</v>
      </c>
      <c r="C663" s="4" t="s">
        <v>109</v>
      </c>
      <c r="D663" s="4" t="s">
        <v>66</v>
      </c>
      <c r="E663" s="4" t="s">
        <v>231</v>
      </c>
      <c r="F663" s="4" t="s">
        <v>1456</v>
      </c>
      <c r="G663" s="22">
        <v>2850000</v>
      </c>
      <c r="H663" s="21">
        <v>13650</v>
      </c>
      <c r="I663" s="22">
        <v>208.7912087912088</v>
      </c>
      <c r="J663" s="21">
        <v>1959</v>
      </c>
      <c r="K663" s="4" t="s">
        <v>96</v>
      </c>
      <c r="L663" s="24"/>
      <c r="M663" s="4"/>
      <c r="N663" s="4" t="s">
        <v>1473</v>
      </c>
    </row>
    <row r="664" spans="1:14">
      <c r="A664" s="4" t="s">
        <v>2556</v>
      </c>
      <c r="B664" s="4" t="s">
        <v>416</v>
      </c>
      <c r="C664" s="4" t="s">
        <v>78</v>
      </c>
      <c r="D664" s="4" t="s">
        <v>65</v>
      </c>
      <c r="E664" s="4" t="s">
        <v>231</v>
      </c>
      <c r="F664" s="4" t="s">
        <v>1456</v>
      </c>
      <c r="G664" s="22">
        <v>2850000</v>
      </c>
      <c r="H664" s="21">
        <v>14491</v>
      </c>
      <c r="I664" s="22">
        <v>196.6737975295011</v>
      </c>
      <c r="J664" s="21">
        <v>1978</v>
      </c>
      <c r="K664" s="4" t="s">
        <v>96</v>
      </c>
      <c r="L664" s="24"/>
      <c r="M664" s="4"/>
      <c r="N664" s="4" t="s">
        <v>1475</v>
      </c>
    </row>
    <row r="665" spans="1:14">
      <c r="A665" s="4" t="s">
        <v>2557</v>
      </c>
      <c r="B665" s="4" t="s">
        <v>428</v>
      </c>
      <c r="C665" s="4" t="s">
        <v>78</v>
      </c>
      <c r="D665" s="4" t="s">
        <v>72</v>
      </c>
      <c r="E665" s="4" t="s">
        <v>231</v>
      </c>
      <c r="F665" s="4" t="s">
        <v>1456</v>
      </c>
      <c r="G665" s="22">
        <v>2750000</v>
      </c>
      <c r="H665" s="21">
        <v>7960</v>
      </c>
      <c r="I665" s="22">
        <v>345.4773869346733</v>
      </c>
      <c r="J665" s="21">
        <v>2022</v>
      </c>
      <c r="K665" s="4" t="s">
        <v>96</v>
      </c>
      <c r="L665" s="24"/>
      <c r="M665" s="4"/>
      <c r="N665" s="24" t="s">
        <v>237</v>
      </c>
    </row>
    <row r="666" spans="1:14">
      <c r="A666" s="4" t="s">
        <v>2558</v>
      </c>
      <c r="B666" s="4" t="s">
        <v>432</v>
      </c>
      <c r="C666" s="4" t="s">
        <v>113</v>
      </c>
      <c r="D666" s="4" t="s">
        <v>66</v>
      </c>
      <c r="E666" s="4" t="s">
        <v>231</v>
      </c>
      <c r="F666" s="4" t="s">
        <v>1456</v>
      </c>
      <c r="G666" s="22">
        <v>2750000</v>
      </c>
      <c r="H666" s="21">
        <v>40196</v>
      </c>
      <c r="I666" s="22">
        <v>68.41476763857101</v>
      </c>
      <c r="J666" s="21">
        <v>1941</v>
      </c>
      <c r="K666" s="4" t="s">
        <v>96</v>
      </c>
      <c r="L666" s="24"/>
      <c r="M666" s="4"/>
      <c r="N666" s="4" t="s">
        <v>2559</v>
      </c>
    </row>
    <row r="667" spans="1:14">
      <c r="A667" s="4" t="s">
        <v>2560</v>
      </c>
      <c r="B667" s="4" t="s">
        <v>436</v>
      </c>
      <c r="C667" s="4" t="s">
        <v>82</v>
      </c>
      <c r="D667" s="4" t="s">
        <v>67</v>
      </c>
      <c r="E667" s="4" t="s">
        <v>231</v>
      </c>
      <c r="F667" s="4" t="s">
        <v>1456</v>
      </c>
      <c r="G667" s="22">
        <v>2750000</v>
      </c>
      <c r="H667" s="21">
        <v>7000</v>
      </c>
      <c r="I667" s="22">
        <v>392.8571428571428</v>
      </c>
      <c r="J667" s="21">
        <v>1954</v>
      </c>
      <c r="K667" s="4" t="s">
        <v>96</v>
      </c>
      <c r="L667" s="24"/>
      <c r="M667" s="4"/>
      <c r="N667" s="4" t="s">
        <v>1469</v>
      </c>
    </row>
    <row r="668" spans="1:14">
      <c r="A668" s="4" t="s">
        <v>2561</v>
      </c>
      <c r="B668" s="4" t="s">
        <v>440</v>
      </c>
      <c r="C668" s="4" t="s">
        <v>110</v>
      </c>
      <c r="D668" s="4" t="s">
        <v>66</v>
      </c>
      <c r="E668" s="4" t="s">
        <v>231</v>
      </c>
      <c r="F668" s="4" t="s">
        <v>1456</v>
      </c>
      <c r="G668" s="22">
        <v>2734375</v>
      </c>
      <c r="H668" s="21">
        <v>15625</v>
      </c>
      <c r="I668" s="22">
        <v>175</v>
      </c>
      <c r="J668" s="21">
        <v>1960</v>
      </c>
      <c r="K668" s="4" t="s">
        <v>96</v>
      </c>
      <c r="L668" s="24"/>
      <c r="M668" s="4"/>
      <c r="N668" s="24" t="s">
        <v>237</v>
      </c>
    </row>
    <row r="669" spans="1:14">
      <c r="A669" s="4" t="s">
        <v>2562</v>
      </c>
      <c r="B669" s="4" t="s">
        <v>444</v>
      </c>
      <c r="C669" s="4" t="s">
        <v>82</v>
      </c>
      <c r="D669" s="4" t="s">
        <v>70</v>
      </c>
      <c r="E669" s="4" t="s">
        <v>231</v>
      </c>
      <c r="F669" s="4" t="s">
        <v>1456</v>
      </c>
      <c r="G669" s="22">
        <v>2650000</v>
      </c>
      <c r="H669" s="21">
        <v>7875</v>
      </c>
      <c r="I669" s="22">
        <v>336.5079365079365</v>
      </c>
      <c r="J669" s="21">
        <v>1954</v>
      </c>
      <c r="K669" s="4" t="s">
        <v>96</v>
      </c>
      <c r="L669" s="24"/>
      <c r="M669" s="4"/>
      <c r="N669" s="4" t="s">
        <v>1467</v>
      </c>
    </row>
    <row r="670" spans="1:14">
      <c r="A670" s="4" t="s">
        <v>2563</v>
      </c>
      <c r="B670" s="4" t="s">
        <v>448</v>
      </c>
      <c r="C670" s="4" t="s">
        <v>79</v>
      </c>
      <c r="D670" s="4" t="s">
        <v>65</v>
      </c>
      <c r="E670" s="4" t="s">
        <v>231</v>
      </c>
      <c r="F670" s="4" t="s">
        <v>1456</v>
      </c>
      <c r="G670" s="22">
        <v>2649000</v>
      </c>
      <c r="H670" s="21">
        <v>6256</v>
      </c>
      <c r="I670" s="22">
        <v>423.4335038363171</v>
      </c>
      <c r="J670" s="21">
        <v>2019</v>
      </c>
      <c r="K670" s="4" t="s">
        <v>96</v>
      </c>
      <c r="L670" s="24"/>
      <c r="M670" s="4"/>
      <c r="N670" s="4" t="s">
        <v>2234</v>
      </c>
    </row>
    <row r="671" spans="1:14">
      <c r="A671" s="4" t="s">
        <v>2564</v>
      </c>
      <c r="B671" s="4" t="s">
        <v>1052</v>
      </c>
      <c r="C671" s="4" t="s">
        <v>107</v>
      </c>
      <c r="D671" s="4" t="s">
        <v>65</v>
      </c>
      <c r="E671" s="4" t="s">
        <v>231</v>
      </c>
      <c r="F671" s="4" t="s">
        <v>1456</v>
      </c>
      <c r="G671" s="22">
        <v>2500000</v>
      </c>
      <c r="H671" s="21">
        <v>1849</v>
      </c>
      <c r="I671" s="22">
        <v>1352.082206598161</v>
      </c>
      <c r="J671" s="21">
        <v>1968</v>
      </c>
      <c r="K671" s="4" t="s">
        <v>96</v>
      </c>
      <c r="L671" s="24"/>
      <c r="M671" s="4"/>
      <c r="N671" s="4" t="s">
        <v>1750</v>
      </c>
    </row>
    <row r="672" spans="1:14">
      <c r="A672" s="4" t="s">
        <v>2565</v>
      </c>
      <c r="B672" s="4" t="s">
        <v>456</v>
      </c>
      <c r="C672" s="4" t="s">
        <v>111</v>
      </c>
      <c r="D672" s="4" t="s">
        <v>65</v>
      </c>
      <c r="E672" s="4" t="s">
        <v>231</v>
      </c>
      <c r="F672" s="4" t="s">
        <v>1456</v>
      </c>
      <c r="G672" s="22">
        <v>2500000</v>
      </c>
      <c r="H672" s="21">
        <v>15003</v>
      </c>
      <c r="I672" s="22">
        <v>166.6333399986669</v>
      </c>
      <c r="J672" s="21">
        <v>1974</v>
      </c>
      <c r="K672" s="4" t="s">
        <v>96</v>
      </c>
      <c r="L672" s="24"/>
      <c r="M672" s="4"/>
      <c r="N672" s="4" t="s">
        <v>1471</v>
      </c>
    </row>
    <row r="673" spans="1:14">
      <c r="A673" s="4" t="s">
        <v>2566</v>
      </c>
      <c r="B673" s="4" t="s">
        <v>460</v>
      </c>
      <c r="C673" s="4" t="s">
        <v>79</v>
      </c>
      <c r="D673" s="4" t="s">
        <v>74</v>
      </c>
      <c r="E673" s="4" t="s">
        <v>231</v>
      </c>
      <c r="F673" s="4" t="s">
        <v>1456</v>
      </c>
      <c r="G673" s="22">
        <v>2500000</v>
      </c>
      <c r="H673" s="21">
        <v>5664</v>
      </c>
      <c r="I673" s="22">
        <v>441.3841807909604</v>
      </c>
      <c r="J673" s="21">
        <v>2011</v>
      </c>
      <c r="K673" s="4" t="s">
        <v>96</v>
      </c>
      <c r="L673" s="24"/>
      <c r="M673" s="4"/>
      <c r="N673" s="4" t="s">
        <v>2012</v>
      </c>
    </row>
    <row r="674" spans="1:14">
      <c r="A674" s="4" t="s">
        <v>2567</v>
      </c>
      <c r="B674" s="4" t="s">
        <v>473</v>
      </c>
      <c r="C674" s="4" t="s">
        <v>109</v>
      </c>
      <c r="D674" s="4" t="s">
        <v>65</v>
      </c>
      <c r="E674" s="4" t="s">
        <v>231</v>
      </c>
      <c r="F674" s="4" t="s">
        <v>1456</v>
      </c>
      <c r="G674" s="22">
        <v>2475000</v>
      </c>
      <c r="H674" s="21">
        <v>10400</v>
      </c>
      <c r="I674" s="22">
        <v>237.9807692307692</v>
      </c>
      <c r="J674" s="21">
        <v>1948</v>
      </c>
      <c r="K674" s="4" t="s">
        <v>94</v>
      </c>
      <c r="L674" s="24"/>
      <c r="M674" s="4"/>
      <c r="N674" s="4" t="s">
        <v>1473</v>
      </c>
    </row>
    <row r="675" spans="1:14">
      <c r="A675" s="4" t="s">
        <v>2568</v>
      </c>
      <c r="B675" s="4" t="s">
        <v>477</v>
      </c>
      <c r="C675" s="4" t="s">
        <v>83</v>
      </c>
      <c r="D675" s="4" t="s">
        <v>67</v>
      </c>
      <c r="E675" s="4" t="s">
        <v>231</v>
      </c>
      <c r="F675" s="4" t="s">
        <v>1456</v>
      </c>
      <c r="G675" s="22">
        <v>2400000</v>
      </c>
      <c r="H675" s="21">
        <v>10125</v>
      </c>
      <c r="I675" s="22">
        <v>237.037037037037</v>
      </c>
      <c r="J675" s="21">
        <v>1959</v>
      </c>
      <c r="K675" s="4" t="s">
        <v>94</v>
      </c>
      <c r="L675" s="24"/>
      <c r="M675" s="4"/>
      <c r="N675" s="4" t="s">
        <v>1483</v>
      </c>
    </row>
    <row r="676" spans="1:14">
      <c r="A676" s="4" t="s">
        <v>2569</v>
      </c>
      <c r="B676" s="4" t="s">
        <v>481</v>
      </c>
      <c r="C676" s="4" t="s">
        <v>110</v>
      </c>
      <c r="D676" s="4" t="s">
        <v>65</v>
      </c>
      <c r="E676" s="4" t="s">
        <v>231</v>
      </c>
      <c r="F676" s="4" t="s">
        <v>1456</v>
      </c>
      <c r="G676" s="22">
        <v>2295000</v>
      </c>
      <c r="H676" s="21">
        <v>13107</v>
      </c>
      <c r="I676" s="22">
        <v>175.0972762645914</v>
      </c>
      <c r="J676" s="21">
        <v>1958</v>
      </c>
      <c r="K676" s="4" t="s">
        <v>94</v>
      </c>
      <c r="L676" s="24"/>
      <c r="M676" s="4"/>
      <c r="N676" s="4" t="s">
        <v>1496</v>
      </c>
    </row>
    <row r="677" spans="1:14">
      <c r="A677" s="4" t="s">
        <v>2570</v>
      </c>
      <c r="B677" s="4" t="s">
        <v>485</v>
      </c>
      <c r="C677" s="4" t="s">
        <v>83</v>
      </c>
      <c r="D677" s="4" t="s">
        <v>68</v>
      </c>
      <c r="E677" s="4" t="s">
        <v>231</v>
      </c>
      <c r="F677" s="4" t="s">
        <v>1456</v>
      </c>
      <c r="G677" s="22">
        <v>2225000</v>
      </c>
      <c r="H677" s="21">
        <v>16875</v>
      </c>
      <c r="I677" s="22">
        <v>131.8518518518518</v>
      </c>
      <c r="J677" s="21">
        <v>1965</v>
      </c>
      <c r="K677" s="4" t="s">
        <v>94</v>
      </c>
      <c r="L677" s="24"/>
      <c r="M677" s="4"/>
      <c r="N677" s="4" t="s">
        <v>1469</v>
      </c>
    </row>
    <row r="678" spans="1:14">
      <c r="A678" s="4" t="s">
        <v>2571</v>
      </c>
      <c r="B678" s="4" t="s">
        <v>2572</v>
      </c>
      <c r="C678" s="4" t="s">
        <v>83</v>
      </c>
      <c r="D678" s="4" t="s">
        <v>66</v>
      </c>
      <c r="E678" s="4" t="s">
        <v>231</v>
      </c>
      <c r="F678" s="4" t="s">
        <v>1456</v>
      </c>
      <c r="G678" s="22">
        <v>2200000</v>
      </c>
      <c r="H678" s="24"/>
      <c r="I678" s="24"/>
      <c r="J678" s="21">
        <v>2009</v>
      </c>
      <c r="K678" s="4" t="s">
        <v>94</v>
      </c>
      <c r="L678" s="24"/>
      <c r="M678" s="4"/>
      <c r="N678" s="4" t="s">
        <v>1473</v>
      </c>
    </row>
    <row r="679" spans="1:14">
      <c r="A679" s="4" t="s">
        <v>2573</v>
      </c>
      <c r="B679" s="4" t="s">
        <v>485</v>
      </c>
      <c r="C679" s="4" t="s">
        <v>83</v>
      </c>
      <c r="D679" s="4" t="s">
        <v>68</v>
      </c>
      <c r="E679" s="4" t="s">
        <v>231</v>
      </c>
      <c r="F679" s="4" t="s">
        <v>1456</v>
      </c>
      <c r="G679" s="22">
        <v>2200000</v>
      </c>
      <c r="H679" s="21">
        <v>16875</v>
      </c>
      <c r="I679" s="22">
        <v>130.3703703703704</v>
      </c>
      <c r="J679" s="21">
        <v>1965</v>
      </c>
      <c r="K679" s="4" t="s">
        <v>94</v>
      </c>
      <c r="L679" s="24"/>
      <c r="M679" s="4"/>
      <c r="N679" s="4" t="s">
        <v>1469</v>
      </c>
    </row>
    <row r="680" spans="1:14">
      <c r="A680" s="4" t="s">
        <v>2574</v>
      </c>
      <c r="B680" s="4" t="s">
        <v>499</v>
      </c>
      <c r="C680" s="4" t="s">
        <v>113</v>
      </c>
      <c r="D680" s="4" t="s">
        <v>66</v>
      </c>
      <c r="E680" s="4" t="s">
        <v>231</v>
      </c>
      <c r="F680" s="4" t="s">
        <v>1456</v>
      </c>
      <c r="G680" s="22">
        <v>2179449</v>
      </c>
      <c r="H680" s="21">
        <v>13220</v>
      </c>
      <c r="I680" s="22">
        <v>164.859984871407</v>
      </c>
      <c r="J680" s="21">
        <v>1961</v>
      </c>
      <c r="K680" s="4" t="s">
        <v>94</v>
      </c>
      <c r="L680" s="24"/>
      <c r="M680" s="4"/>
      <c r="N680" s="4" t="s">
        <v>2575</v>
      </c>
    </row>
    <row r="681" spans="1:14">
      <c r="A681" s="4" t="s">
        <v>2576</v>
      </c>
      <c r="B681" s="4" t="s">
        <v>503</v>
      </c>
      <c r="C681" s="4" t="s">
        <v>82</v>
      </c>
      <c r="D681" s="4" t="s">
        <v>66</v>
      </c>
      <c r="E681" s="4" t="s">
        <v>231</v>
      </c>
      <c r="F681" s="4" t="s">
        <v>1456</v>
      </c>
      <c r="G681" s="22">
        <v>2100000</v>
      </c>
      <c r="H681" s="21">
        <v>14000</v>
      </c>
      <c r="I681" s="22">
        <v>150</v>
      </c>
      <c r="J681" s="21">
        <v>1959</v>
      </c>
      <c r="K681" s="4" t="s">
        <v>94</v>
      </c>
      <c r="L681" s="24"/>
      <c r="M681" s="4"/>
      <c r="N681" s="4" t="s">
        <v>1517</v>
      </c>
    </row>
    <row r="682" spans="1:14">
      <c r="A682" s="4" t="s">
        <v>2577</v>
      </c>
      <c r="B682" s="4" t="s">
        <v>507</v>
      </c>
      <c r="C682" s="4" t="s">
        <v>77</v>
      </c>
      <c r="D682" s="4" t="s">
        <v>66</v>
      </c>
      <c r="E682" s="4" t="s">
        <v>231</v>
      </c>
      <c r="F682" s="4" t="s">
        <v>1456</v>
      </c>
      <c r="G682" s="22">
        <v>2079000</v>
      </c>
      <c r="H682" s="21">
        <v>10126</v>
      </c>
      <c r="I682" s="22">
        <v>205.3130555006913</v>
      </c>
      <c r="J682" s="21">
        <v>1973</v>
      </c>
      <c r="K682" s="4" t="s">
        <v>94</v>
      </c>
      <c r="L682" s="24"/>
      <c r="M682" s="4"/>
      <c r="N682" s="4" t="s">
        <v>1473</v>
      </c>
    </row>
    <row r="683" spans="1:14">
      <c r="A683" s="4" t="s">
        <v>2578</v>
      </c>
      <c r="B683" s="4" t="s">
        <v>511</v>
      </c>
      <c r="C683" s="4" t="s">
        <v>79</v>
      </c>
      <c r="D683" s="4" t="s">
        <v>70</v>
      </c>
      <c r="E683" s="4" t="s">
        <v>231</v>
      </c>
      <c r="F683" s="4" t="s">
        <v>1456</v>
      </c>
      <c r="G683" s="22">
        <v>2050000</v>
      </c>
      <c r="H683" s="21">
        <v>16728</v>
      </c>
      <c r="I683" s="22">
        <v>122.5490196078431</v>
      </c>
      <c r="J683" s="21">
        <v>1960</v>
      </c>
      <c r="K683" s="4" t="s">
        <v>94</v>
      </c>
      <c r="L683" s="24"/>
      <c r="M683" s="4"/>
      <c r="N683" s="4" t="s">
        <v>2579</v>
      </c>
    </row>
    <row r="684" spans="1:14">
      <c r="A684" s="4" t="s">
        <v>2580</v>
      </c>
      <c r="B684" s="4" t="s">
        <v>515</v>
      </c>
      <c r="C684" s="4" t="s">
        <v>77</v>
      </c>
      <c r="D684" s="4" t="s">
        <v>66</v>
      </c>
      <c r="E684" s="4" t="s">
        <v>231</v>
      </c>
      <c r="F684" s="4" t="s">
        <v>1456</v>
      </c>
      <c r="G684" s="22">
        <v>2049000</v>
      </c>
      <c r="H684" s="21">
        <v>10126</v>
      </c>
      <c r="I684" s="22">
        <v>202.350385147146</v>
      </c>
      <c r="J684" s="21">
        <v>1974</v>
      </c>
      <c r="K684" s="4" t="s">
        <v>94</v>
      </c>
      <c r="L684" s="24"/>
      <c r="M684" s="4"/>
      <c r="N684" s="4" t="s">
        <v>1473</v>
      </c>
    </row>
    <row r="685" spans="1:14">
      <c r="A685" s="4" t="s">
        <v>2581</v>
      </c>
      <c r="B685" s="4" t="s">
        <v>519</v>
      </c>
      <c r="C685" s="4" t="s">
        <v>81</v>
      </c>
      <c r="D685" s="4" t="s">
        <v>69</v>
      </c>
      <c r="E685" s="4" t="s">
        <v>231</v>
      </c>
      <c r="F685" s="4" t="s">
        <v>1456</v>
      </c>
      <c r="G685" s="22">
        <v>2043000</v>
      </c>
      <c r="H685" s="21">
        <v>4540</v>
      </c>
      <c r="I685" s="22">
        <v>450</v>
      </c>
      <c r="J685" s="21">
        <v>2005</v>
      </c>
      <c r="K685" s="4" t="s">
        <v>94</v>
      </c>
      <c r="L685" s="24"/>
      <c r="M685" s="4"/>
      <c r="N685" s="4" t="s">
        <v>1479</v>
      </c>
    </row>
    <row r="686" spans="1:14">
      <c r="A686" s="4" t="s">
        <v>2582</v>
      </c>
      <c r="B686" s="4" t="s">
        <v>523</v>
      </c>
      <c r="C686" s="4" t="s">
        <v>79</v>
      </c>
      <c r="D686" s="4" t="s">
        <v>66</v>
      </c>
      <c r="E686" s="4" t="s">
        <v>231</v>
      </c>
      <c r="F686" s="4" t="s">
        <v>1456</v>
      </c>
      <c r="G686" s="22">
        <v>2000000</v>
      </c>
      <c r="H686" s="21">
        <v>8540</v>
      </c>
      <c r="I686" s="22">
        <v>234.192037470726</v>
      </c>
      <c r="J686" s="21">
        <v>1975</v>
      </c>
      <c r="K686" s="4" t="s">
        <v>94</v>
      </c>
      <c r="L686" s="24"/>
      <c r="M686" s="4"/>
      <c r="N686" s="4" t="s">
        <v>1517</v>
      </c>
    </row>
    <row r="687" spans="1:14">
      <c r="A687" s="4" t="s">
        <v>2583</v>
      </c>
      <c r="B687" s="4" t="s">
        <v>527</v>
      </c>
      <c r="C687" s="4" t="s">
        <v>528</v>
      </c>
      <c r="D687" s="4" t="s">
        <v>72</v>
      </c>
      <c r="E687" s="4" t="s">
        <v>231</v>
      </c>
      <c r="F687" s="4" t="s">
        <v>1456</v>
      </c>
      <c r="G687" s="22">
        <v>1998500</v>
      </c>
      <c r="H687" s="21">
        <v>5200</v>
      </c>
      <c r="I687" s="22">
        <v>384.3269230769231</v>
      </c>
      <c r="J687" s="24"/>
      <c r="K687" s="4" t="s">
        <v>94</v>
      </c>
      <c r="L687" s="24"/>
      <c r="M687" s="4"/>
      <c r="N687" s="4" t="s">
        <v>1510</v>
      </c>
    </row>
    <row r="688" spans="1:14">
      <c r="A688" s="4" t="s">
        <v>2584</v>
      </c>
      <c r="B688" s="4" t="s">
        <v>532</v>
      </c>
      <c r="C688" s="4" t="s">
        <v>109</v>
      </c>
      <c r="D688" s="4" t="s">
        <v>70</v>
      </c>
      <c r="E688" s="4" t="s">
        <v>231</v>
      </c>
      <c r="F688" s="4" t="s">
        <v>1456</v>
      </c>
      <c r="G688" s="22">
        <v>1990000</v>
      </c>
      <c r="H688" s="21">
        <v>15000</v>
      </c>
      <c r="I688" s="22">
        <v>132.6666666666667</v>
      </c>
      <c r="J688" s="21">
        <v>1960</v>
      </c>
      <c r="K688" s="4" t="s">
        <v>94</v>
      </c>
      <c r="L688" s="24"/>
      <c r="M688" s="4"/>
      <c r="N688" s="4" t="s">
        <v>1475</v>
      </c>
    </row>
    <row r="689" spans="1:14">
      <c r="A689" s="4" t="s">
        <v>2585</v>
      </c>
      <c r="B689" s="4" t="s">
        <v>536</v>
      </c>
      <c r="C689" s="4" t="s">
        <v>113</v>
      </c>
      <c r="D689" s="4" t="s">
        <v>65</v>
      </c>
      <c r="E689" s="4" t="s">
        <v>231</v>
      </c>
      <c r="F689" s="4" t="s">
        <v>1456</v>
      </c>
      <c r="G689" s="22">
        <v>1990000</v>
      </c>
      <c r="H689" s="21">
        <v>18100</v>
      </c>
      <c r="I689" s="22">
        <v>109.9447513812155</v>
      </c>
      <c r="J689" s="24"/>
      <c r="K689" s="4" t="s">
        <v>94</v>
      </c>
      <c r="L689" s="24"/>
      <c r="M689" s="4"/>
      <c r="N689" s="4" t="s">
        <v>1475</v>
      </c>
    </row>
    <row r="690" spans="1:14">
      <c r="A690" s="4" t="s">
        <v>2586</v>
      </c>
      <c r="B690" s="4" t="s">
        <v>548</v>
      </c>
      <c r="C690" s="4" t="s">
        <v>78</v>
      </c>
      <c r="D690" s="4" t="s">
        <v>69</v>
      </c>
      <c r="E690" s="4" t="s">
        <v>231</v>
      </c>
      <c r="F690" s="4" t="s">
        <v>1456</v>
      </c>
      <c r="G690" s="22">
        <v>1950000</v>
      </c>
      <c r="H690" s="21">
        <v>9652</v>
      </c>
      <c r="I690" s="22">
        <v>202.0306672192292</v>
      </c>
      <c r="J690" s="21">
        <v>1990</v>
      </c>
      <c r="K690" s="4" t="s">
        <v>94</v>
      </c>
      <c r="L690" s="24"/>
      <c r="M690" s="4"/>
      <c r="N690" s="4" t="s">
        <v>1732</v>
      </c>
    </row>
    <row r="691" spans="1:14">
      <c r="A691" s="4" t="s">
        <v>2587</v>
      </c>
      <c r="B691" s="4" t="s">
        <v>552</v>
      </c>
      <c r="C691" s="4" t="s">
        <v>553</v>
      </c>
      <c r="D691" s="4" t="s">
        <v>67</v>
      </c>
      <c r="E691" s="4" t="s">
        <v>231</v>
      </c>
      <c r="F691" s="4" t="s">
        <v>1456</v>
      </c>
      <c r="G691" s="22">
        <v>1900000</v>
      </c>
      <c r="H691" s="21">
        <v>16500</v>
      </c>
      <c r="I691" s="22">
        <v>115.1515151515152</v>
      </c>
      <c r="J691" s="21">
        <v>1968</v>
      </c>
      <c r="K691" s="4" t="s">
        <v>94</v>
      </c>
      <c r="L691" s="24"/>
      <c r="M691" s="4"/>
      <c r="N691" s="4" t="s">
        <v>1668</v>
      </c>
    </row>
    <row r="692" spans="1:14">
      <c r="A692" s="4" t="s">
        <v>2588</v>
      </c>
      <c r="B692" s="4" t="s">
        <v>452</v>
      </c>
      <c r="C692" s="4" t="s">
        <v>78</v>
      </c>
      <c r="D692" s="4" t="s">
        <v>65</v>
      </c>
      <c r="E692" s="4" t="s">
        <v>231</v>
      </c>
      <c r="F692" s="4" t="s">
        <v>1456</v>
      </c>
      <c r="G692" s="22">
        <v>1900000</v>
      </c>
      <c r="H692" s="21">
        <v>3130</v>
      </c>
      <c r="I692" s="22">
        <v>607.0287539936103</v>
      </c>
      <c r="J692" s="21">
        <v>1959</v>
      </c>
      <c r="K692" s="4" t="s">
        <v>94</v>
      </c>
      <c r="L692" s="24"/>
      <c r="M692" s="4"/>
      <c r="N692" s="4" t="s">
        <v>1467</v>
      </c>
    </row>
    <row r="693" spans="1:14">
      <c r="A693" s="4" t="s">
        <v>2589</v>
      </c>
      <c r="B693" s="4" t="s">
        <v>2590</v>
      </c>
      <c r="C693" s="4" t="s">
        <v>76</v>
      </c>
      <c r="D693" s="4" t="s">
        <v>65</v>
      </c>
      <c r="E693" s="4" t="s">
        <v>231</v>
      </c>
      <c r="F693" s="4" t="s">
        <v>1456</v>
      </c>
      <c r="G693" s="22">
        <v>1899000</v>
      </c>
      <c r="H693" s="24"/>
      <c r="I693" s="24"/>
      <c r="J693" s="21">
        <v>1959</v>
      </c>
      <c r="K693" s="4" t="s">
        <v>94</v>
      </c>
      <c r="L693" s="24"/>
      <c r="M693" s="4"/>
      <c r="N693" s="4" t="s">
        <v>1550</v>
      </c>
    </row>
    <row r="694" spans="1:14">
      <c r="A694" s="4" t="s">
        <v>2591</v>
      </c>
      <c r="B694" s="4" t="s">
        <v>558</v>
      </c>
      <c r="C694" s="4" t="s">
        <v>82</v>
      </c>
      <c r="D694" s="4" t="s">
        <v>66</v>
      </c>
      <c r="E694" s="4" t="s">
        <v>231</v>
      </c>
      <c r="F694" s="4" t="s">
        <v>1456</v>
      </c>
      <c r="G694" s="22">
        <v>1895000</v>
      </c>
      <c r="H694" s="21">
        <v>13802</v>
      </c>
      <c r="I694" s="22">
        <v>137.2989421822924</v>
      </c>
      <c r="J694" s="21">
        <v>1974</v>
      </c>
      <c r="K694" s="4" t="s">
        <v>94</v>
      </c>
      <c r="L694" s="24"/>
      <c r="M694" s="4"/>
      <c r="N694" s="4" t="s">
        <v>1517</v>
      </c>
    </row>
    <row r="695" spans="1:14">
      <c r="A695" s="4" t="s">
        <v>2592</v>
      </c>
      <c r="B695" s="4" t="s">
        <v>566</v>
      </c>
      <c r="C695" s="4" t="s">
        <v>115</v>
      </c>
      <c r="D695" s="4" t="s">
        <v>65</v>
      </c>
      <c r="E695" s="4" t="s">
        <v>231</v>
      </c>
      <c r="F695" s="4" t="s">
        <v>1456</v>
      </c>
      <c r="G695" s="22">
        <v>1890000</v>
      </c>
      <c r="H695" s="21">
        <v>17111</v>
      </c>
      <c r="I695" s="22">
        <v>110.455262696511</v>
      </c>
      <c r="J695" s="21">
        <v>1959</v>
      </c>
      <c r="K695" s="4" t="s">
        <v>94</v>
      </c>
      <c r="L695" s="24"/>
      <c r="M695" s="4"/>
      <c r="N695" s="4" t="s">
        <v>1469</v>
      </c>
    </row>
    <row r="696" spans="1:14">
      <c r="A696" s="4" t="s">
        <v>2593</v>
      </c>
      <c r="B696" s="4" t="s">
        <v>570</v>
      </c>
      <c r="C696" s="4" t="s">
        <v>81</v>
      </c>
      <c r="D696" s="4" t="s">
        <v>65</v>
      </c>
      <c r="E696" s="4" t="s">
        <v>231</v>
      </c>
      <c r="F696" s="4" t="s">
        <v>1456</v>
      </c>
      <c r="G696" s="22">
        <v>1850000</v>
      </c>
      <c r="H696" s="21">
        <v>14299</v>
      </c>
      <c r="I696" s="22">
        <v>129.3796769004826</v>
      </c>
      <c r="J696" s="21">
        <v>1977</v>
      </c>
      <c r="K696" s="4" t="s">
        <v>94</v>
      </c>
      <c r="L696" s="24"/>
      <c r="M696" s="4"/>
      <c r="N696" s="4" t="s">
        <v>1473</v>
      </c>
    </row>
    <row r="697" spans="1:14">
      <c r="A697" s="4" t="s">
        <v>2594</v>
      </c>
      <c r="B697" s="4" t="s">
        <v>579</v>
      </c>
      <c r="C697" s="4" t="s">
        <v>112</v>
      </c>
      <c r="D697" s="4" t="s">
        <v>67</v>
      </c>
      <c r="E697" s="4" t="s">
        <v>231</v>
      </c>
      <c r="F697" s="4" t="s">
        <v>1456</v>
      </c>
      <c r="G697" s="22">
        <v>1800000</v>
      </c>
      <c r="H697" s="21">
        <v>11736</v>
      </c>
      <c r="I697" s="22">
        <v>153.3742331288344</v>
      </c>
      <c r="J697" s="21">
        <v>1953</v>
      </c>
      <c r="K697" s="4" t="s">
        <v>94</v>
      </c>
      <c r="L697" s="24"/>
      <c r="M697" s="4"/>
      <c r="N697" s="4" t="s">
        <v>1469</v>
      </c>
    </row>
    <row r="698" spans="1:14">
      <c r="A698" s="4" t="s">
        <v>2595</v>
      </c>
      <c r="B698" s="4" t="s">
        <v>583</v>
      </c>
      <c r="C698" s="4" t="s">
        <v>79</v>
      </c>
      <c r="D698" s="4" t="s">
        <v>66</v>
      </c>
      <c r="E698" s="4" t="s">
        <v>231</v>
      </c>
      <c r="F698" s="4" t="s">
        <v>1456</v>
      </c>
      <c r="G698" s="22">
        <v>1800000</v>
      </c>
      <c r="H698" s="21">
        <v>9167</v>
      </c>
      <c r="I698" s="22">
        <v>196.3564961274135</v>
      </c>
      <c r="J698" s="21">
        <v>1958</v>
      </c>
      <c r="K698" s="4" t="s">
        <v>94</v>
      </c>
      <c r="L698" s="24"/>
      <c r="M698" s="4"/>
      <c r="N698" s="4" t="s">
        <v>1517</v>
      </c>
    </row>
    <row r="699" spans="1:14">
      <c r="A699" s="4" t="s">
        <v>2596</v>
      </c>
      <c r="B699" s="4" t="s">
        <v>2597</v>
      </c>
      <c r="C699" s="4" t="s">
        <v>81</v>
      </c>
      <c r="D699" s="4" t="s">
        <v>69</v>
      </c>
      <c r="E699" s="4" t="s">
        <v>231</v>
      </c>
      <c r="F699" s="4" t="s">
        <v>1456</v>
      </c>
      <c r="G699" s="22">
        <v>1800000</v>
      </c>
      <c r="H699" s="21">
        <v>0</v>
      </c>
      <c r="I699" s="22" t="e">
        <f>1/0</f>
        <v>#DIV/0!</v>
      </c>
      <c r="J699" s="21">
        <v>1986</v>
      </c>
      <c r="K699" s="4" t="s">
        <v>94</v>
      </c>
      <c r="L699" s="24"/>
      <c r="M699" s="4"/>
      <c r="N699" s="4" t="s">
        <v>1479</v>
      </c>
    </row>
    <row r="700" spans="1:14">
      <c r="A700" s="4" t="s">
        <v>2598</v>
      </c>
      <c r="B700" s="4" t="s">
        <v>587</v>
      </c>
      <c r="C700" s="4" t="s">
        <v>76</v>
      </c>
      <c r="D700" s="4" t="s">
        <v>66</v>
      </c>
      <c r="E700" s="4" t="s">
        <v>231</v>
      </c>
      <c r="F700" s="4" t="s">
        <v>1456</v>
      </c>
      <c r="G700" s="22">
        <v>1799000</v>
      </c>
      <c r="H700" s="21">
        <v>6977</v>
      </c>
      <c r="I700" s="22">
        <v>257.8472122688835</v>
      </c>
      <c r="J700" s="21">
        <v>1958</v>
      </c>
      <c r="K700" s="4" t="s">
        <v>94</v>
      </c>
      <c r="L700" s="24"/>
      <c r="M700" s="4"/>
      <c r="N700" s="4" t="s">
        <v>1550</v>
      </c>
    </row>
    <row r="701" spans="1:14">
      <c r="A701" s="4" t="s">
        <v>2599</v>
      </c>
      <c r="B701" s="4" t="s">
        <v>2600</v>
      </c>
      <c r="C701" s="4" t="s">
        <v>115</v>
      </c>
      <c r="D701" s="4" t="s">
        <v>67</v>
      </c>
      <c r="E701" s="4" t="s">
        <v>231</v>
      </c>
      <c r="F701" s="4" t="s">
        <v>1456</v>
      </c>
      <c r="G701" s="22">
        <v>1790000</v>
      </c>
      <c r="H701" s="24"/>
      <c r="I701" s="24"/>
      <c r="J701" s="24"/>
      <c r="K701" s="4" t="s">
        <v>94</v>
      </c>
      <c r="L701" s="24"/>
      <c r="M701" s="4"/>
      <c r="N701" s="4" t="s">
        <v>2601</v>
      </c>
    </row>
    <row r="702" spans="1:14">
      <c r="A702" s="4" t="s">
        <v>2602</v>
      </c>
      <c r="B702" s="4" t="s">
        <v>591</v>
      </c>
      <c r="C702" s="4" t="s">
        <v>79</v>
      </c>
      <c r="D702" s="4" t="s">
        <v>66</v>
      </c>
      <c r="E702" s="4" t="s">
        <v>231</v>
      </c>
      <c r="F702" s="4" t="s">
        <v>1456</v>
      </c>
      <c r="G702" s="22">
        <v>1750000</v>
      </c>
      <c r="H702" s="21">
        <v>20256</v>
      </c>
      <c r="I702" s="22">
        <v>86.39415481832543</v>
      </c>
      <c r="J702" s="21">
        <v>1951</v>
      </c>
      <c r="K702" s="4" t="s">
        <v>94</v>
      </c>
      <c r="L702" s="24"/>
      <c r="M702" s="4"/>
      <c r="N702" s="4" t="s">
        <v>1473</v>
      </c>
    </row>
    <row r="703" spans="1:14">
      <c r="A703" s="4" t="s">
        <v>2603</v>
      </c>
      <c r="B703" s="4" t="s">
        <v>2604</v>
      </c>
      <c r="C703" s="4" t="s">
        <v>120</v>
      </c>
      <c r="D703" s="4" t="s">
        <v>69</v>
      </c>
      <c r="E703" s="4" t="s">
        <v>231</v>
      </c>
      <c r="F703" s="4" t="s">
        <v>1456</v>
      </c>
      <c r="G703" s="22">
        <v>1750000</v>
      </c>
      <c r="H703" s="24"/>
      <c r="I703" s="24"/>
      <c r="J703" s="21">
        <v>1986</v>
      </c>
      <c r="K703" s="4" t="s">
        <v>94</v>
      </c>
      <c r="L703" s="24"/>
      <c r="M703" s="4"/>
      <c r="N703" s="4" t="s">
        <v>1479</v>
      </c>
    </row>
    <row r="704" spans="1:14">
      <c r="A704" s="4" t="s">
        <v>2605</v>
      </c>
      <c r="B704" s="4" t="s">
        <v>2606</v>
      </c>
      <c r="C704" s="4" t="s">
        <v>82</v>
      </c>
      <c r="D704" s="4" t="s">
        <v>66</v>
      </c>
      <c r="E704" s="4" t="s">
        <v>231</v>
      </c>
      <c r="F704" s="4" t="s">
        <v>1456</v>
      </c>
      <c r="G704" s="22">
        <v>1749000</v>
      </c>
      <c r="H704" s="24"/>
      <c r="I704" s="24"/>
      <c r="J704" s="21">
        <v>1956</v>
      </c>
      <c r="K704" s="4" t="s">
        <v>94</v>
      </c>
      <c r="L704" s="24"/>
      <c r="M704" s="4"/>
      <c r="N704" s="4" t="s">
        <v>1517</v>
      </c>
    </row>
    <row r="705" spans="1:14">
      <c r="A705" s="4" t="s">
        <v>2607</v>
      </c>
      <c r="B705" s="4" t="s">
        <v>2608</v>
      </c>
      <c r="C705" s="4" t="s">
        <v>119</v>
      </c>
      <c r="D705" s="4" t="s">
        <v>67</v>
      </c>
      <c r="E705" s="4" t="s">
        <v>231</v>
      </c>
      <c r="F705" s="4" t="s">
        <v>1456</v>
      </c>
      <c r="G705" s="22">
        <v>1725000</v>
      </c>
      <c r="H705" s="24"/>
      <c r="I705" s="24"/>
      <c r="J705" s="21">
        <v>2024</v>
      </c>
      <c r="K705" s="4" t="s">
        <v>94</v>
      </c>
      <c r="L705" s="24"/>
      <c r="M705" s="4"/>
      <c r="N705" s="24" t="s">
        <v>237</v>
      </c>
    </row>
    <row r="706" spans="1:14">
      <c r="A706" s="4" t="s">
        <v>2609</v>
      </c>
      <c r="B706" s="4" t="s">
        <v>597</v>
      </c>
      <c r="C706" s="4" t="s">
        <v>79</v>
      </c>
      <c r="D706" s="4" t="s">
        <v>65</v>
      </c>
      <c r="E706" s="4" t="s">
        <v>231</v>
      </c>
      <c r="F706" s="4" t="s">
        <v>1456</v>
      </c>
      <c r="G706" s="22">
        <v>1700000</v>
      </c>
      <c r="H706" s="21">
        <v>7497</v>
      </c>
      <c r="I706" s="22">
        <v>226.7573696145125</v>
      </c>
      <c r="J706" s="21">
        <v>1962</v>
      </c>
      <c r="K706" s="4" t="s">
        <v>94</v>
      </c>
      <c r="L706" s="24"/>
      <c r="M706" s="4"/>
      <c r="N706" s="4" t="s">
        <v>1469</v>
      </c>
    </row>
    <row r="707" spans="1:14">
      <c r="A707" s="4" t="s">
        <v>2610</v>
      </c>
      <c r="B707" s="4" t="s">
        <v>601</v>
      </c>
      <c r="C707" s="4" t="s">
        <v>79</v>
      </c>
      <c r="D707" s="4" t="s">
        <v>65</v>
      </c>
      <c r="E707" s="4" t="s">
        <v>231</v>
      </c>
      <c r="F707" s="4" t="s">
        <v>1456</v>
      </c>
      <c r="G707" s="22">
        <v>1700000</v>
      </c>
      <c r="H707" s="21">
        <v>12769</v>
      </c>
      <c r="I707" s="22">
        <v>133.1349361735453</v>
      </c>
      <c r="J707" s="21">
        <v>1981</v>
      </c>
      <c r="K707" s="4" t="s">
        <v>94</v>
      </c>
      <c r="L707" s="24"/>
      <c r="M707" s="4"/>
      <c r="N707" s="4" t="s">
        <v>1469</v>
      </c>
    </row>
    <row r="708" spans="1:14">
      <c r="A708" s="4" t="s">
        <v>2611</v>
      </c>
      <c r="B708" s="4" t="s">
        <v>519</v>
      </c>
      <c r="C708" s="4" t="s">
        <v>81</v>
      </c>
      <c r="D708" s="4" t="s">
        <v>69</v>
      </c>
      <c r="E708" s="4" t="s">
        <v>231</v>
      </c>
      <c r="F708" s="4" t="s">
        <v>1456</v>
      </c>
      <c r="G708" s="22">
        <v>1700000</v>
      </c>
      <c r="H708" s="21">
        <v>4340</v>
      </c>
      <c r="I708" s="22">
        <v>391.705069124424</v>
      </c>
      <c r="J708" s="21">
        <v>2005</v>
      </c>
      <c r="K708" s="4" t="s">
        <v>94</v>
      </c>
      <c r="L708" s="24"/>
      <c r="M708" s="4" t="s">
        <v>1542</v>
      </c>
      <c r="N708" s="4" t="s">
        <v>1479</v>
      </c>
    </row>
    <row r="709" spans="1:14">
      <c r="A709" s="4" t="s">
        <v>2612</v>
      </c>
      <c r="B709" s="4" t="s">
        <v>608</v>
      </c>
      <c r="C709" s="4" t="s">
        <v>82</v>
      </c>
      <c r="D709" s="4" t="s">
        <v>66</v>
      </c>
      <c r="E709" s="4" t="s">
        <v>231</v>
      </c>
      <c r="F709" s="4" t="s">
        <v>1456</v>
      </c>
      <c r="G709" s="22">
        <v>1699000</v>
      </c>
      <c r="H709" s="21">
        <v>13802</v>
      </c>
      <c r="I709" s="22">
        <v>123.0981017243878</v>
      </c>
      <c r="J709" s="21">
        <v>1974</v>
      </c>
      <c r="K709" s="4" t="s">
        <v>94</v>
      </c>
      <c r="L709" s="24"/>
      <c r="M709" s="4"/>
      <c r="N709" s="4" t="s">
        <v>1517</v>
      </c>
    </row>
    <row r="710" spans="1:14">
      <c r="A710" s="4" t="s">
        <v>2613</v>
      </c>
      <c r="B710" s="4" t="s">
        <v>612</v>
      </c>
      <c r="C710" s="4" t="s">
        <v>109</v>
      </c>
      <c r="D710" s="4" t="s">
        <v>65</v>
      </c>
      <c r="E710" s="4" t="s">
        <v>231</v>
      </c>
      <c r="F710" s="4" t="s">
        <v>1456</v>
      </c>
      <c r="G710" s="22">
        <v>1600000</v>
      </c>
      <c r="H710" s="21">
        <v>12398</v>
      </c>
      <c r="I710" s="22">
        <v>129.0530730763026</v>
      </c>
      <c r="J710" s="24"/>
      <c r="K710" s="4" t="s">
        <v>94</v>
      </c>
      <c r="L710" s="24"/>
      <c r="M710" s="4"/>
      <c r="N710" s="4" t="s">
        <v>1467</v>
      </c>
    </row>
    <row r="711" spans="1:14">
      <c r="A711" s="4" t="s">
        <v>2614</v>
      </c>
      <c r="B711" s="4" t="s">
        <v>616</v>
      </c>
      <c r="C711" s="4" t="s">
        <v>83</v>
      </c>
      <c r="D711" s="4" t="s">
        <v>67</v>
      </c>
      <c r="E711" s="4" t="s">
        <v>231</v>
      </c>
      <c r="F711" s="4" t="s">
        <v>1456</v>
      </c>
      <c r="G711" s="22">
        <v>1600000</v>
      </c>
      <c r="H711" s="21">
        <v>16875</v>
      </c>
      <c r="I711" s="22">
        <v>94.81481481481481</v>
      </c>
      <c r="J711" s="21">
        <v>1969</v>
      </c>
      <c r="K711" s="4" t="s">
        <v>94</v>
      </c>
      <c r="L711" s="24"/>
      <c r="M711" s="4"/>
      <c r="N711" s="4" t="s">
        <v>1469</v>
      </c>
    </row>
    <row r="712" spans="1:14">
      <c r="A712" s="4" t="s">
        <v>2615</v>
      </c>
      <c r="B712" s="4" t="s">
        <v>1049</v>
      </c>
      <c r="C712" s="4" t="s">
        <v>59</v>
      </c>
      <c r="D712" s="4" t="s">
        <v>66</v>
      </c>
      <c r="E712" s="4" t="s">
        <v>231</v>
      </c>
      <c r="F712" s="4" t="s">
        <v>1456</v>
      </c>
      <c r="G712" s="22">
        <v>1575000</v>
      </c>
      <c r="H712" s="21">
        <v>3801</v>
      </c>
      <c r="I712" s="22">
        <v>414.3646408839779</v>
      </c>
      <c r="J712" s="21">
        <v>1985</v>
      </c>
      <c r="K712" s="4" t="s">
        <v>94</v>
      </c>
      <c r="L712" s="24"/>
      <c r="M712" s="4"/>
      <c r="N712" s="4" t="s">
        <v>1481</v>
      </c>
    </row>
    <row r="713" spans="1:14">
      <c r="A713" s="4" t="s">
        <v>2616</v>
      </c>
      <c r="B713" s="4" t="s">
        <v>2617</v>
      </c>
      <c r="C713" s="4" t="s">
        <v>118</v>
      </c>
      <c r="D713" s="4" t="s">
        <v>68</v>
      </c>
      <c r="E713" s="4" t="s">
        <v>231</v>
      </c>
      <c r="F713" s="4" t="s">
        <v>1456</v>
      </c>
      <c r="G713" s="22">
        <v>1510000</v>
      </c>
      <c r="H713" s="24"/>
      <c r="I713" s="24"/>
      <c r="J713" s="21">
        <v>1990</v>
      </c>
      <c r="K713" s="4" t="s">
        <v>94</v>
      </c>
      <c r="L713" s="24"/>
      <c r="M713" s="4"/>
      <c r="N713" s="4" t="s">
        <v>1469</v>
      </c>
    </row>
    <row r="714" spans="1:14">
      <c r="A714" s="4" t="s">
        <v>2618</v>
      </c>
      <c r="B714" s="4" t="s">
        <v>622</v>
      </c>
      <c r="C714" s="4" t="s">
        <v>110</v>
      </c>
      <c r="D714" s="4" t="s">
        <v>66</v>
      </c>
      <c r="E714" s="4" t="s">
        <v>231</v>
      </c>
      <c r="F714" s="4" t="s">
        <v>1456</v>
      </c>
      <c r="G714" s="22">
        <v>1500000</v>
      </c>
      <c r="H714" s="21">
        <v>9563</v>
      </c>
      <c r="I714" s="22">
        <v>156.8545435532783</v>
      </c>
      <c r="J714" s="21">
        <v>1951</v>
      </c>
      <c r="K714" s="4" t="s">
        <v>94</v>
      </c>
      <c r="L714" s="24"/>
      <c r="M714" s="4"/>
      <c r="N714" s="24" t="s">
        <v>237</v>
      </c>
    </row>
    <row r="715" spans="1:14">
      <c r="A715" s="4" t="s">
        <v>2619</v>
      </c>
      <c r="B715" s="4" t="s">
        <v>622</v>
      </c>
      <c r="C715" s="4" t="s">
        <v>110</v>
      </c>
      <c r="D715" s="4" t="s">
        <v>66</v>
      </c>
      <c r="E715" s="4" t="s">
        <v>231</v>
      </c>
      <c r="F715" s="4" t="s">
        <v>1456</v>
      </c>
      <c r="G715" s="22">
        <v>1500000</v>
      </c>
      <c r="H715" s="21">
        <v>9563</v>
      </c>
      <c r="I715" s="22">
        <v>156.8545435532783</v>
      </c>
      <c r="J715" s="21">
        <v>1951</v>
      </c>
      <c r="K715" s="4" t="s">
        <v>94</v>
      </c>
      <c r="L715" s="24"/>
      <c r="M715" s="4"/>
      <c r="N715" s="24" t="s">
        <v>237</v>
      </c>
    </row>
    <row r="716" spans="1:14">
      <c r="A716" s="4" t="s">
        <v>2620</v>
      </c>
      <c r="B716" s="4" t="s">
        <v>626</v>
      </c>
      <c r="C716" s="4" t="s">
        <v>79</v>
      </c>
      <c r="D716" s="4" t="s">
        <v>66</v>
      </c>
      <c r="E716" s="4" t="s">
        <v>231</v>
      </c>
      <c r="F716" s="4" t="s">
        <v>1456</v>
      </c>
      <c r="G716" s="22">
        <v>1500000</v>
      </c>
      <c r="H716" s="21">
        <v>9167</v>
      </c>
      <c r="I716" s="22">
        <v>163.6304134395113</v>
      </c>
      <c r="J716" s="21">
        <v>1958</v>
      </c>
      <c r="K716" s="4" t="s">
        <v>94</v>
      </c>
      <c r="L716" s="24"/>
      <c r="M716" s="4"/>
      <c r="N716" s="4" t="s">
        <v>1517</v>
      </c>
    </row>
    <row r="717" spans="1:14">
      <c r="A717" s="4" t="s">
        <v>2621</v>
      </c>
      <c r="B717" s="4" t="s">
        <v>630</v>
      </c>
      <c r="C717" s="4" t="s">
        <v>120</v>
      </c>
      <c r="D717" s="4" t="s">
        <v>66</v>
      </c>
      <c r="E717" s="4" t="s">
        <v>231</v>
      </c>
      <c r="F717" s="4" t="s">
        <v>1456</v>
      </c>
      <c r="G717" s="22">
        <v>1500000</v>
      </c>
      <c r="H717" s="21">
        <v>6440</v>
      </c>
      <c r="I717" s="22">
        <v>232.9192546583851</v>
      </c>
      <c r="J717" s="21">
        <v>1960</v>
      </c>
      <c r="K717" s="4" t="s">
        <v>94</v>
      </c>
      <c r="L717" s="24"/>
      <c r="M717" s="4"/>
      <c r="N717" s="4" t="s">
        <v>1473</v>
      </c>
    </row>
    <row r="718" spans="1:14">
      <c r="A718" s="4" t="s">
        <v>2622</v>
      </c>
      <c r="B718" s="4" t="s">
        <v>638</v>
      </c>
      <c r="C718" s="4" t="s">
        <v>83</v>
      </c>
      <c r="D718" s="4" t="s">
        <v>66</v>
      </c>
      <c r="E718" s="4" t="s">
        <v>231</v>
      </c>
      <c r="F718" s="4" t="s">
        <v>1456</v>
      </c>
      <c r="G718" s="22">
        <v>1425000</v>
      </c>
      <c r="H718" s="21">
        <v>11865</v>
      </c>
      <c r="I718" s="22">
        <v>120.1011378002528</v>
      </c>
      <c r="J718" s="21">
        <v>1964</v>
      </c>
      <c r="K718" s="4" t="s">
        <v>94</v>
      </c>
      <c r="L718" s="24"/>
      <c r="M718" s="4"/>
      <c r="N718" s="4" t="s">
        <v>1812</v>
      </c>
    </row>
    <row r="719" spans="1:14">
      <c r="A719" s="4" t="s">
        <v>2623</v>
      </c>
      <c r="B719" s="4" t="s">
        <v>649</v>
      </c>
      <c r="C719" s="4" t="s">
        <v>120</v>
      </c>
      <c r="D719" s="4" t="s">
        <v>68</v>
      </c>
      <c r="E719" s="4" t="s">
        <v>231</v>
      </c>
      <c r="F719" s="4" t="s">
        <v>1456</v>
      </c>
      <c r="G719" s="22">
        <v>1400000</v>
      </c>
      <c r="H719" s="21">
        <v>3375</v>
      </c>
      <c r="I719" s="22">
        <v>414.8148148148148</v>
      </c>
      <c r="J719" s="21">
        <v>1980</v>
      </c>
      <c r="K719" s="4" t="s">
        <v>94</v>
      </c>
      <c r="L719" s="24"/>
      <c r="M719" s="4"/>
      <c r="N719" s="4" t="s">
        <v>1547</v>
      </c>
    </row>
    <row r="720" spans="1:14">
      <c r="A720" s="4" t="s">
        <v>2624</v>
      </c>
      <c r="B720" s="4" t="s">
        <v>653</v>
      </c>
      <c r="C720" s="4" t="s">
        <v>83</v>
      </c>
      <c r="D720" s="4" t="s">
        <v>65</v>
      </c>
      <c r="E720" s="4" t="s">
        <v>231</v>
      </c>
      <c r="F720" s="4" t="s">
        <v>1456</v>
      </c>
      <c r="G720" s="22">
        <v>1399000</v>
      </c>
      <c r="H720" s="21">
        <v>6225</v>
      </c>
      <c r="I720" s="22">
        <v>224.7389558232932</v>
      </c>
      <c r="J720" s="21">
        <v>1958</v>
      </c>
      <c r="K720" s="4" t="s">
        <v>94</v>
      </c>
      <c r="L720" s="24"/>
      <c r="M720" s="4"/>
      <c r="N720" s="4" t="s">
        <v>1824</v>
      </c>
    </row>
    <row r="721" spans="1:14">
      <c r="A721" s="4" t="s">
        <v>2625</v>
      </c>
      <c r="B721" s="4" t="s">
        <v>657</v>
      </c>
      <c r="C721" s="4" t="s">
        <v>80</v>
      </c>
      <c r="D721" s="4" t="s">
        <v>65</v>
      </c>
      <c r="E721" s="4" t="s">
        <v>231</v>
      </c>
      <c r="F721" s="4" t="s">
        <v>1456</v>
      </c>
      <c r="G721" s="22">
        <v>1395000</v>
      </c>
      <c r="H721" s="21">
        <v>7250</v>
      </c>
      <c r="I721" s="22">
        <v>192.4137931034483</v>
      </c>
      <c r="J721" s="21">
        <v>1968</v>
      </c>
      <c r="K721" s="4" t="s">
        <v>94</v>
      </c>
      <c r="L721" s="24"/>
      <c r="M721" s="4"/>
      <c r="N721" s="4" t="s">
        <v>2626</v>
      </c>
    </row>
    <row r="722" spans="1:14">
      <c r="A722" s="4" t="s">
        <v>2627</v>
      </c>
      <c r="B722" s="4" t="s">
        <v>661</v>
      </c>
      <c r="C722" s="4" t="s">
        <v>79</v>
      </c>
      <c r="D722" s="4" t="s">
        <v>66</v>
      </c>
      <c r="E722" s="4" t="s">
        <v>231</v>
      </c>
      <c r="F722" s="4" t="s">
        <v>1456</v>
      </c>
      <c r="G722" s="22">
        <v>1350000</v>
      </c>
      <c r="H722" s="21">
        <v>13504</v>
      </c>
      <c r="I722" s="22">
        <v>99.97037914691943</v>
      </c>
      <c r="J722" s="21">
        <v>1951</v>
      </c>
      <c r="K722" s="4" t="s">
        <v>94</v>
      </c>
      <c r="L722" s="24"/>
      <c r="M722" s="4"/>
      <c r="N722" s="4" t="s">
        <v>1473</v>
      </c>
    </row>
    <row r="723" spans="1:14">
      <c r="A723" s="4" t="s">
        <v>2628</v>
      </c>
      <c r="B723" s="4" t="s">
        <v>665</v>
      </c>
      <c r="C723" s="4" t="s">
        <v>81</v>
      </c>
      <c r="D723" s="4" t="s">
        <v>69</v>
      </c>
      <c r="E723" s="4" t="s">
        <v>231</v>
      </c>
      <c r="F723" s="4" t="s">
        <v>1456</v>
      </c>
      <c r="G723" s="22">
        <v>1350000</v>
      </c>
      <c r="H723" s="21">
        <v>10500</v>
      </c>
      <c r="I723" s="22">
        <v>128.5714285714286</v>
      </c>
      <c r="J723" s="21">
        <v>1958</v>
      </c>
      <c r="K723" s="4" t="s">
        <v>94</v>
      </c>
      <c r="L723" s="24"/>
      <c r="M723" s="4"/>
      <c r="N723" s="4" t="s">
        <v>1522</v>
      </c>
    </row>
    <row r="724" spans="1:14">
      <c r="A724" s="4" t="s">
        <v>2629</v>
      </c>
      <c r="B724" s="4" t="s">
        <v>669</v>
      </c>
      <c r="C724" s="4" t="s">
        <v>79</v>
      </c>
      <c r="D724" s="4" t="s">
        <v>66</v>
      </c>
      <c r="E724" s="4" t="s">
        <v>231</v>
      </c>
      <c r="F724" s="4" t="s">
        <v>1456</v>
      </c>
      <c r="G724" s="22">
        <v>1349999</v>
      </c>
      <c r="H724" s="21">
        <v>10127</v>
      </c>
      <c r="I724" s="22">
        <v>133.3069023402785</v>
      </c>
      <c r="J724" s="21">
        <v>1980</v>
      </c>
      <c r="K724" s="4" t="s">
        <v>94</v>
      </c>
      <c r="L724" s="24"/>
      <c r="M724" s="4"/>
      <c r="N724" s="4" t="s">
        <v>1473</v>
      </c>
    </row>
    <row r="725" spans="1:14">
      <c r="A725" s="4" t="s">
        <v>2630</v>
      </c>
      <c r="B725" s="4" t="s">
        <v>673</v>
      </c>
      <c r="C725" s="4" t="s">
        <v>83</v>
      </c>
      <c r="D725" s="4" t="s">
        <v>66</v>
      </c>
      <c r="E725" s="4" t="s">
        <v>231</v>
      </c>
      <c r="F725" s="4" t="s">
        <v>1456</v>
      </c>
      <c r="G725" s="22">
        <v>1300000</v>
      </c>
      <c r="H725" s="21">
        <v>11300</v>
      </c>
      <c r="I725" s="22">
        <v>115.0442477876106</v>
      </c>
      <c r="J725" s="21">
        <v>1957</v>
      </c>
      <c r="K725" s="4" t="s">
        <v>94</v>
      </c>
      <c r="L725" s="24"/>
      <c r="M725" s="4"/>
      <c r="N725" s="4" t="s">
        <v>1812</v>
      </c>
    </row>
    <row r="726" spans="1:14">
      <c r="A726" s="4" t="s">
        <v>2631</v>
      </c>
      <c r="B726" s="4" t="s">
        <v>2632</v>
      </c>
      <c r="C726" s="4" t="s">
        <v>80</v>
      </c>
      <c r="D726" s="4" t="s">
        <v>65</v>
      </c>
      <c r="E726" s="4" t="s">
        <v>231</v>
      </c>
      <c r="F726" s="4" t="s">
        <v>1456</v>
      </c>
      <c r="G726" s="22">
        <v>1300000</v>
      </c>
      <c r="H726" s="24"/>
      <c r="I726" s="24"/>
      <c r="J726" s="24"/>
      <c r="K726" s="4" t="s">
        <v>94</v>
      </c>
      <c r="L726" s="24"/>
      <c r="M726" s="4"/>
      <c r="N726" s="4" t="s">
        <v>1479</v>
      </c>
    </row>
    <row r="727" spans="1:14">
      <c r="A727" s="4" t="s">
        <v>2633</v>
      </c>
      <c r="B727" s="4" t="s">
        <v>677</v>
      </c>
      <c r="C727" s="4" t="s">
        <v>119</v>
      </c>
      <c r="D727" s="4" t="s">
        <v>67</v>
      </c>
      <c r="E727" s="4" t="s">
        <v>231</v>
      </c>
      <c r="F727" s="4" t="s">
        <v>1456</v>
      </c>
      <c r="G727" s="22">
        <v>1300000</v>
      </c>
      <c r="H727" s="21">
        <v>11800</v>
      </c>
      <c r="I727" s="22">
        <v>110.1694915254237</v>
      </c>
      <c r="J727" s="21">
        <v>2024</v>
      </c>
      <c r="K727" s="4" t="s">
        <v>94</v>
      </c>
      <c r="L727" s="24"/>
      <c r="M727" s="4"/>
      <c r="N727" s="4" t="s">
        <v>1580</v>
      </c>
    </row>
    <row r="728" spans="1:14">
      <c r="A728" s="4" t="s">
        <v>2634</v>
      </c>
      <c r="B728" s="4" t="s">
        <v>681</v>
      </c>
      <c r="C728" s="4" t="s">
        <v>79</v>
      </c>
      <c r="D728" s="4" t="s">
        <v>66</v>
      </c>
      <c r="E728" s="4" t="s">
        <v>231</v>
      </c>
      <c r="F728" s="4" t="s">
        <v>1456</v>
      </c>
      <c r="G728" s="22">
        <v>1299000</v>
      </c>
      <c r="H728" s="21">
        <v>9466</v>
      </c>
      <c r="I728" s="22">
        <v>137.2279738009719</v>
      </c>
      <c r="J728" s="21">
        <v>1970</v>
      </c>
      <c r="K728" s="4" t="s">
        <v>94</v>
      </c>
      <c r="L728" s="24"/>
      <c r="M728" s="4"/>
      <c r="N728" s="4" t="s">
        <v>1477</v>
      </c>
    </row>
    <row r="729" spans="1:14">
      <c r="A729" s="4" t="s">
        <v>2635</v>
      </c>
      <c r="B729" s="4" t="s">
        <v>2636</v>
      </c>
      <c r="C729" s="4" t="s">
        <v>82</v>
      </c>
      <c r="D729" s="4" t="s">
        <v>65</v>
      </c>
      <c r="E729" s="4" t="s">
        <v>231</v>
      </c>
      <c r="F729" s="4" t="s">
        <v>1456</v>
      </c>
      <c r="G729" s="22">
        <v>1290000</v>
      </c>
      <c r="H729" s="24"/>
      <c r="I729" s="24"/>
      <c r="J729" s="21">
        <v>1958</v>
      </c>
      <c r="K729" s="4" t="s">
        <v>94</v>
      </c>
      <c r="L729" s="24"/>
      <c r="M729" s="4"/>
      <c r="N729" s="4" t="s">
        <v>1824</v>
      </c>
    </row>
    <row r="730" spans="1:14">
      <c r="A730" s="4" t="s">
        <v>2637</v>
      </c>
      <c r="B730" s="4" t="s">
        <v>693</v>
      </c>
      <c r="C730" s="4" t="s">
        <v>81</v>
      </c>
      <c r="D730" s="4" t="s">
        <v>68</v>
      </c>
      <c r="E730" s="4" t="s">
        <v>231</v>
      </c>
      <c r="F730" s="4" t="s">
        <v>1456</v>
      </c>
      <c r="G730" s="22">
        <v>1250000</v>
      </c>
      <c r="H730" s="21">
        <v>7393</v>
      </c>
      <c r="I730" s="22">
        <v>169.0788583795482</v>
      </c>
      <c r="J730" s="21">
        <v>1959</v>
      </c>
      <c r="K730" s="4" t="s">
        <v>94</v>
      </c>
      <c r="L730" s="24"/>
      <c r="M730" s="4"/>
      <c r="N730" s="4" t="s">
        <v>1550</v>
      </c>
    </row>
    <row r="731" spans="1:14">
      <c r="A731" s="4" t="s">
        <v>2638</v>
      </c>
      <c r="B731" s="4" t="s">
        <v>697</v>
      </c>
      <c r="C731" s="4" t="s">
        <v>79</v>
      </c>
      <c r="D731" s="4" t="s">
        <v>68</v>
      </c>
      <c r="E731" s="4" t="s">
        <v>231</v>
      </c>
      <c r="F731" s="4" t="s">
        <v>1456</v>
      </c>
      <c r="G731" s="22">
        <v>1200000</v>
      </c>
      <c r="H731" s="21">
        <v>8798</v>
      </c>
      <c r="I731" s="22">
        <v>136.394635144351</v>
      </c>
      <c r="J731" s="21">
        <v>1971</v>
      </c>
      <c r="K731" s="4" t="s">
        <v>94</v>
      </c>
      <c r="L731" s="24"/>
      <c r="M731" s="4"/>
      <c r="N731" s="4" t="s">
        <v>1471</v>
      </c>
    </row>
    <row r="732" spans="1:14">
      <c r="A732" s="4" t="s">
        <v>2639</v>
      </c>
      <c r="B732" s="4" t="s">
        <v>697</v>
      </c>
      <c r="C732" s="4" t="s">
        <v>79</v>
      </c>
      <c r="D732" s="4" t="s">
        <v>68</v>
      </c>
      <c r="E732" s="4" t="s">
        <v>231</v>
      </c>
      <c r="F732" s="4" t="s">
        <v>1456</v>
      </c>
      <c r="G732" s="22">
        <v>1200000</v>
      </c>
      <c r="H732" s="21">
        <v>8798</v>
      </c>
      <c r="I732" s="22">
        <v>136.394635144351</v>
      </c>
      <c r="J732" s="21">
        <v>1971</v>
      </c>
      <c r="K732" s="4" t="s">
        <v>94</v>
      </c>
      <c r="L732" s="24"/>
      <c r="M732" s="4"/>
      <c r="N732" s="4" t="s">
        <v>1471</v>
      </c>
    </row>
    <row r="733" spans="1:14">
      <c r="A733" s="4" t="s">
        <v>2640</v>
      </c>
      <c r="B733" s="4" t="s">
        <v>704</v>
      </c>
      <c r="C733" s="4" t="s">
        <v>113</v>
      </c>
      <c r="D733" s="4" t="s">
        <v>70</v>
      </c>
      <c r="E733" s="4" t="s">
        <v>231</v>
      </c>
      <c r="F733" s="4" t="s">
        <v>1456</v>
      </c>
      <c r="G733" s="22">
        <v>1200000</v>
      </c>
      <c r="H733" s="21">
        <v>10213</v>
      </c>
      <c r="I733" s="22">
        <v>117.4973073533731</v>
      </c>
      <c r="J733" s="21">
        <v>1968</v>
      </c>
      <c r="K733" s="4" t="s">
        <v>94</v>
      </c>
      <c r="L733" s="24"/>
      <c r="M733" s="4"/>
      <c r="N733" s="4" t="s">
        <v>2641</v>
      </c>
    </row>
    <row r="734" spans="1:14">
      <c r="A734" s="4" t="s">
        <v>2642</v>
      </c>
      <c r="B734" s="4" t="s">
        <v>708</v>
      </c>
      <c r="C734" s="4" t="s">
        <v>118</v>
      </c>
      <c r="D734" s="4" t="s">
        <v>65</v>
      </c>
      <c r="E734" s="4" t="s">
        <v>231</v>
      </c>
      <c r="F734" s="4" t="s">
        <v>1456</v>
      </c>
      <c r="G734" s="22">
        <v>1200000</v>
      </c>
      <c r="H734" s="21">
        <v>8333</v>
      </c>
      <c r="I734" s="22">
        <v>144.0057602304092</v>
      </c>
      <c r="J734" s="21">
        <v>1984</v>
      </c>
      <c r="K734" s="4" t="s">
        <v>94</v>
      </c>
      <c r="L734" s="24"/>
      <c r="M734" s="4"/>
      <c r="N734" s="4" t="s">
        <v>1471</v>
      </c>
    </row>
    <row r="735" spans="1:14">
      <c r="A735" s="4" t="s">
        <v>2643</v>
      </c>
      <c r="B735" s="4" t="s">
        <v>712</v>
      </c>
      <c r="C735" s="4" t="s">
        <v>119</v>
      </c>
      <c r="D735" s="4" t="s">
        <v>67</v>
      </c>
      <c r="E735" s="4" t="s">
        <v>231</v>
      </c>
      <c r="F735" s="4" t="s">
        <v>1456</v>
      </c>
      <c r="G735" s="22">
        <v>1200000</v>
      </c>
      <c r="H735" s="21">
        <v>11800</v>
      </c>
      <c r="I735" s="22">
        <v>101.6949152542373</v>
      </c>
      <c r="J735" s="21">
        <v>2024</v>
      </c>
      <c r="K735" s="4" t="s">
        <v>94</v>
      </c>
      <c r="L735" s="24"/>
      <c r="M735" s="4"/>
      <c r="N735" s="4" t="s">
        <v>1580</v>
      </c>
    </row>
    <row r="736" spans="1:14">
      <c r="A736" s="4" t="s">
        <v>2644</v>
      </c>
      <c r="B736" s="4" t="s">
        <v>1764</v>
      </c>
      <c r="C736" s="4" t="s">
        <v>109</v>
      </c>
      <c r="D736" s="4" t="s">
        <v>65</v>
      </c>
      <c r="E736" s="4" t="s">
        <v>231</v>
      </c>
      <c r="F736" s="4" t="s">
        <v>1456</v>
      </c>
      <c r="G736" s="22">
        <v>1199000</v>
      </c>
      <c r="H736" s="24"/>
      <c r="I736" s="24"/>
      <c r="J736" s="24"/>
      <c r="K736" s="4" t="s">
        <v>94</v>
      </c>
      <c r="L736" s="24"/>
      <c r="M736" s="4"/>
      <c r="N736" s="4" t="s">
        <v>1467</v>
      </c>
    </row>
    <row r="737" spans="1:14">
      <c r="A737" s="4" t="s">
        <v>2645</v>
      </c>
      <c r="B737" s="4" t="s">
        <v>716</v>
      </c>
      <c r="C737" s="4" t="s">
        <v>76</v>
      </c>
      <c r="D737" s="4" t="s">
        <v>69</v>
      </c>
      <c r="E737" s="4" t="s">
        <v>231</v>
      </c>
      <c r="F737" s="4" t="s">
        <v>1456</v>
      </c>
      <c r="G737" s="22">
        <v>1195000</v>
      </c>
      <c r="H737" s="21">
        <v>6749</v>
      </c>
      <c r="I737" s="22">
        <v>177.06326863239</v>
      </c>
      <c r="J737" s="21">
        <v>1959</v>
      </c>
      <c r="K737" s="4" t="s">
        <v>94</v>
      </c>
      <c r="L737" s="24"/>
      <c r="M737" s="4"/>
      <c r="N737" s="4" t="s">
        <v>1550</v>
      </c>
    </row>
    <row r="738" spans="1:14">
      <c r="A738" s="4" t="s">
        <v>2646</v>
      </c>
      <c r="B738" s="4" t="s">
        <v>2647</v>
      </c>
      <c r="C738" s="4" t="s">
        <v>119</v>
      </c>
      <c r="D738" s="4" t="s">
        <v>67</v>
      </c>
      <c r="E738" s="4" t="s">
        <v>231</v>
      </c>
      <c r="F738" s="4" t="s">
        <v>1456</v>
      </c>
      <c r="G738" s="22">
        <v>1185000</v>
      </c>
      <c r="H738" s="21">
        <v>200000</v>
      </c>
      <c r="I738" s="22">
        <v>5.925</v>
      </c>
      <c r="J738" s="21">
        <v>2009</v>
      </c>
      <c r="K738" s="4" t="s">
        <v>94</v>
      </c>
      <c r="L738" s="24"/>
      <c r="M738" s="4"/>
      <c r="N738" s="4" t="s">
        <v>1580</v>
      </c>
    </row>
    <row r="739" spans="1:14">
      <c r="A739" s="4" t="s">
        <v>2648</v>
      </c>
      <c r="B739" s="4" t="s">
        <v>720</v>
      </c>
      <c r="C739" s="4" t="s">
        <v>117</v>
      </c>
      <c r="D739" s="4" t="s">
        <v>65</v>
      </c>
      <c r="E739" s="4" t="s">
        <v>231</v>
      </c>
      <c r="F739" s="4" t="s">
        <v>1456</v>
      </c>
      <c r="G739" s="22">
        <v>1180000</v>
      </c>
      <c r="H739" s="21">
        <v>2268</v>
      </c>
      <c r="I739" s="22">
        <v>520.2821869488536</v>
      </c>
      <c r="J739" s="21">
        <v>2002</v>
      </c>
      <c r="K739" s="4" t="s">
        <v>94</v>
      </c>
      <c r="L739" s="24"/>
      <c r="M739" s="4"/>
      <c r="N739" s="4" t="s">
        <v>1483</v>
      </c>
    </row>
    <row r="740" spans="1:14">
      <c r="A740" s="4" t="s">
        <v>2649</v>
      </c>
      <c r="B740" s="4" t="s">
        <v>724</v>
      </c>
      <c r="C740" s="4" t="s">
        <v>83</v>
      </c>
      <c r="D740" s="4" t="s">
        <v>66</v>
      </c>
      <c r="E740" s="4" t="s">
        <v>231</v>
      </c>
      <c r="F740" s="4" t="s">
        <v>1456</v>
      </c>
      <c r="G740" s="22">
        <v>1175000</v>
      </c>
      <c r="H740" s="21">
        <v>6750</v>
      </c>
      <c r="I740" s="22">
        <v>174.0740740740741</v>
      </c>
      <c r="J740" s="21">
        <v>1972</v>
      </c>
      <c r="K740" s="4" t="s">
        <v>94</v>
      </c>
      <c r="L740" s="24"/>
      <c r="M740" s="4"/>
      <c r="N740" s="4" t="s">
        <v>1473</v>
      </c>
    </row>
    <row r="741" spans="1:14">
      <c r="A741" s="4" t="s">
        <v>2650</v>
      </c>
      <c r="B741" s="4" t="s">
        <v>2651</v>
      </c>
      <c r="C741" s="4" t="s">
        <v>119</v>
      </c>
      <c r="D741" s="4" t="s">
        <v>67</v>
      </c>
      <c r="E741" s="4" t="s">
        <v>231</v>
      </c>
      <c r="F741" s="4" t="s">
        <v>1456</v>
      </c>
      <c r="G741" s="22">
        <v>1125000</v>
      </c>
      <c r="H741" s="21">
        <v>200000</v>
      </c>
      <c r="I741" s="22">
        <v>5.625</v>
      </c>
      <c r="J741" s="21">
        <v>2024</v>
      </c>
      <c r="K741" s="4" t="s">
        <v>94</v>
      </c>
      <c r="L741" s="24"/>
      <c r="M741" s="4"/>
      <c r="N741" s="4" t="s">
        <v>1580</v>
      </c>
    </row>
    <row r="742" spans="1:14">
      <c r="A742" s="4" t="s">
        <v>2652</v>
      </c>
      <c r="B742" s="4" t="s">
        <v>2653</v>
      </c>
      <c r="C742" s="4" t="s">
        <v>114</v>
      </c>
      <c r="D742" s="4" t="s">
        <v>65</v>
      </c>
      <c r="E742" s="4" t="s">
        <v>231</v>
      </c>
      <c r="F742" s="4" t="s">
        <v>1456</v>
      </c>
      <c r="G742" s="22">
        <v>1099000</v>
      </c>
      <c r="H742" s="24"/>
      <c r="I742" s="24"/>
      <c r="J742" s="21">
        <v>1956</v>
      </c>
      <c r="K742" s="4" t="s">
        <v>94</v>
      </c>
      <c r="L742" s="24"/>
      <c r="M742" s="4"/>
      <c r="N742" s="4" t="s">
        <v>1475</v>
      </c>
    </row>
    <row r="743" spans="1:14">
      <c r="A743" s="4" t="s">
        <v>2654</v>
      </c>
      <c r="B743" s="4" t="s">
        <v>2655</v>
      </c>
      <c r="C743" s="4" t="s">
        <v>82</v>
      </c>
      <c r="D743" s="4" t="s">
        <v>68</v>
      </c>
      <c r="E743" s="4" t="s">
        <v>231</v>
      </c>
      <c r="F743" s="4" t="s">
        <v>1456</v>
      </c>
      <c r="G743" s="22">
        <v>1098990</v>
      </c>
      <c r="H743" s="24"/>
      <c r="I743" s="24"/>
      <c r="J743" s="21">
        <v>1918</v>
      </c>
      <c r="K743" s="4" t="s">
        <v>94</v>
      </c>
      <c r="L743" s="24"/>
      <c r="M743" s="4"/>
      <c r="N743" s="4" t="s">
        <v>1793</v>
      </c>
    </row>
    <row r="744" spans="1:14">
      <c r="A744" s="4" t="s">
        <v>2656</v>
      </c>
      <c r="B744" s="4" t="s">
        <v>728</v>
      </c>
      <c r="C744" s="4" t="s">
        <v>109</v>
      </c>
      <c r="D744" s="4" t="s">
        <v>65</v>
      </c>
      <c r="E744" s="4" t="s">
        <v>231</v>
      </c>
      <c r="F744" s="4" t="s">
        <v>1456</v>
      </c>
      <c r="G744" s="22">
        <v>1098960</v>
      </c>
      <c r="H744" s="21">
        <v>8381</v>
      </c>
      <c r="I744" s="22">
        <v>131.1251640615678</v>
      </c>
      <c r="J744" s="24"/>
      <c r="K744" s="4" t="s">
        <v>94</v>
      </c>
      <c r="L744" s="24"/>
      <c r="M744" s="4"/>
      <c r="N744" s="4" t="s">
        <v>1467</v>
      </c>
    </row>
    <row r="745" spans="1:14">
      <c r="A745" s="4" t="s">
        <v>2657</v>
      </c>
      <c r="B745" s="4" t="s">
        <v>724</v>
      </c>
      <c r="C745" s="4" t="s">
        <v>83</v>
      </c>
      <c r="D745" s="4" t="s">
        <v>66</v>
      </c>
      <c r="E745" s="4" t="s">
        <v>231</v>
      </c>
      <c r="F745" s="4" t="s">
        <v>1456</v>
      </c>
      <c r="G745" s="22">
        <v>1095000</v>
      </c>
      <c r="H745" s="21">
        <v>6750</v>
      </c>
      <c r="I745" s="22">
        <v>162.2222222222222</v>
      </c>
      <c r="J745" s="21">
        <v>1973</v>
      </c>
      <c r="K745" s="4" t="s">
        <v>94</v>
      </c>
      <c r="L745" s="24"/>
      <c r="M745" s="4"/>
      <c r="N745" s="4" t="s">
        <v>1473</v>
      </c>
    </row>
    <row r="746" spans="1:14">
      <c r="A746" s="4" t="s">
        <v>2658</v>
      </c>
      <c r="B746" s="4" t="s">
        <v>734</v>
      </c>
      <c r="C746" s="4" t="s">
        <v>80</v>
      </c>
      <c r="D746" s="4" t="s">
        <v>68</v>
      </c>
      <c r="E746" s="4" t="s">
        <v>231</v>
      </c>
      <c r="F746" s="4" t="s">
        <v>1456</v>
      </c>
      <c r="G746" s="22">
        <v>1090000</v>
      </c>
      <c r="H746" s="21">
        <v>6250</v>
      </c>
      <c r="I746" s="22">
        <v>174.4</v>
      </c>
      <c r="J746" s="24"/>
      <c r="K746" s="4" t="s">
        <v>94</v>
      </c>
      <c r="L746" s="24"/>
      <c r="M746" s="4"/>
      <c r="N746" s="4" t="s">
        <v>1475</v>
      </c>
    </row>
    <row r="747" spans="1:14">
      <c r="A747" s="4" t="s">
        <v>2659</v>
      </c>
      <c r="B747" s="4" t="s">
        <v>738</v>
      </c>
      <c r="C747" s="4" t="s">
        <v>109</v>
      </c>
      <c r="D747" s="4" t="s">
        <v>65</v>
      </c>
      <c r="E747" s="4" t="s">
        <v>231</v>
      </c>
      <c r="F747" s="4" t="s">
        <v>1456</v>
      </c>
      <c r="G747" s="22">
        <v>1079325</v>
      </c>
      <c r="H747" s="21">
        <v>3321</v>
      </c>
      <c r="I747" s="22">
        <v>325</v>
      </c>
      <c r="J747" s="24"/>
      <c r="K747" s="4" t="s">
        <v>94</v>
      </c>
      <c r="L747" s="24"/>
      <c r="M747" s="4"/>
      <c r="N747" s="4" t="s">
        <v>1467</v>
      </c>
    </row>
    <row r="748" spans="1:14">
      <c r="A748" s="4" t="s">
        <v>2660</v>
      </c>
      <c r="B748" s="4" t="s">
        <v>742</v>
      </c>
      <c r="C748" s="4" t="s">
        <v>743</v>
      </c>
      <c r="D748" s="4" t="s">
        <v>70</v>
      </c>
      <c r="E748" s="4" t="s">
        <v>231</v>
      </c>
      <c r="F748" s="4" t="s">
        <v>1456</v>
      </c>
      <c r="G748" s="22">
        <v>1050000</v>
      </c>
      <c r="H748" s="21">
        <v>6751</v>
      </c>
      <c r="I748" s="22">
        <v>155.5325137016738</v>
      </c>
      <c r="J748" s="21">
        <v>1961</v>
      </c>
      <c r="K748" s="4" t="s">
        <v>94</v>
      </c>
      <c r="L748" s="24"/>
      <c r="M748" s="4"/>
      <c r="N748" s="4" t="s">
        <v>1467</v>
      </c>
    </row>
    <row r="749" spans="1:14">
      <c r="A749" s="4" t="s">
        <v>2661</v>
      </c>
      <c r="B749" s="4" t="s">
        <v>747</v>
      </c>
      <c r="C749" s="4" t="s">
        <v>81</v>
      </c>
      <c r="D749" s="4" t="s">
        <v>65</v>
      </c>
      <c r="E749" s="4" t="s">
        <v>231</v>
      </c>
      <c r="F749" s="4" t="s">
        <v>1456</v>
      </c>
      <c r="G749" s="22">
        <v>1049000</v>
      </c>
      <c r="H749" s="21">
        <v>1412</v>
      </c>
      <c r="I749" s="22">
        <v>742.9178470254958</v>
      </c>
      <c r="J749" s="21">
        <v>1939</v>
      </c>
      <c r="K749" s="4" t="s">
        <v>94</v>
      </c>
      <c r="L749" s="24"/>
      <c r="M749" s="4"/>
      <c r="N749" s="4" t="s">
        <v>1550</v>
      </c>
    </row>
    <row r="750" spans="1:14">
      <c r="A750" s="4" t="s">
        <v>2662</v>
      </c>
      <c r="B750" s="4" t="s">
        <v>724</v>
      </c>
      <c r="C750" s="4" t="s">
        <v>83</v>
      </c>
      <c r="D750" s="4" t="s">
        <v>66</v>
      </c>
      <c r="E750" s="4" t="s">
        <v>231</v>
      </c>
      <c r="F750" s="4" t="s">
        <v>1456</v>
      </c>
      <c r="G750" s="22">
        <v>1039000</v>
      </c>
      <c r="H750" s="21">
        <v>6750</v>
      </c>
      <c r="I750" s="22">
        <v>153.9259259259259</v>
      </c>
      <c r="J750" s="21">
        <v>1972</v>
      </c>
      <c r="K750" s="4" t="s">
        <v>94</v>
      </c>
      <c r="L750" s="24"/>
      <c r="M750" s="4"/>
      <c r="N750" s="4" t="s">
        <v>1473</v>
      </c>
    </row>
    <row r="751" spans="1:14">
      <c r="A751" s="4" t="s">
        <v>2663</v>
      </c>
      <c r="B751" s="4" t="s">
        <v>759</v>
      </c>
      <c r="C751" s="4" t="s">
        <v>116</v>
      </c>
      <c r="D751" s="4" t="s">
        <v>65</v>
      </c>
      <c r="E751" s="4" t="s">
        <v>231</v>
      </c>
      <c r="F751" s="4" t="s">
        <v>1456</v>
      </c>
      <c r="G751" s="22">
        <v>990000</v>
      </c>
      <c r="H751" s="21">
        <v>6325</v>
      </c>
      <c r="I751" s="22">
        <v>156.5217391304348</v>
      </c>
      <c r="J751" s="21">
        <v>1952</v>
      </c>
      <c r="K751" s="4" t="s">
        <v>95</v>
      </c>
      <c r="L751" s="24"/>
      <c r="M751" s="4"/>
      <c r="N751" s="4" t="s">
        <v>2664</v>
      </c>
    </row>
    <row r="752" spans="1:14">
      <c r="A752" s="4" t="s">
        <v>2665</v>
      </c>
      <c r="B752" s="4" t="s">
        <v>776</v>
      </c>
      <c r="C752" s="4" t="s">
        <v>118</v>
      </c>
      <c r="D752" s="4" t="s">
        <v>68</v>
      </c>
      <c r="E752" s="4" t="s">
        <v>231</v>
      </c>
      <c r="F752" s="4" t="s">
        <v>1456</v>
      </c>
      <c r="G752" s="22">
        <v>949900</v>
      </c>
      <c r="H752" s="21">
        <v>11136</v>
      </c>
      <c r="I752" s="22">
        <v>85.29992816091954</v>
      </c>
      <c r="J752" s="24"/>
      <c r="K752" s="4" t="s">
        <v>95</v>
      </c>
      <c r="L752" s="24"/>
      <c r="M752" s="4"/>
      <c r="N752" s="4" t="s">
        <v>1471</v>
      </c>
    </row>
    <row r="753" spans="1:14">
      <c r="A753" s="4" t="s">
        <v>2666</v>
      </c>
      <c r="B753" s="4" t="s">
        <v>780</v>
      </c>
      <c r="C753" s="4" t="s">
        <v>79</v>
      </c>
      <c r="D753" s="4" t="s">
        <v>66</v>
      </c>
      <c r="E753" s="4" t="s">
        <v>231</v>
      </c>
      <c r="F753" s="4" t="s">
        <v>1456</v>
      </c>
      <c r="G753" s="22">
        <v>930000</v>
      </c>
      <c r="H753" s="21">
        <v>9759</v>
      </c>
      <c r="I753" s="22">
        <v>95.29664924684906</v>
      </c>
      <c r="J753" s="21">
        <v>1970</v>
      </c>
      <c r="K753" s="4" t="s">
        <v>95</v>
      </c>
      <c r="L753" s="24"/>
      <c r="M753" s="4"/>
      <c r="N753" s="4" t="s">
        <v>1812</v>
      </c>
    </row>
    <row r="754" spans="1:14">
      <c r="A754" s="4" t="s">
        <v>2667</v>
      </c>
      <c r="B754" s="4" t="s">
        <v>2668</v>
      </c>
      <c r="C754" s="4" t="s">
        <v>110</v>
      </c>
      <c r="D754" s="4" t="s">
        <v>66</v>
      </c>
      <c r="E754" s="4" t="s">
        <v>231</v>
      </c>
      <c r="F754" s="4" t="s">
        <v>1456</v>
      </c>
      <c r="G754" s="22">
        <v>918990</v>
      </c>
      <c r="H754" s="24"/>
      <c r="I754" s="24"/>
      <c r="J754" s="21">
        <v>1956</v>
      </c>
      <c r="K754" s="4" t="s">
        <v>95</v>
      </c>
      <c r="L754" s="24"/>
      <c r="M754" s="4"/>
      <c r="N754" s="4" t="s">
        <v>1473</v>
      </c>
    </row>
    <row r="755" spans="1:14">
      <c r="A755" s="4" t="s">
        <v>2669</v>
      </c>
      <c r="B755" s="4" t="s">
        <v>788</v>
      </c>
      <c r="C755" s="4" t="s">
        <v>81</v>
      </c>
      <c r="D755" s="4" t="s">
        <v>69</v>
      </c>
      <c r="E755" s="4" t="s">
        <v>231</v>
      </c>
      <c r="F755" s="4" t="s">
        <v>1456</v>
      </c>
      <c r="G755" s="22">
        <v>899999</v>
      </c>
      <c r="H755" s="21">
        <v>6840</v>
      </c>
      <c r="I755" s="22">
        <v>131.5788011695906</v>
      </c>
      <c r="J755" s="21">
        <v>1967</v>
      </c>
      <c r="K755" s="4" t="s">
        <v>95</v>
      </c>
      <c r="L755" s="24"/>
      <c r="M755" s="4"/>
      <c r="N755" s="4" t="s">
        <v>1550</v>
      </c>
    </row>
    <row r="756" spans="1:14">
      <c r="A756" s="4" t="s">
        <v>2670</v>
      </c>
      <c r="B756" s="4" t="s">
        <v>796</v>
      </c>
      <c r="C756" s="4" t="s">
        <v>797</v>
      </c>
      <c r="D756" s="4" t="s">
        <v>67</v>
      </c>
      <c r="E756" s="4" t="s">
        <v>231</v>
      </c>
      <c r="F756" s="4" t="s">
        <v>1456</v>
      </c>
      <c r="G756" s="22">
        <v>875000</v>
      </c>
      <c r="H756" s="21">
        <v>6750</v>
      </c>
      <c r="I756" s="22">
        <v>129.6296296296296</v>
      </c>
      <c r="J756" s="21">
        <v>1957</v>
      </c>
      <c r="K756" s="4" t="s">
        <v>95</v>
      </c>
      <c r="L756" s="24"/>
      <c r="M756" s="4"/>
      <c r="N756" s="4" t="s">
        <v>1483</v>
      </c>
    </row>
    <row r="757" spans="1:14">
      <c r="A757" s="4" t="s">
        <v>2671</v>
      </c>
      <c r="B757" s="4" t="s">
        <v>801</v>
      </c>
      <c r="C757" s="4" t="s">
        <v>83</v>
      </c>
      <c r="D757" s="4" t="s">
        <v>67</v>
      </c>
      <c r="E757" s="4" t="s">
        <v>231</v>
      </c>
      <c r="F757" s="4" t="s">
        <v>1456</v>
      </c>
      <c r="G757" s="22">
        <v>850000</v>
      </c>
      <c r="H757" s="21">
        <v>6750</v>
      </c>
      <c r="I757" s="22">
        <v>125.9259259259259</v>
      </c>
      <c r="J757" s="21">
        <v>1958</v>
      </c>
      <c r="K757" s="4" t="s">
        <v>95</v>
      </c>
      <c r="L757" s="24"/>
      <c r="M757" s="4"/>
      <c r="N757" s="4" t="s">
        <v>1469</v>
      </c>
    </row>
    <row r="758" spans="1:14">
      <c r="A758" s="4" t="s">
        <v>2672</v>
      </c>
      <c r="B758" s="4" t="s">
        <v>805</v>
      </c>
      <c r="C758" s="4" t="s">
        <v>116</v>
      </c>
      <c r="D758" s="4" t="s">
        <v>67</v>
      </c>
      <c r="E758" s="4" t="s">
        <v>231</v>
      </c>
      <c r="F758" s="4" t="s">
        <v>1456</v>
      </c>
      <c r="G758" s="22">
        <v>850000</v>
      </c>
      <c r="H758" s="21">
        <v>2000</v>
      </c>
      <c r="I758" s="22">
        <v>425</v>
      </c>
      <c r="J758" s="21">
        <v>2022</v>
      </c>
      <c r="K758" s="4" t="s">
        <v>95</v>
      </c>
      <c r="L758" s="24"/>
      <c r="M758" s="4"/>
      <c r="N758" s="24" t="s">
        <v>237</v>
      </c>
    </row>
    <row r="759" spans="1:14">
      <c r="A759" s="4" t="s">
        <v>2673</v>
      </c>
      <c r="B759" s="4" t="s">
        <v>814</v>
      </c>
      <c r="C759" s="4" t="s">
        <v>116</v>
      </c>
      <c r="D759" s="4" t="s">
        <v>68</v>
      </c>
      <c r="E759" s="4" t="s">
        <v>231</v>
      </c>
      <c r="F759" s="4" t="s">
        <v>1456</v>
      </c>
      <c r="G759" s="22">
        <v>849000</v>
      </c>
      <c r="H759" s="21">
        <v>7380</v>
      </c>
      <c r="I759" s="22">
        <v>115.0406504065041</v>
      </c>
      <c r="J759" s="21">
        <v>1952</v>
      </c>
      <c r="K759" s="4" t="s">
        <v>95</v>
      </c>
      <c r="L759" s="24"/>
      <c r="M759" s="4"/>
      <c r="N759" s="4" t="s">
        <v>1469</v>
      </c>
    </row>
    <row r="760" spans="1:14">
      <c r="A760" s="4" t="s">
        <v>2674</v>
      </c>
      <c r="B760" s="4" t="s">
        <v>818</v>
      </c>
      <c r="C760" s="4" t="s">
        <v>109</v>
      </c>
      <c r="D760" s="4" t="s">
        <v>65</v>
      </c>
      <c r="E760" s="4" t="s">
        <v>231</v>
      </c>
      <c r="F760" s="4" t="s">
        <v>1456</v>
      </c>
      <c r="G760" s="22">
        <v>830625</v>
      </c>
      <c r="H760" s="21">
        <v>8381</v>
      </c>
      <c r="I760" s="22">
        <v>99.10810165851331</v>
      </c>
      <c r="J760" s="24"/>
      <c r="K760" s="4" t="s">
        <v>95</v>
      </c>
      <c r="L760" s="24"/>
      <c r="M760" s="4"/>
      <c r="N760" s="4" t="s">
        <v>1467</v>
      </c>
    </row>
    <row r="761" spans="1:14">
      <c r="A761" s="4" t="s">
        <v>2675</v>
      </c>
      <c r="B761" s="4" t="s">
        <v>822</v>
      </c>
      <c r="C761" s="4" t="s">
        <v>110</v>
      </c>
      <c r="D761" s="4" t="s">
        <v>65</v>
      </c>
      <c r="E761" s="4" t="s">
        <v>231</v>
      </c>
      <c r="F761" s="4" t="s">
        <v>1456</v>
      </c>
      <c r="G761" s="22">
        <v>824250</v>
      </c>
      <c r="H761" s="21">
        <v>1568</v>
      </c>
      <c r="I761" s="22">
        <v>525.6696428571429</v>
      </c>
      <c r="J761" s="21">
        <v>2020</v>
      </c>
      <c r="K761" s="4" t="s">
        <v>95</v>
      </c>
      <c r="L761" s="24"/>
      <c r="M761" s="4"/>
      <c r="N761" s="4" t="s">
        <v>2417</v>
      </c>
    </row>
    <row r="762" spans="1:14">
      <c r="A762" s="4" t="s">
        <v>2676</v>
      </c>
      <c r="B762" s="4" t="s">
        <v>2677</v>
      </c>
      <c r="C762" s="4" t="s">
        <v>79</v>
      </c>
      <c r="D762" s="4" t="s">
        <v>65</v>
      </c>
      <c r="E762" s="4" t="s">
        <v>231</v>
      </c>
      <c r="F762" s="4" t="s">
        <v>1456</v>
      </c>
      <c r="G762" s="22">
        <v>800000</v>
      </c>
      <c r="H762" s="21">
        <v>49399</v>
      </c>
      <c r="I762" s="22">
        <v>16.19465981092735</v>
      </c>
      <c r="J762" s="21">
        <v>2007</v>
      </c>
      <c r="K762" s="4" t="s">
        <v>95</v>
      </c>
      <c r="L762" s="24"/>
      <c r="M762" s="4"/>
      <c r="N762" s="24" t="s">
        <v>237</v>
      </c>
    </row>
    <row r="763" spans="1:14">
      <c r="A763" s="4" t="s">
        <v>2678</v>
      </c>
      <c r="B763" s="4" t="s">
        <v>1564</v>
      </c>
      <c r="C763" s="4" t="s">
        <v>83</v>
      </c>
      <c r="D763" s="4" t="s">
        <v>66</v>
      </c>
      <c r="E763" s="4" t="s">
        <v>231</v>
      </c>
      <c r="F763" s="4" t="s">
        <v>1456</v>
      </c>
      <c r="G763" s="22">
        <v>789900</v>
      </c>
      <c r="H763" s="24"/>
      <c r="I763" s="24"/>
      <c r="J763" s="21">
        <v>1940</v>
      </c>
      <c r="K763" s="4" t="s">
        <v>95</v>
      </c>
      <c r="L763" s="24"/>
      <c r="M763" s="4"/>
      <c r="N763" s="4" t="s">
        <v>1473</v>
      </c>
    </row>
    <row r="764" spans="1:14">
      <c r="A764" s="4" t="s">
        <v>2679</v>
      </c>
      <c r="B764" s="4" t="s">
        <v>830</v>
      </c>
      <c r="C764" s="4" t="s">
        <v>831</v>
      </c>
      <c r="D764" s="4" t="s">
        <v>69</v>
      </c>
      <c r="E764" s="4" t="s">
        <v>231</v>
      </c>
      <c r="F764" s="4" t="s">
        <v>1456</v>
      </c>
      <c r="G764" s="22">
        <v>750000</v>
      </c>
      <c r="H764" s="21">
        <v>6624</v>
      </c>
      <c r="I764" s="22">
        <v>113.2246376811594</v>
      </c>
      <c r="J764" s="21">
        <v>1973</v>
      </c>
      <c r="K764" s="4" t="s">
        <v>95</v>
      </c>
      <c r="L764" s="24"/>
      <c r="M764" s="4"/>
      <c r="N764" s="4" t="s">
        <v>1467</v>
      </c>
    </row>
    <row r="765" spans="1:14">
      <c r="A765" s="4" t="s">
        <v>2680</v>
      </c>
      <c r="B765" s="4" t="s">
        <v>830</v>
      </c>
      <c r="C765" s="4" t="s">
        <v>835</v>
      </c>
      <c r="D765" s="4" t="s">
        <v>69</v>
      </c>
      <c r="E765" s="4" t="s">
        <v>231</v>
      </c>
      <c r="F765" s="4" t="s">
        <v>1456</v>
      </c>
      <c r="G765" s="22">
        <v>750000</v>
      </c>
      <c r="H765" s="21">
        <v>6624</v>
      </c>
      <c r="I765" s="22">
        <v>113.2246376811594</v>
      </c>
      <c r="J765" s="21">
        <v>1973</v>
      </c>
      <c r="K765" s="4" t="s">
        <v>95</v>
      </c>
      <c r="L765" s="24"/>
      <c r="M765" s="4"/>
      <c r="N765" s="4" t="s">
        <v>1467</v>
      </c>
    </row>
    <row r="766" spans="1:14">
      <c r="A766" s="4" t="s">
        <v>2681</v>
      </c>
      <c r="B766" s="4" t="s">
        <v>836</v>
      </c>
      <c r="C766" s="4" t="s">
        <v>113</v>
      </c>
      <c r="D766" s="4" t="s">
        <v>68</v>
      </c>
      <c r="E766" s="4" t="s">
        <v>231</v>
      </c>
      <c r="F766" s="4" t="s">
        <v>1456</v>
      </c>
      <c r="G766" s="22">
        <v>750000</v>
      </c>
      <c r="H766" s="21">
        <v>9351</v>
      </c>
      <c r="I766" s="22">
        <v>80.20532563362207</v>
      </c>
      <c r="J766" s="21">
        <v>1961</v>
      </c>
      <c r="K766" s="4" t="s">
        <v>95</v>
      </c>
      <c r="L766" s="24"/>
      <c r="M766" s="4"/>
      <c r="N766" s="4" t="s">
        <v>2641</v>
      </c>
    </row>
    <row r="767" spans="1:14">
      <c r="A767" s="4" t="s">
        <v>2682</v>
      </c>
      <c r="B767" s="4" t="s">
        <v>2683</v>
      </c>
      <c r="C767" s="4" t="s">
        <v>2684</v>
      </c>
      <c r="D767" s="4" t="s">
        <v>65</v>
      </c>
      <c r="E767" s="4" t="s">
        <v>231</v>
      </c>
      <c r="F767" s="4" t="s">
        <v>1456</v>
      </c>
      <c r="G767" s="24"/>
      <c r="H767" s="24"/>
      <c r="I767" s="24"/>
      <c r="J767" s="21">
        <v>1964</v>
      </c>
      <c r="K767" s="24" t="s">
        <v>237</v>
      </c>
      <c r="L767" s="24"/>
      <c r="M767" s="4"/>
      <c r="N767" s="4" t="s">
        <v>1475</v>
      </c>
    </row>
    <row r="768" spans="1:14">
      <c r="A768" s="4" t="s">
        <v>2685</v>
      </c>
      <c r="B768" s="4" t="s">
        <v>1014</v>
      </c>
      <c r="C768" s="4" t="s">
        <v>119</v>
      </c>
      <c r="D768" s="4" t="s">
        <v>67</v>
      </c>
      <c r="E768" s="4" t="s">
        <v>231</v>
      </c>
      <c r="F768" s="4" t="s">
        <v>1456</v>
      </c>
      <c r="G768" s="22">
        <v>625000</v>
      </c>
      <c r="H768" s="24"/>
      <c r="I768" s="24"/>
      <c r="J768" s="21">
        <v>2024</v>
      </c>
      <c r="K768" s="4" t="s">
        <v>95</v>
      </c>
      <c r="L768" s="24"/>
      <c r="M768" s="4"/>
      <c r="N768" s="24" t="s">
        <v>237</v>
      </c>
    </row>
    <row r="769" spans="1:14">
      <c r="A769" s="4" t="s">
        <v>2686</v>
      </c>
      <c r="B769" s="4" t="s">
        <v>860</v>
      </c>
      <c r="C769" s="4" t="s">
        <v>59</v>
      </c>
      <c r="D769" s="4" t="s">
        <v>65</v>
      </c>
      <c r="E769" s="4" t="s">
        <v>231</v>
      </c>
      <c r="F769" s="4" t="s">
        <v>1456</v>
      </c>
      <c r="G769" s="22">
        <v>620000</v>
      </c>
      <c r="H769" s="21">
        <v>104310</v>
      </c>
      <c r="I769" s="22">
        <v>5.943821301888601</v>
      </c>
      <c r="J769" s="21">
        <v>1974</v>
      </c>
      <c r="K769" s="4" t="s">
        <v>95</v>
      </c>
      <c r="L769" s="24"/>
      <c r="M769" s="4"/>
      <c r="N769" s="24" t="s">
        <v>237</v>
      </c>
    </row>
    <row r="770" spans="1:14">
      <c r="A770" s="4" t="s">
        <v>2687</v>
      </c>
      <c r="B770" s="4" t="s">
        <v>840</v>
      </c>
      <c r="C770" s="4" t="s">
        <v>81</v>
      </c>
      <c r="D770" s="4" t="s">
        <v>65</v>
      </c>
      <c r="E770" s="4" t="s">
        <v>231</v>
      </c>
      <c r="F770" s="4" t="s">
        <v>1456</v>
      </c>
      <c r="G770" s="22">
        <v>599000</v>
      </c>
      <c r="H770" s="21">
        <v>6950</v>
      </c>
      <c r="I770" s="22">
        <v>86.18705035971223</v>
      </c>
      <c r="J770" s="21">
        <v>1968</v>
      </c>
      <c r="K770" s="4" t="s">
        <v>95</v>
      </c>
      <c r="L770" s="24"/>
      <c r="M770" s="4"/>
      <c r="N770" s="4" t="s">
        <v>1522</v>
      </c>
    </row>
    <row r="771" spans="1:14">
      <c r="A771" s="4" t="s">
        <v>2688</v>
      </c>
      <c r="B771" s="4" t="s">
        <v>1151</v>
      </c>
      <c r="C771" s="4" t="s">
        <v>59</v>
      </c>
      <c r="D771" s="4" t="s">
        <v>69</v>
      </c>
      <c r="E771" s="4" t="s">
        <v>231</v>
      </c>
      <c r="F771" s="4" t="s">
        <v>1456</v>
      </c>
      <c r="G771" s="22">
        <v>595000</v>
      </c>
      <c r="H771" s="21">
        <v>0</v>
      </c>
      <c r="I771" s="22" t="e">
        <f>1/0</f>
        <v>#DIV/0!</v>
      </c>
      <c r="J771" s="21">
        <v>1974</v>
      </c>
      <c r="K771" s="4" t="s">
        <v>95</v>
      </c>
      <c r="L771" s="24"/>
      <c r="M771" s="4"/>
      <c r="N771" s="4" t="s">
        <v>1475</v>
      </c>
    </row>
    <row r="772" spans="1:14">
      <c r="A772" s="4" t="s">
        <v>2689</v>
      </c>
      <c r="B772" s="4" t="s">
        <v>852</v>
      </c>
      <c r="C772" s="4" t="s">
        <v>113</v>
      </c>
      <c r="D772" s="4" t="s">
        <v>66</v>
      </c>
      <c r="E772" s="4" t="s">
        <v>231</v>
      </c>
      <c r="F772" s="4" t="s">
        <v>1456</v>
      </c>
      <c r="G772" s="22">
        <v>575000</v>
      </c>
      <c r="H772" s="21">
        <v>6749</v>
      </c>
      <c r="I772" s="22">
        <v>85.19780708253074</v>
      </c>
      <c r="J772" s="21">
        <v>1968</v>
      </c>
      <c r="K772" s="4" t="s">
        <v>95</v>
      </c>
      <c r="L772" s="24"/>
      <c r="M772" s="4"/>
      <c r="N772" s="4" t="s">
        <v>1477</v>
      </c>
    </row>
    <row r="773" spans="1:14">
      <c r="A773" s="4" t="s">
        <v>2690</v>
      </c>
      <c r="B773" s="4" t="s">
        <v>1018</v>
      </c>
      <c r="C773" s="4" t="s">
        <v>114</v>
      </c>
      <c r="D773" s="4" t="s">
        <v>65</v>
      </c>
      <c r="E773" s="4" t="s">
        <v>231</v>
      </c>
      <c r="F773" s="4" t="s">
        <v>1456</v>
      </c>
      <c r="G773" s="22">
        <v>549900</v>
      </c>
      <c r="H773" s="21">
        <v>9134</v>
      </c>
      <c r="I773" s="22">
        <v>60.20363477118458</v>
      </c>
      <c r="J773" s="21">
        <v>1982</v>
      </c>
      <c r="K773" s="4" t="s">
        <v>95</v>
      </c>
      <c r="L773" s="24"/>
      <c r="M773" s="4"/>
      <c r="N773" s="4" t="s">
        <v>1475</v>
      </c>
    </row>
    <row r="774" spans="1:14">
      <c r="A774" s="4" t="s">
        <v>2691</v>
      </c>
      <c r="B774" s="4" t="s">
        <v>856</v>
      </c>
      <c r="C774" s="4" t="s">
        <v>115</v>
      </c>
      <c r="D774" s="4" t="s">
        <v>68</v>
      </c>
      <c r="E774" s="4" t="s">
        <v>231</v>
      </c>
      <c r="F774" s="4" t="s">
        <v>1456</v>
      </c>
      <c r="G774" s="22">
        <v>540000</v>
      </c>
      <c r="H774" s="21">
        <v>5268</v>
      </c>
      <c r="I774" s="22">
        <v>102.50569476082</v>
      </c>
      <c r="J774" s="21">
        <v>1948</v>
      </c>
      <c r="K774" s="4" t="s">
        <v>95</v>
      </c>
      <c r="L774" s="24"/>
      <c r="M774" s="4"/>
      <c r="N774" s="4" t="s">
        <v>1467</v>
      </c>
    </row>
    <row r="775" spans="1:14">
      <c r="A775" s="4" t="s">
        <v>2692</v>
      </c>
      <c r="B775" s="4" t="s">
        <v>805</v>
      </c>
      <c r="C775" s="4" t="s">
        <v>119</v>
      </c>
      <c r="D775" s="4" t="s">
        <v>67</v>
      </c>
      <c r="E775" s="4" t="s">
        <v>231</v>
      </c>
      <c r="F775" s="4" t="s">
        <v>1456</v>
      </c>
      <c r="G775" s="22">
        <v>540000</v>
      </c>
      <c r="H775" s="21">
        <v>200000</v>
      </c>
      <c r="I775" s="22">
        <v>2.7</v>
      </c>
      <c r="J775" s="21">
        <v>2023</v>
      </c>
      <c r="K775" s="4" t="s">
        <v>95</v>
      </c>
      <c r="L775" s="24"/>
      <c r="M775" s="4"/>
      <c r="N775" s="4" t="s">
        <v>1580</v>
      </c>
    </row>
    <row r="776" spans="1:14">
      <c r="A776" s="4" t="s">
        <v>2693</v>
      </c>
      <c r="B776" s="4" t="s">
        <v>1014</v>
      </c>
      <c r="C776" s="4" t="s">
        <v>119</v>
      </c>
      <c r="D776" s="4" t="s">
        <v>67</v>
      </c>
      <c r="E776" s="4" t="s">
        <v>231</v>
      </c>
      <c r="F776" s="4" t="s">
        <v>1456</v>
      </c>
      <c r="G776" s="22">
        <v>535000</v>
      </c>
      <c r="H776" s="21">
        <v>11800</v>
      </c>
      <c r="I776" s="22">
        <v>45.33898305084746</v>
      </c>
      <c r="J776" s="21">
        <v>2009</v>
      </c>
      <c r="K776" s="4" t="s">
        <v>95</v>
      </c>
      <c r="L776" s="24"/>
      <c r="M776" s="4"/>
      <c r="N776" s="4" t="s">
        <v>1580</v>
      </c>
    </row>
    <row r="777" spans="1:14">
      <c r="A777" s="4" t="s">
        <v>2694</v>
      </c>
      <c r="B777" s="4" t="s">
        <v>2695</v>
      </c>
      <c r="C777" s="4" t="s">
        <v>109</v>
      </c>
      <c r="D777" s="4" t="s">
        <v>65</v>
      </c>
      <c r="E777" s="4" t="s">
        <v>231</v>
      </c>
      <c r="F777" s="4" t="s">
        <v>1456</v>
      </c>
      <c r="G777" s="22">
        <v>525000</v>
      </c>
      <c r="H777" s="21">
        <v>84506</v>
      </c>
      <c r="I777" s="22">
        <v>6.212576621778335</v>
      </c>
      <c r="J777" s="21">
        <v>2008</v>
      </c>
      <c r="K777" s="4" t="s">
        <v>95</v>
      </c>
      <c r="L777" s="24"/>
      <c r="M777" s="4"/>
      <c r="N777" s="24" t="s">
        <v>237</v>
      </c>
    </row>
    <row r="778" spans="1:14">
      <c r="A778" s="4" t="s">
        <v>2696</v>
      </c>
      <c r="B778" s="4" t="s">
        <v>1022</v>
      </c>
      <c r="C778" s="4" t="s">
        <v>79</v>
      </c>
      <c r="D778" s="4" t="s">
        <v>65</v>
      </c>
      <c r="E778" s="4" t="s">
        <v>231</v>
      </c>
      <c r="F778" s="4" t="s">
        <v>1456</v>
      </c>
      <c r="G778" s="22">
        <v>525000</v>
      </c>
      <c r="H778" s="21">
        <v>5992</v>
      </c>
      <c r="I778" s="22">
        <v>87.61682242990655</v>
      </c>
      <c r="J778" s="21">
        <v>1956</v>
      </c>
      <c r="K778" s="4" t="s">
        <v>95</v>
      </c>
      <c r="L778" s="24"/>
      <c r="M778" s="4"/>
      <c r="N778" s="4" t="s">
        <v>1473</v>
      </c>
    </row>
    <row r="779" spans="1:14">
      <c r="A779" s="4" t="s">
        <v>2697</v>
      </c>
      <c r="B779" s="4" t="s">
        <v>860</v>
      </c>
      <c r="C779" s="4" t="s">
        <v>59</v>
      </c>
      <c r="D779" s="4" t="s">
        <v>65</v>
      </c>
      <c r="E779" s="4" t="s">
        <v>231</v>
      </c>
      <c r="F779" s="4" t="s">
        <v>1456</v>
      </c>
      <c r="G779" s="22">
        <v>500000</v>
      </c>
      <c r="H779" s="21">
        <v>104310</v>
      </c>
      <c r="I779" s="22">
        <v>4.793404275716614</v>
      </c>
      <c r="J779" s="24"/>
      <c r="K779" s="4" t="s">
        <v>95</v>
      </c>
      <c r="L779" s="24"/>
      <c r="M779" s="4"/>
      <c r="N779" s="24" t="s">
        <v>237</v>
      </c>
    </row>
    <row r="780" spans="1:14">
      <c r="A780" s="4" t="s">
        <v>2698</v>
      </c>
      <c r="B780" s="4" t="s">
        <v>1017</v>
      </c>
      <c r="C780" s="4" t="s">
        <v>109</v>
      </c>
      <c r="D780" s="4" t="s">
        <v>65</v>
      </c>
      <c r="E780" s="4" t="s">
        <v>231</v>
      </c>
      <c r="F780" s="4" t="s">
        <v>1456</v>
      </c>
      <c r="G780" s="22">
        <v>491250</v>
      </c>
      <c r="H780" s="21">
        <v>8381</v>
      </c>
      <c r="I780" s="22">
        <v>58.61472377997853</v>
      </c>
      <c r="J780" s="24"/>
      <c r="K780" s="4" t="s">
        <v>95</v>
      </c>
      <c r="L780" s="24"/>
      <c r="M780" s="4"/>
      <c r="N780" s="4" t="s">
        <v>1467</v>
      </c>
    </row>
    <row r="781" spans="1:14">
      <c r="A781" s="4" t="s">
        <v>2699</v>
      </c>
      <c r="B781" s="4" t="s">
        <v>2700</v>
      </c>
      <c r="C781" s="4" t="s">
        <v>112</v>
      </c>
      <c r="D781" s="4" t="s">
        <v>65</v>
      </c>
      <c r="E781" s="4" t="s">
        <v>231</v>
      </c>
      <c r="F781" s="4" t="s">
        <v>1456</v>
      </c>
      <c r="G781" s="22">
        <v>483000</v>
      </c>
      <c r="H781" s="21">
        <v>47521</v>
      </c>
      <c r="I781" s="22">
        <v>10.16392752677764</v>
      </c>
      <c r="J781" s="21">
        <v>1972</v>
      </c>
      <c r="K781" s="4" t="s">
        <v>95</v>
      </c>
      <c r="L781" s="24"/>
      <c r="M781" s="4"/>
      <c r="N781" s="24" t="s">
        <v>237</v>
      </c>
    </row>
    <row r="782" spans="1:14">
      <c r="A782" s="4" t="s">
        <v>2701</v>
      </c>
      <c r="B782" s="4" t="s">
        <v>1016</v>
      </c>
      <c r="C782" s="4" t="s">
        <v>109</v>
      </c>
      <c r="D782" s="4" t="s">
        <v>65</v>
      </c>
      <c r="E782" s="4" t="s">
        <v>231</v>
      </c>
      <c r="F782" s="4" t="s">
        <v>1456</v>
      </c>
      <c r="G782" s="22">
        <v>482625</v>
      </c>
      <c r="H782" s="21">
        <v>8381</v>
      </c>
      <c r="I782" s="22">
        <v>57.58561030903233</v>
      </c>
      <c r="J782" s="24"/>
      <c r="K782" s="4" t="s">
        <v>95</v>
      </c>
      <c r="L782" s="24"/>
      <c r="M782" s="4"/>
      <c r="N782" s="4" t="s">
        <v>1467</v>
      </c>
    </row>
    <row r="783" spans="1:14">
      <c r="A783" s="4" t="s">
        <v>2702</v>
      </c>
      <c r="B783" s="4" t="s">
        <v>2703</v>
      </c>
      <c r="C783" s="4" t="s">
        <v>119</v>
      </c>
      <c r="D783" s="4" t="s">
        <v>67</v>
      </c>
      <c r="E783" s="4" t="s">
        <v>231</v>
      </c>
      <c r="F783" s="4" t="s">
        <v>1456</v>
      </c>
      <c r="G783" s="22">
        <v>475000</v>
      </c>
      <c r="H783" s="21">
        <v>200000</v>
      </c>
      <c r="I783" s="22">
        <v>2.375</v>
      </c>
      <c r="J783" s="21">
        <v>2009</v>
      </c>
      <c r="K783" s="4" t="s">
        <v>95</v>
      </c>
      <c r="L783" s="24"/>
      <c r="M783" s="4"/>
      <c r="N783" s="4" t="s">
        <v>1580</v>
      </c>
    </row>
    <row r="784" spans="1:14">
      <c r="A784" s="4" t="s">
        <v>2704</v>
      </c>
      <c r="B784" s="4" t="s">
        <v>2705</v>
      </c>
      <c r="C784" s="4" t="s">
        <v>109</v>
      </c>
      <c r="D784" s="4" t="s">
        <v>65</v>
      </c>
      <c r="E784" s="4" t="s">
        <v>231</v>
      </c>
      <c r="F784" s="4" t="s">
        <v>1456</v>
      </c>
      <c r="G784" s="22">
        <v>459900</v>
      </c>
      <c r="H784" s="24"/>
      <c r="I784" s="24"/>
      <c r="J784" s="21">
        <v>1973</v>
      </c>
      <c r="K784" s="4" t="s">
        <v>95</v>
      </c>
      <c r="L784" s="24"/>
      <c r="M784" s="4"/>
      <c r="N784" s="24" t="s">
        <v>237</v>
      </c>
    </row>
    <row r="785" spans="1:14">
      <c r="A785" s="4" t="s">
        <v>2706</v>
      </c>
      <c r="B785" s="4" t="s">
        <v>2707</v>
      </c>
      <c r="C785" s="4" t="s">
        <v>59</v>
      </c>
      <c r="D785" s="4" t="s">
        <v>65</v>
      </c>
      <c r="E785" s="4" t="s">
        <v>231</v>
      </c>
      <c r="F785" s="4" t="s">
        <v>1456</v>
      </c>
      <c r="G785" s="22">
        <v>450000</v>
      </c>
      <c r="H785" s="21">
        <v>104310</v>
      </c>
      <c r="I785" s="22">
        <v>4.314063848144952</v>
      </c>
      <c r="J785" s="21">
        <v>1974</v>
      </c>
      <c r="K785" s="4" t="s">
        <v>95</v>
      </c>
      <c r="L785" s="24"/>
      <c r="M785" s="4"/>
      <c r="N785" s="24" t="s">
        <v>237</v>
      </c>
    </row>
    <row r="786" spans="1:14">
      <c r="A786" s="4" t="s">
        <v>2708</v>
      </c>
      <c r="B786" s="4" t="s">
        <v>2709</v>
      </c>
      <c r="C786" s="4" t="s">
        <v>115</v>
      </c>
      <c r="D786" s="4" t="s">
        <v>66</v>
      </c>
      <c r="E786" s="4" t="s">
        <v>231</v>
      </c>
      <c r="F786" s="4" t="s">
        <v>1456</v>
      </c>
      <c r="G786" s="22">
        <v>445000</v>
      </c>
      <c r="H786" s="24"/>
      <c r="I786" s="24"/>
      <c r="J786" s="24"/>
      <c r="K786" s="4" t="s">
        <v>95</v>
      </c>
      <c r="L786" s="24"/>
      <c r="M786" s="4"/>
      <c r="N786" s="24" t="s">
        <v>237</v>
      </c>
    </row>
    <row r="787" spans="1:14">
      <c r="A787" s="4" t="s">
        <v>2710</v>
      </c>
      <c r="B787" s="4" t="s">
        <v>860</v>
      </c>
      <c r="C787" s="4" t="s">
        <v>59</v>
      </c>
      <c r="D787" s="4" t="s">
        <v>65</v>
      </c>
      <c r="E787" s="4" t="s">
        <v>231</v>
      </c>
      <c r="F787" s="4" t="s">
        <v>1456</v>
      </c>
      <c r="G787" s="22">
        <v>425000</v>
      </c>
      <c r="H787" s="21">
        <v>1938</v>
      </c>
      <c r="I787" s="22">
        <v>219.2982456140351</v>
      </c>
      <c r="J787" s="24"/>
      <c r="K787" s="4" t="s">
        <v>95</v>
      </c>
      <c r="L787" s="24"/>
      <c r="M787" s="4"/>
      <c r="N787" s="4" t="s">
        <v>1475</v>
      </c>
    </row>
    <row r="788" spans="1:14">
      <c r="A788" s="4" t="s">
        <v>2711</v>
      </c>
      <c r="B788" s="4" t="s">
        <v>864</v>
      </c>
      <c r="C788" s="4" t="s">
        <v>109</v>
      </c>
      <c r="D788" s="4" t="s">
        <v>65</v>
      </c>
      <c r="E788" s="4" t="s">
        <v>231</v>
      </c>
      <c r="F788" s="4" t="s">
        <v>1456</v>
      </c>
      <c r="G788" s="22">
        <v>423040</v>
      </c>
      <c r="H788" s="21">
        <v>1322</v>
      </c>
      <c r="I788" s="22">
        <v>320</v>
      </c>
      <c r="J788" s="24"/>
      <c r="K788" s="4" t="s">
        <v>95</v>
      </c>
      <c r="L788" s="24"/>
      <c r="M788" s="4"/>
      <c r="N788" s="4" t="s">
        <v>1467</v>
      </c>
    </row>
    <row r="789" spans="1:14">
      <c r="A789" s="4" t="s">
        <v>2712</v>
      </c>
      <c r="B789" s="4" t="s">
        <v>2713</v>
      </c>
      <c r="C789" s="4" t="s">
        <v>112</v>
      </c>
      <c r="D789" s="4" t="s">
        <v>65</v>
      </c>
      <c r="E789" s="4" t="s">
        <v>231</v>
      </c>
      <c r="F789" s="4" t="s">
        <v>1456</v>
      </c>
      <c r="G789" s="22">
        <v>420000</v>
      </c>
      <c r="H789" s="21">
        <v>47521</v>
      </c>
      <c r="I789" s="22">
        <v>8.838197849371857</v>
      </c>
      <c r="J789" s="21">
        <v>1972</v>
      </c>
      <c r="K789" s="4" t="s">
        <v>95</v>
      </c>
      <c r="L789" s="24"/>
      <c r="M789" s="4"/>
      <c r="N789" s="24" t="s">
        <v>237</v>
      </c>
    </row>
    <row r="790" spans="1:14">
      <c r="A790" s="4" t="s">
        <v>2714</v>
      </c>
      <c r="B790" s="4" t="s">
        <v>868</v>
      </c>
      <c r="C790" s="4" t="s">
        <v>109</v>
      </c>
      <c r="D790" s="4" t="s">
        <v>65</v>
      </c>
      <c r="E790" s="4" t="s">
        <v>231</v>
      </c>
      <c r="F790" s="4" t="s">
        <v>1456</v>
      </c>
      <c r="G790" s="22">
        <v>416975</v>
      </c>
      <c r="H790" s="21">
        <v>1283</v>
      </c>
      <c r="I790" s="22">
        <v>325</v>
      </c>
      <c r="J790" s="24"/>
      <c r="K790" s="4" t="s">
        <v>95</v>
      </c>
      <c r="L790" s="24"/>
      <c r="M790" s="4"/>
      <c r="N790" s="4" t="s">
        <v>1467</v>
      </c>
    </row>
    <row r="791" spans="1:14">
      <c r="A791" s="4" t="s">
        <v>2715</v>
      </c>
      <c r="B791" s="4" t="s">
        <v>2716</v>
      </c>
      <c r="C791" s="4" t="s">
        <v>76</v>
      </c>
      <c r="D791" s="4" t="s">
        <v>65</v>
      </c>
      <c r="E791" s="4" t="s">
        <v>231</v>
      </c>
      <c r="F791" s="4" t="s">
        <v>1456</v>
      </c>
      <c r="G791" s="22">
        <v>370000</v>
      </c>
      <c r="H791" s="24"/>
      <c r="I791" s="24"/>
      <c r="J791" s="21">
        <v>2005</v>
      </c>
      <c r="K791" s="4" t="s">
        <v>95</v>
      </c>
      <c r="L791" s="24"/>
      <c r="M791" s="4"/>
      <c r="N791" s="24" t="s">
        <v>237</v>
      </c>
    </row>
    <row r="792" spans="1:14">
      <c r="A792" s="4" t="s">
        <v>2717</v>
      </c>
      <c r="B792" s="4" t="s">
        <v>872</v>
      </c>
      <c r="C792" s="4" t="s">
        <v>109</v>
      </c>
      <c r="D792" s="4" t="s">
        <v>65</v>
      </c>
      <c r="E792" s="4" t="s">
        <v>231</v>
      </c>
      <c r="F792" s="4" t="s">
        <v>1456</v>
      </c>
      <c r="G792" s="22">
        <v>369495</v>
      </c>
      <c r="H792" s="21">
        <v>1071</v>
      </c>
      <c r="I792" s="22">
        <v>345</v>
      </c>
      <c r="J792" s="24"/>
      <c r="K792" s="4" t="s">
        <v>95</v>
      </c>
      <c r="L792" s="24"/>
      <c r="M792" s="4"/>
      <c r="N792" s="4" t="s">
        <v>1467</v>
      </c>
    </row>
    <row r="793" spans="1:14">
      <c r="A793" s="4" t="s">
        <v>2718</v>
      </c>
      <c r="B793" s="4" t="s">
        <v>876</v>
      </c>
      <c r="C793" s="4" t="s">
        <v>109</v>
      </c>
      <c r="D793" s="4" t="s">
        <v>65</v>
      </c>
      <c r="E793" s="4" t="s">
        <v>231</v>
      </c>
      <c r="F793" s="4" t="s">
        <v>1456</v>
      </c>
      <c r="G793" s="22">
        <v>359775</v>
      </c>
      <c r="H793" s="21">
        <v>1107</v>
      </c>
      <c r="I793" s="22">
        <v>325</v>
      </c>
      <c r="J793" s="24"/>
      <c r="K793" s="4" t="s">
        <v>95</v>
      </c>
      <c r="L793" s="24"/>
      <c r="M793" s="4"/>
      <c r="N793" s="4" t="s">
        <v>1467</v>
      </c>
    </row>
    <row r="794" spans="1:14">
      <c r="A794" s="4" t="s">
        <v>2719</v>
      </c>
      <c r="B794" s="4" t="s">
        <v>860</v>
      </c>
      <c r="C794" s="4" t="s">
        <v>59</v>
      </c>
      <c r="D794" s="4" t="s">
        <v>65</v>
      </c>
      <c r="E794" s="4" t="s">
        <v>231</v>
      </c>
      <c r="F794" s="4" t="s">
        <v>1456</v>
      </c>
      <c r="G794" s="22">
        <v>350000</v>
      </c>
      <c r="H794" s="21">
        <v>1938</v>
      </c>
      <c r="I794" s="22">
        <v>180.5985552115583</v>
      </c>
      <c r="J794" s="24"/>
      <c r="K794" s="4" t="s">
        <v>95</v>
      </c>
      <c r="L794" s="24"/>
      <c r="M794" s="4"/>
      <c r="N794" s="4" t="s">
        <v>1475</v>
      </c>
    </row>
    <row r="795" spans="1:14">
      <c r="A795" s="4" t="s">
        <v>2720</v>
      </c>
      <c r="B795" s="4" t="s">
        <v>882</v>
      </c>
      <c r="C795" s="4" t="s">
        <v>59</v>
      </c>
      <c r="D795" s="4" t="s">
        <v>65</v>
      </c>
      <c r="E795" s="4" t="s">
        <v>231</v>
      </c>
      <c r="F795" s="4" t="s">
        <v>1456</v>
      </c>
      <c r="G795" s="22">
        <v>315000</v>
      </c>
      <c r="H795" s="21">
        <v>1938</v>
      </c>
      <c r="I795" s="22">
        <v>162.5386996904025</v>
      </c>
      <c r="J795" s="24"/>
      <c r="K795" s="4" t="s">
        <v>95</v>
      </c>
      <c r="L795" s="24"/>
      <c r="M795" s="4"/>
      <c r="N795" s="4" t="s">
        <v>1475</v>
      </c>
    </row>
    <row r="796" spans="1:14">
      <c r="A796" s="4" t="s">
        <v>2721</v>
      </c>
      <c r="B796" s="4" t="s">
        <v>1013</v>
      </c>
      <c r="C796" s="4" t="s">
        <v>111</v>
      </c>
      <c r="D796" s="4" t="s">
        <v>65</v>
      </c>
      <c r="E796" s="4" t="s">
        <v>231</v>
      </c>
      <c r="F796" s="4" t="s">
        <v>1456</v>
      </c>
      <c r="G796" s="22">
        <v>299000</v>
      </c>
      <c r="H796" s="21">
        <v>10082</v>
      </c>
      <c r="I796" s="22">
        <v>29.65681412418171</v>
      </c>
      <c r="J796" s="24"/>
      <c r="K796" s="4" t="s">
        <v>95</v>
      </c>
      <c r="L796" s="24"/>
      <c r="M796" s="4"/>
      <c r="N796" s="4" t="s">
        <v>1467</v>
      </c>
    </row>
    <row r="797" spans="1:14">
      <c r="A797" s="4" t="s">
        <v>2722</v>
      </c>
      <c r="B797" s="4" t="s">
        <v>2723</v>
      </c>
      <c r="C797" s="4" t="s">
        <v>59</v>
      </c>
      <c r="D797" s="4" t="s">
        <v>68</v>
      </c>
      <c r="E797" s="4" t="s">
        <v>231</v>
      </c>
      <c r="F797" s="4" t="s">
        <v>1456</v>
      </c>
      <c r="G797" s="22">
        <v>220000</v>
      </c>
      <c r="H797" s="21">
        <v>0</v>
      </c>
      <c r="I797" s="22" t="e">
        <f>1/0</f>
        <v>#DIV/0!</v>
      </c>
      <c r="J797" s="21">
        <v>1974</v>
      </c>
      <c r="K797" s="4" t="s">
        <v>95</v>
      </c>
      <c r="L797" s="24"/>
      <c r="M797" s="4"/>
      <c r="N797" s="24" t="s">
        <v>237</v>
      </c>
    </row>
    <row r="798" spans="1:14">
      <c r="A798" s="4" t="s">
        <v>2724</v>
      </c>
      <c r="B798" s="4" t="s">
        <v>2725</v>
      </c>
      <c r="C798" s="4" t="s">
        <v>59</v>
      </c>
      <c r="D798" s="4" t="s">
        <v>65</v>
      </c>
      <c r="E798" s="4" t="s">
        <v>231</v>
      </c>
      <c r="F798" s="4" t="s">
        <v>1596</v>
      </c>
      <c r="G798" s="22">
        <v>215000</v>
      </c>
      <c r="H798" s="21">
        <v>104310</v>
      </c>
      <c r="I798" s="22">
        <v>2.061163838558144</v>
      </c>
      <c r="J798" s="24"/>
      <c r="K798" s="4" t="s">
        <v>95</v>
      </c>
      <c r="L798" s="22">
        <v>24.73396606269773</v>
      </c>
      <c r="M798" s="4"/>
      <c r="N798" s="24" t="s">
        <v>237</v>
      </c>
    </row>
    <row r="799" spans="1:14">
      <c r="A799" s="4" t="s">
        <v>2726</v>
      </c>
      <c r="B799" s="4" t="s">
        <v>2727</v>
      </c>
      <c r="C799" s="4" t="s">
        <v>59</v>
      </c>
      <c r="D799" s="4" t="s">
        <v>65</v>
      </c>
      <c r="E799" s="4" t="s">
        <v>231</v>
      </c>
      <c r="F799" s="4" t="s">
        <v>1456</v>
      </c>
      <c r="G799" s="22">
        <v>200000</v>
      </c>
      <c r="H799" s="21">
        <v>104310</v>
      </c>
      <c r="I799" s="22">
        <v>1.917361710286646</v>
      </c>
      <c r="J799" s="21">
        <v>1974</v>
      </c>
      <c r="K799" s="4" t="s">
        <v>95</v>
      </c>
      <c r="L799" s="24"/>
      <c r="M799" s="4"/>
      <c r="N799" s="24" t="s">
        <v>237</v>
      </c>
    </row>
    <row r="800" spans="1:14">
      <c r="A800" s="4" t="s">
        <v>2728</v>
      </c>
      <c r="B800" s="4" t="s">
        <v>2729</v>
      </c>
      <c r="C800" s="4" t="s">
        <v>79</v>
      </c>
      <c r="D800" s="4" t="s">
        <v>65</v>
      </c>
      <c r="E800" s="4" t="s">
        <v>231</v>
      </c>
      <c r="F800" s="4" t="s">
        <v>1596</v>
      </c>
      <c r="G800" s="22">
        <v>200000</v>
      </c>
      <c r="H800" s="24"/>
      <c r="I800" s="24"/>
      <c r="J800" s="24"/>
      <c r="K800" s="4" t="s">
        <v>95</v>
      </c>
      <c r="L800" s="24"/>
      <c r="M800" s="4"/>
      <c r="N800" s="24" t="s">
        <v>237</v>
      </c>
    </row>
    <row r="801" spans="1:14">
      <c r="A801" s="4" t="s">
        <v>2730</v>
      </c>
      <c r="B801" s="4" t="s">
        <v>890</v>
      </c>
      <c r="C801" s="4" t="s">
        <v>891</v>
      </c>
      <c r="D801" s="4" t="s">
        <v>69</v>
      </c>
      <c r="E801" s="4" t="s">
        <v>231</v>
      </c>
      <c r="F801" s="4" t="s">
        <v>1456</v>
      </c>
      <c r="G801" s="22">
        <v>170000</v>
      </c>
      <c r="H801" s="21">
        <v>401</v>
      </c>
      <c r="I801" s="22">
        <v>423.9401496259351</v>
      </c>
      <c r="J801" s="21">
        <v>1968</v>
      </c>
      <c r="K801" s="4" t="s">
        <v>95</v>
      </c>
      <c r="L801" s="24"/>
      <c r="M801" s="4"/>
      <c r="N801" s="4" t="s">
        <v>1467</v>
      </c>
    </row>
    <row r="802" spans="1:14">
      <c r="A802" s="4" t="s">
        <v>2731</v>
      </c>
      <c r="B802" s="4" t="s">
        <v>890</v>
      </c>
      <c r="C802" s="4" t="s">
        <v>469</v>
      </c>
      <c r="D802" s="4" t="s">
        <v>69</v>
      </c>
      <c r="E802" s="4" t="s">
        <v>231</v>
      </c>
      <c r="F802" s="4" t="s">
        <v>1456</v>
      </c>
      <c r="G802" s="22">
        <v>170000</v>
      </c>
      <c r="H802" s="21">
        <v>0</v>
      </c>
      <c r="I802" s="22" t="e">
        <f>1/0</f>
        <v>#DIV/0!</v>
      </c>
      <c r="J802" s="21">
        <v>1968</v>
      </c>
      <c r="K802" s="4" t="s">
        <v>95</v>
      </c>
      <c r="L802" s="24"/>
      <c r="M802" s="4"/>
      <c r="N802" s="4" t="s">
        <v>1467</v>
      </c>
    </row>
    <row r="803" spans="1:14">
      <c r="A803" s="4" t="s">
        <v>2732</v>
      </c>
      <c r="B803" s="4" t="s">
        <v>254</v>
      </c>
      <c r="C803" s="4" t="s">
        <v>118</v>
      </c>
      <c r="D803" s="4" t="s">
        <v>68</v>
      </c>
      <c r="E803" s="4" t="s">
        <v>231</v>
      </c>
      <c r="F803" s="4" t="s">
        <v>1596</v>
      </c>
      <c r="G803" s="22">
        <v>65000</v>
      </c>
      <c r="H803" s="21">
        <v>26576</v>
      </c>
      <c r="I803" s="22">
        <v>2.445815773630343</v>
      </c>
      <c r="J803" s="21">
        <v>1979</v>
      </c>
      <c r="K803" s="4" t="s">
        <v>95</v>
      </c>
      <c r="L803" s="22">
        <v>29.34978928356412</v>
      </c>
      <c r="M803" s="4"/>
      <c r="N803" s="4" t="s">
        <v>1467</v>
      </c>
    </row>
    <row r="804" spans="1:14">
      <c r="A804" s="4" t="s">
        <v>2733</v>
      </c>
      <c r="B804" s="4" t="s">
        <v>254</v>
      </c>
      <c r="C804" s="4" t="s">
        <v>118</v>
      </c>
      <c r="D804" s="4" t="s">
        <v>68</v>
      </c>
      <c r="E804" s="4" t="s">
        <v>231</v>
      </c>
      <c r="F804" s="4" t="s">
        <v>1596</v>
      </c>
      <c r="G804" s="22">
        <v>45000</v>
      </c>
      <c r="H804" s="21">
        <v>26576</v>
      </c>
      <c r="I804" s="22">
        <v>1.693257074051776</v>
      </c>
      <c r="J804" s="21">
        <v>1979</v>
      </c>
      <c r="K804" s="4" t="s">
        <v>95</v>
      </c>
      <c r="L804" s="22">
        <v>20.31908488862131</v>
      </c>
      <c r="M804" s="4"/>
      <c r="N804" s="4" t="s">
        <v>1467</v>
      </c>
    </row>
    <row r="805" spans="1:14">
      <c r="A805" s="4" t="s">
        <v>2734</v>
      </c>
      <c r="B805" s="4" t="s">
        <v>2735</v>
      </c>
      <c r="C805" s="4" t="s">
        <v>114</v>
      </c>
      <c r="D805" s="4" t="s">
        <v>65</v>
      </c>
      <c r="E805" s="4" t="s">
        <v>231</v>
      </c>
      <c r="F805" s="4" t="s">
        <v>1596</v>
      </c>
      <c r="G805" s="22">
        <v>22500</v>
      </c>
      <c r="H805" s="21">
        <v>23711</v>
      </c>
      <c r="I805" s="22">
        <v>0.9489266585129265</v>
      </c>
      <c r="J805" s="24"/>
      <c r="K805" s="4" t="s">
        <v>95</v>
      </c>
      <c r="L805" s="22">
        <v>11.38711990215512</v>
      </c>
      <c r="M805" s="4"/>
      <c r="N805" s="4" t="s">
        <v>1467</v>
      </c>
    </row>
    <row r="806" spans="1:14">
      <c r="A806" s="4" t="s">
        <v>2736</v>
      </c>
      <c r="B806" s="4" t="s">
        <v>428</v>
      </c>
      <c r="C806" s="4" t="s">
        <v>78</v>
      </c>
      <c r="D806" s="4" t="s">
        <v>70</v>
      </c>
      <c r="E806" s="4" t="s">
        <v>231</v>
      </c>
      <c r="F806" s="4" t="s">
        <v>1596</v>
      </c>
      <c r="G806" s="22">
        <v>15000</v>
      </c>
      <c r="H806" s="21">
        <v>7960</v>
      </c>
      <c r="I806" s="22">
        <v>1.884422110552764</v>
      </c>
      <c r="J806" s="21">
        <v>1962</v>
      </c>
      <c r="K806" s="4" t="s">
        <v>95</v>
      </c>
      <c r="L806" s="22">
        <v>22.61306532663317</v>
      </c>
      <c r="M806" s="4"/>
      <c r="N806" s="4" t="s">
        <v>1492</v>
      </c>
    </row>
    <row r="807" spans="1:14">
      <c r="A807" s="4" t="s">
        <v>2737</v>
      </c>
      <c r="B807" s="4" t="s">
        <v>428</v>
      </c>
      <c r="C807" s="4" t="s">
        <v>78</v>
      </c>
      <c r="D807" s="4" t="s">
        <v>72</v>
      </c>
      <c r="E807" s="4" t="s">
        <v>231</v>
      </c>
      <c r="F807" s="4" t="s">
        <v>1596</v>
      </c>
      <c r="G807" s="22">
        <v>15000</v>
      </c>
      <c r="H807" s="21">
        <v>7960</v>
      </c>
      <c r="I807" s="22">
        <v>1.884422110552764</v>
      </c>
      <c r="J807" s="21">
        <v>2022</v>
      </c>
      <c r="K807" s="4" t="s">
        <v>95</v>
      </c>
      <c r="L807" s="22">
        <v>22.61306532663317</v>
      </c>
      <c r="M807" s="4"/>
      <c r="N807" s="4" t="s">
        <v>1492</v>
      </c>
    </row>
    <row r="808" spans="1:14">
      <c r="A808" s="4" t="s">
        <v>2738</v>
      </c>
      <c r="B808" s="4" t="s">
        <v>2739</v>
      </c>
      <c r="C808" s="4" t="s">
        <v>80</v>
      </c>
      <c r="D808" s="4" t="s">
        <v>65</v>
      </c>
      <c r="E808" s="4" t="s">
        <v>231</v>
      </c>
      <c r="F808" s="4" t="s">
        <v>1596</v>
      </c>
      <c r="G808" s="22">
        <v>13000</v>
      </c>
      <c r="H808" s="21">
        <v>5170</v>
      </c>
      <c r="I808" s="22">
        <v>2.514506769825919</v>
      </c>
      <c r="J808" s="24"/>
      <c r="K808" s="4" t="s">
        <v>95</v>
      </c>
      <c r="L808" s="22">
        <v>30.17408123791103</v>
      </c>
      <c r="M808" s="4"/>
      <c r="N808" s="4" t="s">
        <v>1483</v>
      </c>
    </row>
    <row r="809" spans="1:14">
      <c r="A809" s="4" t="s">
        <v>2740</v>
      </c>
      <c r="B809" s="4" t="s">
        <v>916</v>
      </c>
      <c r="C809" s="4" t="s">
        <v>79</v>
      </c>
      <c r="D809" s="4" t="s">
        <v>74</v>
      </c>
      <c r="E809" s="4" t="s">
        <v>231</v>
      </c>
      <c r="F809" s="4" t="s">
        <v>1596</v>
      </c>
      <c r="G809" s="22">
        <v>11500</v>
      </c>
      <c r="H809" s="21">
        <v>20250</v>
      </c>
      <c r="I809" s="22">
        <v>0.5679012345679012</v>
      </c>
      <c r="J809" s="24"/>
      <c r="K809" s="4" t="s">
        <v>95</v>
      </c>
      <c r="L809" s="22">
        <v>6.814814814814815</v>
      </c>
      <c r="M809" s="4"/>
      <c r="N809" s="4" t="s">
        <v>1473</v>
      </c>
    </row>
    <row r="810" spans="1:14">
      <c r="A810" s="4" t="s">
        <v>2741</v>
      </c>
      <c r="B810" s="4" t="s">
        <v>1013</v>
      </c>
      <c r="C810" s="4" t="s">
        <v>111</v>
      </c>
      <c r="D810" s="4" t="s">
        <v>65</v>
      </c>
      <c r="E810" s="4" t="s">
        <v>231</v>
      </c>
      <c r="F810" s="4" t="s">
        <v>1596</v>
      </c>
      <c r="G810" s="22">
        <v>10603</v>
      </c>
      <c r="H810" s="21">
        <v>10082</v>
      </c>
      <c r="I810" s="22">
        <v>1.051676254711367</v>
      </c>
      <c r="J810" s="24"/>
      <c r="K810" s="4" t="s">
        <v>95</v>
      </c>
      <c r="L810" s="22">
        <v>12.6201150565364</v>
      </c>
      <c r="M810" s="4"/>
      <c r="N810" s="4" t="s">
        <v>1467</v>
      </c>
    </row>
    <row r="811" spans="1:14">
      <c r="A811" s="4" t="s">
        <v>2742</v>
      </c>
      <c r="B811" s="4" t="s">
        <v>2743</v>
      </c>
      <c r="C811" s="4" t="s">
        <v>116</v>
      </c>
      <c r="D811" s="4" t="s">
        <v>69</v>
      </c>
      <c r="E811" s="4" t="s">
        <v>231</v>
      </c>
      <c r="F811" s="4" t="s">
        <v>1596</v>
      </c>
      <c r="G811" s="22">
        <v>10000</v>
      </c>
      <c r="H811" s="21">
        <v>14291</v>
      </c>
      <c r="I811" s="22">
        <v>0.699741095794556</v>
      </c>
      <c r="J811" s="21">
        <v>2001</v>
      </c>
      <c r="K811" s="4" t="s">
        <v>95</v>
      </c>
      <c r="L811" s="22">
        <v>8.396893149534673</v>
      </c>
      <c r="M811" s="4"/>
      <c r="N811" s="4" t="s">
        <v>1732</v>
      </c>
    </row>
    <row r="812" spans="1:14">
      <c r="A812" s="4" t="s">
        <v>2744</v>
      </c>
      <c r="B812" s="4" t="s">
        <v>2745</v>
      </c>
      <c r="C812" s="4" t="s">
        <v>112</v>
      </c>
      <c r="D812" s="4" t="s">
        <v>65</v>
      </c>
      <c r="E812" s="4" t="s">
        <v>231</v>
      </c>
      <c r="F812" s="4" t="s">
        <v>1596</v>
      </c>
      <c r="G812" s="22">
        <v>9625</v>
      </c>
      <c r="H812" s="24"/>
      <c r="I812" s="24"/>
      <c r="J812" s="24"/>
      <c r="K812" s="4" t="s">
        <v>95</v>
      </c>
      <c r="L812" s="24"/>
      <c r="M812" s="4"/>
      <c r="N812" s="4" t="s">
        <v>1603</v>
      </c>
    </row>
    <row r="813" spans="1:14">
      <c r="A813" s="4" t="s">
        <v>2746</v>
      </c>
      <c r="B813" s="4" t="s">
        <v>2355</v>
      </c>
      <c r="C813" s="4" t="s">
        <v>109</v>
      </c>
      <c r="D813" s="4" t="s">
        <v>65</v>
      </c>
      <c r="E813" s="4" t="s">
        <v>231</v>
      </c>
      <c r="F813" s="4" t="s">
        <v>1596</v>
      </c>
      <c r="G813" s="22">
        <v>9250</v>
      </c>
      <c r="H813" s="24"/>
      <c r="I813" s="24"/>
      <c r="J813" s="21">
        <v>1973</v>
      </c>
      <c r="K813" s="4" t="s">
        <v>95</v>
      </c>
      <c r="L813" s="24"/>
      <c r="M813" s="4"/>
      <c r="N813" s="4" t="s">
        <v>1467</v>
      </c>
    </row>
    <row r="814" spans="1:14">
      <c r="A814" s="4" t="s">
        <v>2747</v>
      </c>
      <c r="B814" s="4" t="s">
        <v>2748</v>
      </c>
      <c r="C814" s="4" t="s">
        <v>108</v>
      </c>
      <c r="D814" s="4" t="s">
        <v>65</v>
      </c>
      <c r="E814" s="4" t="s">
        <v>231</v>
      </c>
      <c r="F814" s="4" t="s">
        <v>1596</v>
      </c>
      <c r="G814" s="22">
        <v>8600</v>
      </c>
      <c r="H814" s="24"/>
      <c r="I814" s="24"/>
      <c r="J814" s="24"/>
      <c r="K814" s="4" t="s">
        <v>95</v>
      </c>
      <c r="L814" s="24"/>
      <c r="M814" s="4"/>
      <c r="N814" s="4" t="s">
        <v>1475</v>
      </c>
    </row>
    <row r="815" spans="1:14">
      <c r="A815" s="4" t="s">
        <v>2749</v>
      </c>
      <c r="B815" s="4" t="s">
        <v>2750</v>
      </c>
      <c r="C815" s="4" t="s">
        <v>79</v>
      </c>
      <c r="D815" s="4" t="s">
        <v>70</v>
      </c>
      <c r="E815" s="4" t="s">
        <v>231</v>
      </c>
      <c r="F815" s="4" t="s">
        <v>1596</v>
      </c>
      <c r="G815" s="22">
        <v>7500</v>
      </c>
      <c r="H815" s="21">
        <v>10349</v>
      </c>
      <c r="I815" s="22">
        <v>0.7247077012271717</v>
      </c>
      <c r="J815" s="21">
        <v>1960</v>
      </c>
      <c r="K815" s="4" t="s">
        <v>95</v>
      </c>
      <c r="L815" s="22">
        <v>8.696492414726061</v>
      </c>
      <c r="M815" s="4"/>
      <c r="N815" s="4" t="s">
        <v>1475</v>
      </c>
    </row>
    <row r="816" spans="1:14">
      <c r="A816" s="4" t="s">
        <v>2751</v>
      </c>
      <c r="B816" s="4" t="s">
        <v>2752</v>
      </c>
      <c r="C816" s="4" t="s">
        <v>364</v>
      </c>
      <c r="D816" s="4" t="s">
        <v>73</v>
      </c>
      <c r="E816" s="4" t="s">
        <v>231</v>
      </c>
      <c r="F816" s="4" t="s">
        <v>1596</v>
      </c>
      <c r="G816" s="22">
        <v>6800</v>
      </c>
      <c r="H816" s="21">
        <v>16375</v>
      </c>
      <c r="I816" s="22">
        <v>0.4152671755725191</v>
      </c>
      <c r="J816" s="21">
        <v>1997</v>
      </c>
      <c r="K816" s="4" t="s">
        <v>95</v>
      </c>
      <c r="L816" s="22">
        <v>4.983206106870229</v>
      </c>
      <c r="M816" s="4"/>
      <c r="N816" s="4" t="s">
        <v>1467</v>
      </c>
    </row>
    <row r="817" spans="1:14">
      <c r="A817" s="4" t="s">
        <v>2753</v>
      </c>
      <c r="B817" s="4" t="s">
        <v>2754</v>
      </c>
      <c r="C817" s="4" t="s">
        <v>76</v>
      </c>
      <c r="D817" s="4" t="s">
        <v>65</v>
      </c>
      <c r="E817" s="4" t="s">
        <v>231</v>
      </c>
      <c r="F817" s="4" t="s">
        <v>1596</v>
      </c>
      <c r="G817" s="22">
        <v>6000</v>
      </c>
      <c r="H817" s="24"/>
      <c r="I817" s="24"/>
      <c r="J817" s="24"/>
      <c r="K817" s="4" t="s">
        <v>95</v>
      </c>
      <c r="L817" s="24"/>
      <c r="M817" s="4"/>
      <c r="N817" s="24" t="s">
        <v>237</v>
      </c>
    </row>
    <row r="818" spans="1:14">
      <c r="A818" s="4" t="s">
        <v>2755</v>
      </c>
      <c r="B818" s="4" t="s">
        <v>2756</v>
      </c>
      <c r="C818" s="4" t="s">
        <v>109</v>
      </c>
      <c r="D818" s="4" t="s">
        <v>65</v>
      </c>
      <c r="E818" s="4" t="s">
        <v>231</v>
      </c>
      <c r="F818" s="4" t="s">
        <v>1596</v>
      </c>
      <c r="G818" s="22">
        <v>5880</v>
      </c>
      <c r="H818" s="24"/>
      <c r="I818" s="24"/>
      <c r="J818" s="24"/>
      <c r="K818" s="4" t="s">
        <v>95</v>
      </c>
      <c r="L818" s="24"/>
      <c r="M818" s="4"/>
      <c r="N818" s="4" t="s">
        <v>1467</v>
      </c>
    </row>
    <row r="819" spans="1:14">
      <c r="A819" s="4" t="s">
        <v>2757</v>
      </c>
      <c r="B819" s="4" t="s">
        <v>860</v>
      </c>
      <c r="C819" s="4" t="s">
        <v>59</v>
      </c>
      <c r="D819" s="4" t="s">
        <v>65</v>
      </c>
      <c r="E819" s="4" t="s">
        <v>231</v>
      </c>
      <c r="F819" s="4" t="s">
        <v>1596</v>
      </c>
      <c r="G819" s="22">
        <v>5475</v>
      </c>
      <c r="H819" s="21">
        <v>1938</v>
      </c>
      <c r="I819" s="22">
        <v>2.825077399380805</v>
      </c>
      <c r="J819" s="24"/>
      <c r="K819" s="4" t="s">
        <v>95</v>
      </c>
      <c r="L819" s="22">
        <v>33.90092879256966</v>
      </c>
      <c r="M819" s="4"/>
      <c r="N819" s="4" t="s">
        <v>1475</v>
      </c>
    </row>
    <row r="820" spans="1:14">
      <c r="A820" s="4" t="s">
        <v>2758</v>
      </c>
      <c r="B820" s="4" t="s">
        <v>2759</v>
      </c>
      <c r="C820" s="4" t="s">
        <v>120</v>
      </c>
      <c r="D820" s="4" t="s">
        <v>65</v>
      </c>
      <c r="E820" s="4" t="s">
        <v>231</v>
      </c>
      <c r="F820" s="4" t="s">
        <v>1596</v>
      </c>
      <c r="G820" s="22">
        <v>5275</v>
      </c>
      <c r="H820" s="21">
        <v>5715</v>
      </c>
      <c r="I820" s="22">
        <v>0.9230096237970253</v>
      </c>
      <c r="J820" s="24"/>
      <c r="K820" s="4" t="s">
        <v>95</v>
      </c>
      <c r="L820" s="22">
        <v>11.0761154855643</v>
      </c>
      <c r="M820" s="4"/>
      <c r="N820" s="4" t="s">
        <v>1462</v>
      </c>
    </row>
    <row r="821" spans="1:14">
      <c r="A821" s="4" t="s">
        <v>2760</v>
      </c>
      <c r="B821" s="4" t="s">
        <v>2761</v>
      </c>
      <c r="C821" s="4" t="s">
        <v>2762</v>
      </c>
      <c r="D821" s="4" t="s">
        <v>72</v>
      </c>
      <c r="E821" s="4" t="s">
        <v>231</v>
      </c>
      <c r="F821" s="4" t="s">
        <v>1596</v>
      </c>
      <c r="G821" s="22">
        <v>5000</v>
      </c>
      <c r="H821" s="21">
        <v>140523</v>
      </c>
      <c r="I821" s="22">
        <v>0.0355813639048412</v>
      </c>
      <c r="J821" s="21">
        <v>1957</v>
      </c>
      <c r="K821" s="4" t="s">
        <v>95</v>
      </c>
      <c r="L821" s="24"/>
      <c r="M821" s="4"/>
      <c r="N821" s="4" t="s">
        <v>1467</v>
      </c>
    </row>
    <row r="822" spans="1:14">
      <c r="A822" s="4" t="s">
        <v>2763</v>
      </c>
      <c r="B822" s="4" t="s">
        <v>2764</v>
      </c>
      <c r="C822" s="4" t="s">
        <v>112</v>
      </c>
      <c r="D822" s="4" t="s">
        <v>68</v>
      </c>
      <c r="E822" s="4" t="s">
        <v>231</v>
      </c>
      <c r="F822" s="4" t="s">
        <v>1596</v>
      </c>
      <c r="G822" s="22">
        <v>5000</v>
      </c>
      <c r="H822" s="21">
        <v>42820</v>
      </c>
      <c r="I822" s="22">
        <v>0.116767865483419</v>
      </c>
      <c r="J822" s="21">
        <v>1976</v>
      </c>
      <c r="K822" s="4" t="s">
        <v>95</v>
      </c>
      <c r="L822" s="24"/>
      <c r="M822" s="4"/>
      <c r="N822" s="24" t="s">
        <v>237</v>
      </c>
    </row>
    <row r="823" spans="1:14">
      <c r="A823" s="4" t="s">
        <v>2765</v>
      </c>
      <c r="B823" s="4" t="s">
        <v>2766</v>
      </c>
      <c r="C823" s="4" t="s">
        <v>81</v>
      </c>
      <c r="D823" s="4" t="s">
        <v>65</v>
      </c>
      <c r="E823" s="4" t="s">
        <v>231</v>
      </c>
      <c r="F823" s="4" t="s">
        <v>1596</v>
      </c>
      <c r="G823" s="22">
        <v>4995</v>
      </c>
      <c r="H823" s="24"/>
      <c r="I823" s="24"/>
      <c r="J823" s="24"/>
      <c r="K823" s="4" t="s">
        <v>95</v>
      </c>
      <c r="L823" s="24"/>
      <c r="M823" s="4"/>
      <c r="N823" s="4" t="s">
        <v>1550</v>
      </c>
    </row>
    <row r="824" spans="1:14">
      <c r="A824" s="4" t="s">
        <v>2767</v>
      </c>
      <c r="B824" s="4" t="s">
        <v>2768</v>
      </c>
      <c r="C824" s="4" t="s">
        <v>109</v>
      </c>
      <c r="D824" s="4" t="s">
        <v>65</v>
      </c>
      <c r="E824" s="4" t="s">
        <v>231</v>
      </c>
      <c r="F824" s="4" t="s">
        <v>1596</v>
      </c>
      <c r="G824" s="22">
        <v>4818</v>
      </c>
      <c r="H824" s="24"/>
      <c r="I824" s="24"/>
      <c r="J824" s="24"/>
      <c r="K824" s="4" t="s">
        <v>95</v>
      </c>
      <c r="L824" s="24"/>
      <c r="M824" s="4"/>
      <c r="N824" s="4" t="s">
        <v>2769</v>
      </c>
    </row>
    <row r="825" spans="1:14">
      <c r="A825" s="4" t="s">
        <v>2770</v>
      </c>
      <c r="B825" s="4" t="s">
        <v>2771</v>
      </c>
      <c r="C825" s="4" t="s">
        <v>83</v>
      </c>
      <c r="D825" s="4" t="s">
        <v>65</v>
      </c>
      <c r="E825" s="4" t="s">
        <v>231</v>
      </c>
      <c r="F825" s="4" t="s">
        <v>1596</v>
      </c>
      <c r="G825" s="22">
        <v>4800</v>
      </c>
      <c r="H825" s="21">
        <v>10125</v>
      </c>
      <c r="I825" s="22">
        <v>0.4740740740740741</v>
      </c>
      <c r="J825" s="24"/>
      <c r="K825" s="4" t="s">
        <v>95</v>
      </c>
      <c r="L825" s="22">
        <v>5.688888888888889</v>
      </c>
      <c r="M825" s="4"/>
      <c r="N825" s="4" t="s">
        <v>1469</v>
      </c>
    </row>
    <row r="826" spans="1:14">
      <c r="A826" s="4" t="s">
        <v>2772</v>
      </c>
      <c r="B826" s="4" t="s">
        <v>2773</v>
      </c>
      <c r="C826" s="4" t="s">
        <v>108</v>
      </c>
      <c r="D826" s="4" t="s">
        <v>65</v>
      </c>
      <c r="E826" s="4" t="s">
        <v>231</v>
      </c>
      <c r="F826" s="4" t="s">
        <v>1596</v>
      </c>
      <c r="G826" s="22">
        <v>4488</v>
      </c>
      <c r="H826" s="21">
        <v>15005</v>
      </c>
      <c r="I826" s="22">
        <v>0.2991002999000333</v>
      </c>
      <c r="J826" s="24"/>
      <c r="K826" s="4" t="s">
        <v>95</v>
      </c>
      <c r="L826" s="24"/>
      <c r="M826" s="4"/>
      <c r="N826" s="4" t="s">
        <v>1475</v>
      </c>
    </row>
    <row r="827" spans="1:14">
      <c r="A827" s="4" t="s">
        <v>2774</v>
      </c>
      <c r="B827" s="4" t="s">
        <v>2775</v>
      </c>
      <c r="C827" s="4" t="s">
        <v>1655</v>
      </c>
      <c r="D827" s="4" t="s">
        <v>70</v>
      </c>
      <c r="E827" s="4" t="s">
        <v>231</v>
      </c>
      <c r="F827" s="4" t="s">
        <v>1596</v>
      </c>
      <c r="G827" s="22">
        <v>4400</v>
      </c>
      <c r="H827" s="24"/>
      <c r="I827" s="24"/>
      <c r="J827" s="24"/>
      <c r="K827" s="4" t="s">
        <v>95</v>
      </c>
      <c r="L827" s="24"/>
      <c r="M827" s="4"/>
      <c r="N827" s="4" t="s">
        <v>1471</v>
      </c>
    </row>
    <row r="828" spans="1:14">
      <c r="A828" s="4" t="s">
        <v>2776</v>
      </c>
      <c r="B828" s="4" t="s">
        <v>2777</v>
      </c>
      <c r="C828" s="4" t="s">
        <v>77</v>
      </c>
      <c r="D828" s="4" t="s">
        <v>65</v>
      </c>
      <c r="E828" s="4" t="s">
        <v>231</v>
      </c>
      <c r="F828" s="4" t="s">
        <v>1596</v>
      </c>
      <c r="G828" s="22">
        <v>4200</v>
      </c>
      <c r="H828" s="24"/>
      <c r="I828" s="24"/>
      <c r="J828" s="24"/>
      <c r="K828" s="4" t="s">
        <v>95</v>
      </c>
      <c r="L828" s="24"/>
      <c r="M828" s="4"/>
      <c r="N828" s="24" t="s">
        <v>237</v>
      </c>
    </row>
    <row r="829" spans="1:14">
      <c r="A829" s="4" t="s">
        <v>2778</v>
      </c>
      <c r="B829" s="4" t="s">
        <v>1208</v>
      </c>
      <c r="C829" s="4" t="s">
        <v>81</v>
      </c>
      <c r="D829" s="4" t="s">
        <v>65</v>
      </c>
      <c r="E829" s="4" t="s">
        <v>231</v>
      </c>
      <c r="F829" s="4" t="s">
        <v>1596</v>
      </c>
      <c r="G829" s="22">
        <v>4145</v>
      </c>
      <c r="H829" s="21">
        <v>6776</v>
      </c>
      <c r="I829" s="22">
        <v>0.6117178276269185</v>
      </c>
      <c r="J829" s="24"/>
      <c r="K829" s="4" t="s">
        <v>95</v>
      </c>
      <c r="L829" s="22">
        <v>7.340613931523023</v>
      </c>
      <c r="M829" s="4"/>
      <c r="N829" s="4" t="s">
        <v>1550</v>
      </c>
    </row>
    <row r="830" spans="1:14">
      <c r="A830" s="4" t="s">
        <v>2779</v>
      </c>
      <c r="B830" s="4" t="s">
        <v>2780</v>
      </c>
      <c r="C830" s="4" t="s">
        <v>79</v>
      </c>
      <c r="D830" s="4" t="s">
        <v>68</v>
      </c>
      <c r="E830" s="4" t="s">
        <v>231</v>
      </c>
      <c r="F830" s="4" t="s">
        <v>1596</v>
      </c>
      <c r="G830" s="22">
        <v>4100</v>
      </c>
      <c r="H830" s="24"/>
      <c r="I830" s="24"/>
      <c r="J830" s="24"/>
      <c r="K830" s="4" t="s">
        <v>95</v>
      </c>
      <c r="L830" s="24"/>
      <c r="M830" s="4"/>
      <c r="N830" s="24" t="s">
        <v>237</v>
      </c>
    </row>
    <row r="831" spans="1:14">
      <c r="A831" s="4" t="s">
        <v>2781</v>
      </c>
      <c r="B831" s="4" t="s">
        <v>704</v>
      </c>
      <c r="C831" s="4" t="s">
        <v>113</v>
      </c>
      <c r="D831" s="4" t="s">
        <v>70</v>
      </c>
      <c r="E831" s="4" t="s">
        <v>231</v>
      </c>
      <c r="F831" s="4" t="s">
        <v>1596</v>
      </c>
      <c r="G831" s="22">
        <v>4000</v>
      </c>
      <c r="H831" s="21">
        <v>10213</v>
      </c>
      <c r="I831" s="22">
        <v>0.3916576911779105</v>
      </c>
      <c r="J831" s="21">
        <v>1968</v>
      </c>
      <c r="K831" s="4" t="s">
        <v>95</v>
      </c>
      <c r="L831" s="22">
        <v>4.699892294134926</v>
      </c>
      <c r="M831" s="4"/>
      <c r="N831" s="4" t="s">
        <v>1467</v>
      </c>
    </row>
    <row r="832" spans="1:14">
      <c r="A832" s="4" t="s">
        <v>2782</v>
      </c>
      <c r="B832" s="4" t="s">
        <v>2783</v>
      </c>
      <c r="C832" s="4" t="s">
        <v>79</v>
      </c>
      <c r="D832" s="4" t="s">
        <v>65</v>
      </c>
      <c r="E832" s="4" t="s">
        <v>231</v>
      </c>
      <c r="F832" s="4" t="s">
        <v>1596</v>
      </c>
      <c r="G832" s="22">
        <v>3958</v>
      </c>
      <c r="H832" s="24"/>
      <c r="I832" s="24"/>
      <c r="J832" s="24"/>
      <c r="K832" s="4" t="s">
        <v>95</v>
      </c>
      <c r="L832" s="24"/>
      <c r="M832" s="4"/>
      <c r="N832" s="24" t="s">
        <v>237</v>
      </c>
    </row>
    <row r="833" spans="1:14">
      <c r="A833" s="4" t="s">
        <v>2784</v>
      </c>
      <c r="B833" s="4" t="s">
        <v>2117</v>
      </c>
      <c r="C833" s="4" t="s">
        <v>110</v>
      </c>
      <c r="D833" s="4" t="s">
        <v>65</v>
      </c>
      <c r="E833" s="4" t="s">
        <v>231</v>
      </c>
      <c r="F833" s="4" t="s">
        <v>1596</v>
      </c>
      <c r="G833" s="22">
        <v>3950</v>
      </c>
      <c r="H833" s="21">
        <v>11666</v>
      </c>
      <c r="I833" s="22">
        <v>0.3385907766158066</v>
      </c>
      <c r="J833" s="24"/>
      <c r="K833" s="4" t="s">
        <v>95</v>
      </c>
      <c r="L833" s="22">
        <v>4.06308931938968</v>
      </c>
      <c r="M833" s="4"/>
      <c r="N833" s="4" t="s">
        <v>1522</v>
      </c>
    </row>
    <row r="834" spans="1:14">
      <c r="A834" s="4" t="s">
        <v>2785</v>
      </c>
      <c r="B834" s="4" t="s">
        <v>2786</v>
      </c>
      <c r="C834" s="4" t="s">
        <v>79</v>
      </c>
      <c r="D834" s="4" t="s">
        <v>65</v>
      </c>
      <c r="E834" s="4" t="s">
        <v>231</v>
      </c>
      <c r="F834" s="4" t="s">
        <v>1596</v>
      </c>
      <c r="G834" s="22">
        <v>3950</v>
      </c>
      <c r="H834" s="21">
        <v>14612</v>
      </c>
      <c r="I834" s="22">
        <v>0.2703257596496031</v>
      </c>
      <c r="J834" s="24"/>
      <c r="K834" s="4" t="s">
        <v>95</v>
      </c>
      <c r="L834" s="24"/>
      <c r="M834" s="4"/>
      <c r="N834" s="4" t="s">
        <v>1545</v>
      </c>
    </row>
    <row r="835" spans="1:14">
      <c r="A835" s="4" t="s">
        <v>2787</v>
      </c>
      <c r="B835" s="4" t="s">
        <v>2788</v>
      </c>
      <c r="C835" s="4" t="s">
        <v>82</v>
      </c>
      <c r="D835" s="4" t="s">
        <v>65</v>
      </c>
      <c r="E835" s="4" t="s">
        <v>231</v>
      </c>
      <c r="F835" s="4" t="s">
        <v>1596</v>
      </c>
      <c r="G835" s="22">
        <v>3950</v>
      </c>
      <c r="H835" s="21">
        <v>51074</v>
      </c>
      <c r="I835" s="22">
        <v>0.07733876336296354</v>
      </c>
      <c r="J835" s="24"/>
      <c r="K835" s="4" t="s">
        <v>95</v>
      </c>
      <c r="L835" s="24"/>
      <c r="M835" s="4"/>
      <c r="N835" s="4" t="s">
        <v>1562</v>
      </c>
    </row>
    <row r="836" spans="1:14">
      <c r="A836" s="4" t="s">
        <v>2789</v>
      </c>
      <c r="B836" s="4" t="s">
        <v>1941</v>
      </c>
      <c r="C836" s="4" t="s">
        <v>109</v>
      </c>
      <c r="D836" s="4" t="s">
        <v>70</v>
      </c>
      <c r="E836" s="4" t="s">
        <v>231</v>
      </c>
      <c r="F836" s="4" t="s">
        <v>1596</v>
      </c>
      <c r="G836" s="22">
        <v>3900</v>
      </c>
      <c r="H836" s="21">
        <v>1000</v>
      </c>
      <c r="I836" s="22">
        <v>3.9</v>
      </c>
      <c r="J836" s="24"/>
      <c r="K836" s="4" t="s">
        <v>95</v>
      </c>
      <c r="L836" s="22">
        <v>46.8</v>
      </c>
      <c r="M836" s="4"/>
      <c r="N836" s="4" t="s">
        <v>1467</v>
      </c>
    </row>
    <row r="837" spans="1:14">
      <c r="A837" s="4" t="s">
        <v>2790</v>
      </c>
      <c r="B837" s="4" t="s">
        <v>2791</v>
      </c>
      <c r="C837" s="4" t="s">
        <v>116</v>
      </c>
      <c r="D837" s="4" t="s">
        <v>65</v>
      </c>
      <c r="E837" s="4" t="s">
        <v>231</v>
      </c>
      <c r="F837" s="4" t="s">
        <v>1596</v>
      </c>
      <c r="G837" s="22">
        <v>3900</v>
      </c>
      <c r="H837" s="24"/>
      <c r="I837" s="24"/>
      <c r="J837" s="21">
        <v>1961</v>
      </c>
      <c r="K837" s="4" t="s">
        <v>95</v>
      </c>
      <c r="L837" s="24"/>
      <c r="M837" s="4"/>
      <c r="N837" s="4"/>
    </row>
    <row r="838" spans="1:14">
      <c r="A838" s="4" t="s">
        <v>2792</v>
      </c>
      <c r="B838" s="4" t="s">
        <v>2793</v>
      </c>
      <c r="C838" s="4" t="s">
        <v>114</v>
      </c>
      <c r="D838" s="4" t="s">
        <v>65</v>
      </c>
      <c r="E838" s="4" t="s">
        <v>231</v>
      </c>
      <c r="F838" s="4" t="s">
        <v>1596</v>
      </c>
      <c r="G838" s="22">
        <v>3800</v>
      </c>
      <c r="H838" s="24"/>
      <c r="I838" s="24"/>
      <c r="J838" s="24"/>
      <c r="K838" s="4" t="s">
        <v>95</v>
      </c>
      <c r="L838" s="24"/>
      <c r="M838" s="4"/>
      <c r="N838" s="24" t="s">
        <v>237</v>
      </c>
    </row>
    <row r="839" spans="1:14">
      <c r="A839" s="4" t="s">
        <v>2794</v>
      </c>
      <c r="B839" s="4" t="s">
        <v>2795</v>
      </c>
      <c r="C839" s="4" t="s">
        <v>112</v>
      </c>
      <c r="D839" s="4" t="s">
        <v>65</v>
      </c>
      <c r="E839" s="4" t="s">
        <v>231</v>
      </c>
      <c r="F839" s="4" t="s">
        <v>1596</v>
      </c>
      <c r="G839" s="22">
        <v>3750</v>
      </c>
      <c r="H839" s="24"/>
      <c r="I839" s="24"/>
      <c r="J839" s="24"/>
      <c r="K839" s="4" t="s">
        <v>95</v>
      </c>
      <c r="L839" s="24"/>
      <c r="M839" s="4"/>
      <c r="N839" s="4" t="s">
        <v>1603</v>
      </c>
    </row>
    <row r="840" spans="1:14">
      <c r="A840" s="4" t="s">
        <v>2796</v>
      </c>
      <c r="B840" s="4" t="s">
        <v>2797</v>
      </c>
      <c r="C840" s="4" t="s">
        <v>81</v>
      </c>
      <c r="D840" s="4" t="s">
        <v>69</v>
      </c>
      <c r="E840" s="4" t="s">
        <v>231</v>
      </c>
      <c r="F840" s="4" t="s">
        <v>1596</v>
      </c>
      <c r="G840" s="22">
        <v>3750</v>
      </c>
      <c r="H840" s="21">
        <v>7000</v>
      </c>
      <c r="I840" s="22">
        <v>0.5357142857142857</v>
      </c>
      <c r="J840" s="24"/>
      <c r="K840" s="4" t="s">
        <v>95</v>
      </c>
      <c r="L840" s="22">
        <v>6.428571428571429</v>
      </c>
      <c r="M840" s="4"/>
      <c r="N840" s="4" t="s">
        <v>1479</v>
      </c>
    </row>
    <row r="841" spans="1:14">
      <c r="A841" s="4" t="s">
        <v>2798</v>
      </c>
      <c r="B841" s="4" t="s">
        <v>2799</v>
      </c>
      <c r="C841" s="4" t="s">
        <v>81</v>
      </c>
      <c r="D841" s="4" t="s">
        <v>70</v>
      </c>
      <c r="E841" s="4" t="s">
        <v>231</v>
      </c>
      <c r="F841" s="4" t="s">
        <v>1456</v>
      </c>
      <c r="G841" s="22">
        <v>3700</v>
      </c>
      <c r="H841" s="24"/>
      <c r="I841" s="24"/>
      <c r="J841" s="24"/>
      <c r="K841" s="4" t="s">
        <v>95</v>
      </c>
      <c r="L841" s="24"/>
      <c r="M841" s="4"/>
      <c r="N841" s="4"/>
    </row>
    <row r="842" spans="1:14">
      <c r="A842" s="4" t="s">
        <v>2800</v>
      </c>
      <c r="B842" s="4" t="s">
        <v>2801</v>
      </c>
      <c r="C842" s="4" t="s">
        <v>111</v>
      </c>
      <c r="D842" s="4" t="s">
        <v>67</v>
      </c>
      <c r="E842" s="4" t="s">
        <v>231</v>
      </c>
      <c r="F842" s="4" t="s">
        <v>1596</v>
      </c>
      <c r="G842" s="22">
        <v>3400</v>
      </c>
      <c r="H842" s="21">
        <v>5424</v>
      </c>
      <c r="I842" s="22">
        <v>0.6268436578171092</v>
      </c>
      <c r="J842" s="21">
        <v>1952</v>
      </c>
      <c r="K842" s="4" t="s">
        <v>95</v>
      </c>
      <c r="L842" s="22">
        <v>7.522123893805309</v>
      </c>
      <c r="M842" s="4"/>
      <c r="N842" s="4" t="s">
        <v>1483</v>
      </c>
    </row>
    <row r="843" spans="1:14">
      <c r="A843" s="4" t="s">
        <v>2802</v>
      </c>
      <c r="B843" s="4" t="s">
        <v>2803</v>
      </c>
      <c r="C843" s="4" t="s">
        <v>59</v>
      </c>
      <c r="D843" s="4" t="s">
        <v>70</v>
      </c>
      <c r="E843" s="4" t="s">
        <v>231</v>
      </c>
      <c r="F843" s="4" t="s">
        <v>1596</v>
      </c>
      <c r="G843" s="22">
        <v>3200</v>
      </c>
      <c r="H843" s="21">
        <v>1010</v>
      </c>
      <c r="I843" s="22">
        <v>3.168316831683168</v>
      </c>
      <c r="J843" s="21">
        <v>1952</v>
      </c>
      <c r="K843" s="4" t="s">
        <v>95</v>
      </c>
      <c r="L843" s="22">
        <v>38.01980198019802</v>
      </c>
      <c r="M843" s="4"/>
      <c r="N843" s="4" t="s">
        <v>1750</v>
      </c>
    </row>
    <row r="844" spans="1:14">
      <c r="A844" s="4" t="s">
        <v>2804</v>
      </c>
      <c r="B844" s="4" t="s">
        <v>2805</v>
      </c>
      <c r="C844" s="4" t="s">
        <v>77</v>
      </c>
      <c r="D844" s="4" t="s">
        <v>65</v>
      </c>
      <c r="E844" s="4" t="s">
        <v>231</v>
      </c>
      <c r="F844" s="4" t="s">
        <v>1596</v>
      </c>
      <c r="G844" s="22">
        <v>3200</v>
      </c>
      <c r="H844" s="24"/>
      <c r="I844" s="24"/>
      <c r="J844" s="24"/>
      <c r="K844" s="4" t="s">
        <v>95</v>
      </c>
      <c r="L844" s="24"/>
      <c r="M844" s="4"/>
      <c r="N844" s="24" t="s">
        <v>237</v>
      </c>
    </row>
    <row r="845" spans="1:14">
      <c r="A845" s="4" t="s">
        <v>2806</v>
      </c>
      <c r="B845" s="4" t="s">
        <v>2807</v>
      </c>
      <c r="C845" s="4" t="s">
        <v>78</v>
      </c>
      <c r="D845" s="4" t="s">
        <v>70</v>
      </c>
      <c r="E845" s="4" t="s">
        <v>231</v>
      </c>
      <c r="F845" s="4" t="s">
        <v>1596</v>
      </c>
      <c r="G845" s="22">
        <v>3000</v>
      </c>
      <c r="H845" s="21">
        <v>10000</v>
      </c>
      <c r="I845" s="22">
        <v>0.3</v>
      </c>
      <c r="J845" s="21">
        <v>1951</v>
      </c>
      <c r="K845" s="4" t="s">
        <v>95</v>
      </c>
      <c r="L845" s="24"/>
      <c r="M845" s="4"/>
      <c r="N845" s="4" t="s">
        <v>1467</v>
      </c>
    </row>
    <row r="846" spans="1:14">
      <c r="A846" s="4" t="s">
        <v>2808</v>
      </c>
      <c r="B846" s="4" t="s">
        <v>1196</v>
      </c>
      <c r="C846" s="4" t="s">
        <v>76</v>
      </c>
      <c r="D846" s="4" t="s">
        <v>70</v>
      </c>
      <c r="E846" s="4" t="s">
        <v>231</v>
      </c>
      <c r="F846" s="4" t="s">
        <v>1596</v>
      </c>
      <c r="G846" s="22">
        <v>3000</v>
      </c>
      <c r="H846" s="21">
        <v>3921</v>
      </c>
      <c r="I846" s="22">
        <v>0.7651109410864575</v>
      </c>
      <c r="J846" s="24"/>
      <c r="K846" s="4" t="s">
        <v>95</v>
      </c>
      <c r="L846" s="22">
        <v>9.181331293037491</v>
      </c>
      <c r="M846" s="4"/>
      <c r="N846" s="4" t="s">
        <v>1475</v>
      </c>
    </row>
    <row r="847" spans="1:14">
      <c r="A847" s="4" t="s">
        <v>2809</v>
      </c>
      <c r="B847" s="4" t="s">
        <v>2810</v>
      </c>
      <c r="C847" s="4" t="s">
        <v>108</v>
      </c>
      <c r="D847" s="4" t="s">
        <v>70</v>
      </c>
      <c r="E847" s="4" t="s">
        <v>231</v>
      </c>
      <c r="F847" s="4" t="s">
        <v>1596</v>
      </c>
      <c r="G847" s="22">
        <v>2895</v>
      </c>
      <c r="H847" s="21">
        <v>14742</v>
      </c>
      <c r="I847" s="22">
        <v>0.1963776963776964</v>
      </c>
      <c r="J847" s="24"/>
      <c r="K847" s="4" t="s">
        <v>95</v>
      </c>
      <c r="L847" s="24"/>
      <c r="M847" s="4"/>
      <c r="N847" s="4" t="s">
        <v>1475</v>
      </c>
    </row>
    <row r="848" spans="1:14">
      <c r="A848" s="4" t="s">
        <v>2811</v>
      </c>
      <c r="B848" s="4" t="s">
        <v>2398</v>
      </c>
      <c r="C848" s="4" t="s">
        <v>109</v>
      </c>
      <c r="D848" s="4" t="s">
        <v>70</v>
      </c>
      <c r="E848" s="4" t="s">
        <v>231</v>
      </c>
      <c r="F848" s="4" t="s">
        <v>1596</v>
      </c>
      <c r="G848" s="22">
        <v>2800</v>
      </c>
      <c r="H848" s="21">
        <v>14358</v>
      </c>
      <c r="I848" s="22">
        <v>0.1950132330408135</v>
      </c>
      <c r="J848" s="24"/>
      <c r="K848" s="4" t="s">
        <v>95</v>
      </c>
      <c r="L848" s="24"/>
      <c r="M848" s="4"/>
      <c r="N848" s="4" t="s">
        <v>1467</v>
      </c>
    </row>
    <row r="849" spans="1:14">
      <c r="A849" s="4" t="s">
        <v>2812</v>
      </c>
      <c r="B849" s="4" t="s">
        <v>2813</v>
      </c>
      <c r="C849" s="4" t="s">
        <v>76</v>
      </c>
      <c r="D849" s="4" t="s">
        <v>65</v>
      </c>
      <c r="E849" s="4" t="s">
        <v>231</v>
      </c>
      <c r="F849" s="4" t="s">
        <v>1596</v>
      </c>
      <c r="G849" s="22">
        <v>2595</v>
      </c>
      <c r="H849" s="24"/>
      <c r="I849" s="24"/>
      <c r="J849" s="24"/>
      <c r="K849" s="4" t="s">
        <v>95</v>
      </c>
      <c r="L849" s="24"/>
      <c r="M849" s="4"/>
      <c r="N849" s="24" t="s">
        <v>237</v>
      </c>
    </row>
    <row r="850" spans="1:14">
      <c r="A850" s="4" t="s">
        <v>2814</v>
      </c>
      <c r="B850" s="4" t="s">
        <v>2815</v>
      </c>
      <c r="C850" s="4" t="s">
        <v>246</v>
      </c>
      <c r="D850" s="4" t="s">
        <v>69</v>
      </c>
      <c r="E850" s="4" t="s">
        <v>231</v>
      </c>
      <c r="F850" s="4" t="s">
        <v>1596</v>
      </c>
      <c r="G850" s="22">
        <v>2500</v>
      </c>
      <c r="H850" s="21">
        <v>0</v>
      </c>
      <c r="I850" s="22" t="e">
        <f>1/0</f>
        <v>#DIV/0!</v>
      </c>
      <c r="J850" s="21">
        <v>2002</v>
      </c>
      <c r="K850" s="4" t="s">
        <v>95</v>
      </c>
      <c r="L850" s="24"/>
      <c r="M850" s="4"/>
      <c r="N850" s="4" t="s">
        <v>1475</v>
      </c>
    </row>
    <row r="851" spans="1:14">
      <c r="A851" s="4" t="s">
        <v>2816</v>
      </c>
      <c r="B851" s="4" t="s">
        <v>1957</v>
      </c>
      <c r="C851" s="4" t="s">
        <v>109</v>
      </c>
      <c r="D851" s="4" t="s">
        <v>65</v>
      </c>
      <c r="E851" s="4" t="s">
        <v>231</v>
      </c>
      <c r="F851" s="4" t="s">
        <v>1596</v>
      </c>
      <c r="G851" s="22">
        <v>2500</v>
      </c>
      <c r="H851" s="21">
        <v>1000</v>
      </c>
      <c r="I851" s="22">
        <v>2.5</v>
      </c>
      <c r="J851" s="24"/>
      <c r="K851" s="4" t="s">
        <v>95</v>
      </c>
      <c r="L851" s="22">
        <v>30</v>
      </c>
      <c r="M851" s="4"/>
      <c r="N851" s="4" t="s">
        <v>1467</v>
      </c>
    </row>
    <row r="852" spans="1:14">
      <c r="A852" s="4" t="s">
        <v>2817</v>
      </c>
      <c r="B852" s="4" t="s">
        <v>2818</v>
      </c>
      <c r="C852" s="4" t="s">
        <v>79</v>
      </c>
      <c r="D852" s="4" t="s">
        <v>65</v>
      </c>
      <c r="E852" s="4" t="s">
        <v>231</v>
      </c>
      <c r="F852" s="4" t="s">
        <v>1596</v>
      </c>
      <c r="G852" s="22">
        <v>2500</v>
      </c>
      <c r="H852" s="21">
        <v>16888</v>
      </c>
      <c r="I852" s="22">
        <v>0.1480341070582662</v>
      </c>
      <c r="J852" s="24"/>
      <c r="K852" s="4" t="s">
        <v>95</v>
      </c>
      <c r="L852" s="24"/>
      <c r="M852" s="4"/>
      <c r="N852" s="4" t="s">
        <v>1469</v>
      </c>
    </row>
    <row r="853" spans="1:14">
      <c r="A853" s="4" t="s">
        <v>2819</v>
      </c>
      <c r="B853" s="4" t="s">
        <v>2820</v>
      </c>
      <c r="C853" s="4" t="s">
        <v>113</v>
      </c>
      <c r="D853" s="4" t="s">
        <v>70</v>
      </c>
      <c r="E853" s="4" t="s">
        <v>231</v>
      </c>
      <c r="F853" s="4" t="s">
        <v>1596</v>
      </c>
      <c r="G853" s="22">
        <v>2500</v>
      </c>
      <c r="H853" s="24"/>
      <c r="I853" s="24"/>
      <c r="J853" s="24"/>
      <c r="K853" s="4" t="s">
        <v>95</v>
      </c>
      <c r="L853" s="24"/>
      <c r="M853" s="4"/>
      <c r="N853" s="24" t="s">
        <v>237</v>
      </c>
    </row>
    <row r="854" spans="1:14">
      <c r="A854" s="4" t="s">
        <v>2821</v>
      </c>
      <c r="B854" s="4" t="s">
        <v>1650</v>
      </c>
      <c r="C854" s="4" t="s">
        <v>743</v>
      </c>
      <c r="D854" s="4" t="s">
        <v>70</v>
      </c>
      <c r="E854" s="4" t="s">
        <v>231</v>
      </c>
      <c r="F854" s="4" t="s">
        <v>1596</v>
      </c>
      <c r="G854" s="22">
        <v>2500</v>
      </c>
      <c r="H854" s="21">
        <v>6751</v>
      </c>
      <c r="I854" s="22">
        <v>0.3703155088135091</v>
      </c>
      <c r="J854" s="21">
        <v>1961</v>
      </c>
      <c r="K854" s="4" t="s">
        <v>95</v>
      </c>
      <c r="L854" s="22">
        <v>4.44378610576211</v>
      </c>
      <c r="M854" s="4"/>
      <c r="N854" s="4" t="s">
        <v>1467</v>
      </c>
    </row>
    <row r="855" spans="1:14">
      <c r="A855" s="4" t="s">
        <v>2822</v>
      </c>
      <c r="B855" s="4" t="s">
        <v>2823</v>
      </c>
      <c r="C855" s="4" t="s">
        <v>115</v>
      </c>
      <c r="D855" s="4" t="s">
        <v>68</v>
      </c>
      <c r="E855" s="4" t="s">
        <v>231</v>
      </c>
      <c r="F855" s="4" t="s">
        <v>1596</v>
      </c>
      <c r="G855" s="22">
        <v>2500</v>
      </c>
      <c r="H855" s="21">
        <v>6750</v>
      </c>
      <c r="I855" s="22">
        <v>0.3703703703703703</v>
      </c>
      <c r="J855" s="24"/>
      <c r="K855" s="4" t="s">
        <v>95</v>
      </c>
      <c r="L855" s="22">
        <v>4.444444444444445</v>
      </c>
      <c r="M855" s="4"/>
      <c r="N855" s="4" t="s">
        <v>1483</v>
      </c>
    </row>
    <row r="856" spans="1:14">
      <c r="A856" s="4" t="s">
        <v>2824</v>
      </c>
      <c r="B856" s="4" t="s">
        <v>2825</v>
      </c>
      <c r="C856" s="4" t="s">
        <v>76</v>
      </c>
      <c r="D856" s="4" t="s">
        <v>65</v>
      </c>
      <c r="E856" s="4" t="s">
        <v>231</v>
      </c>
      <c r="F856" s="4" t="s">
        <v>1596</v>
      </c>
      <c r="G856" s="22">
        <v>2500</v>
      </c>
      <c r="H856" s="21">
        <v>6440</v>
      </c>
      <c r="I856" s="22">
        <v>0.3881987577639752</v>
      </c>
      <c r="J856" s="24"/>
      <c r="K856" s="4" t="s">
        <v>95</v>
      </c>
      <c r="L856" s="22">
        <v>4.658385093167702</v>
      </c>
      <c r="M856" s="4"/>
      <c r="N856" s="4" t="s">
        <v>2826</v>
      </c>
    </row>
    <row r="857" spans="1:14">
      <c r="A857" s="4" t="s">
        <v>2827</v>
      </c>
      <c r="B857" s="4" t="s">
        <v>2828</v>
      </c>
      <c r="C857" s="4" t="s">
        <v>81</v>
      </c>
      <c r="D857" s="4" t="s">
        <v>69</v>
      </c>
      <c r="E857" s="4" t="s">
        <v>231</v>
      </c>
      <c r="F857" s="4" t="s">
        <v>1596</v>
      </c>
      <c r="G857" s="22">
        <v>2500</v>
      </c>
      <c r="H857" s="21">
        <v>5050</v>
      </c>
      <c r="I857" s="22">
        <v>0.495049504950495</v>
      </c>
      <c r="J857" s="21">
        <v>1987</v>
      </c>
      <c r="K857" s="4" t="s">
        <v>95</v>
      </c>
      <c r="L857" s="22">
        <v>5.940594059405941</v>
      </c>
      <c r="M857" s="4"/>
      <c r="N857" s="4" t="s">
        <v>1479</v>
      </c>
    </row>
    <row r="858" spans="1:14">
      <c r="A858" s="4" t="s">
        <v>2829</v>
      </c>
      <c r="B858" s="4" t="s">
        <v>2830</v>
      </c>
      <c r="C858" s="4" t="s">
        <v>81</v>
      </c>
      <c r="D858" s="4" t="s">
        <v>69</v>
      </c>
      <c r="E858" s="4" t="s">
        <v>231</v>
      </c>
      <c r="F858" s="4" t="s">
        <v>1596</v>
      </c>
      <c r="G858" s="22">
        <v>2500</v>
      </c>
      <c r="H858" s="21">
        <v>5050</v>
      </c>
      <c r="I858" s="22">
        <v>0.495049504950495</v>
      </c>
      <c r="J858" s="21">
        <v>1987</v>
      </c>
      <c r="K858" s="4" t="s">
        <v>95</v>
      </c>
      <c r="L858" s="22">
        <v>5.940594059405941</v>
      </c>
      <c r="M858" s="4"/>
      <c r="N858" s="4" t="s">
        <v>1479</v>
      </c>
    </row>
    <row r="859" spans="1:14">
      <c r="A859" s="4" t="s">
        <v>2831</v>
      </c>
      <c r="B859" s="4" t="s">
        <v>1189</v>
      </c>
      <c r="C859" s="4" t="s">
        <v>82</v>
      </c>
      <c r="D859" s="4" t="s">
        <v>67</v>
      </c>
      <c r="E859" s="4" t="s">
        <v>231</v>
      </c>
      <c r="F859" s="4" t="s">
        <v>1596</v>
      </c>
      <c r="G859" s="22">
        <v>2400</v>
      </c>
      <c r="H859" s="21">
        <v>1499</v>
      </c>
      <c r="I859" s="22">
        <v>1.601067378252168</v>
      </c>
      <c r="J859" s="21">
        <v>1999</v>
      </c>
      <c r="K859" s="4" t="s">
        <v>95</v>
      </c>
      <c r="L859" s="22">
        <v>19.21280853902602</v>
      </c>
      <c r="M859" s="4"/>
      <c r="N859" s="4" t="s">
        <v>1469</v>
      </c>
    </row>
    <row r="860" spans="1:14">
      <c r="A860" s="4" t="s">
        <v>2832</v>
      </c>
      <c r="B860" s="4" t="s">
        <v>2833</v>
      </c>
      <c r="C860" s="4" t="s">
        <v>109</v>
      </c>
      <c r="D860" s="4" t="s">
        <v>69</v>
      </c>
      <c r="E860" s="4" t="s">
        <v>231</v>
      </c>
      <c r="F860" s="4" t="s">
        <v>1596</v>
      </c>
      <c r="G860" s="22">
        <v>2350</v>
      </c>
      <c r="H860" s="21">
        <v>0</v>
      </c>
      <c r="I860" s="22" t="e">
        <f>1/0</f>
        <v>#DIV/0!</v>
      </c>
      <c r="J860" s="21">
        <v>1973</v>
      </c>
      <c r="K860" s="4" t="s">
        <v>95</v>
      </c>
      <c r="L860" s="24"/>
      <c r="M860" s="4"/>
      <c r="N860" s="4" t="s">
        <v>1467</v>
      </c>
    </row>
    <row r="861" spans="1:14">
      <c r="A861" s="4" t="s">
        <v>2834</v>
      </c>
      <c r="B861" s="4" t="s">
        <v>1658</v>
      </c>
      <c r="C861" s="4" t="s">
        <v>108</v>
      </c>
      <c r="D861" s="4" t="s">
        <v>69</v>
      </c>
      <c r="E861" s="4" t="s">
        <v>231</v>
      </c>
      <c r="F861" s="4" t="s">
        <v>1596</v>
      </c>
      <c r="G861" s="22">
        <v>2290</v>
      </c>
      <c r="H861" s="21">
        <v>15000</v>
      </c>
      <c r="I861" s="22">
        <v>0.1526666666666667</v>
      </c>
      <c r="J861" s="24"/>
      <c r="K861" s="4" t="s">
        <v>95</v>
      </c>
      <c r="L861" s="24"/>
      <c r="M861" s="4"/>
      <c r="N861" s="24" t="s">
        <v>237</v>
      </c>
    </row>
    <row r="862" spans="1:14">
      <c r="A862" s="4" t="s">
        <v>2835</v>
      </c>
      <c r="B862" s="4" t="s">
        <v>2836</v>
      </c>
      <c r="C862" s="4" t="s">
        <v>2837</v>
      </c>
      <c r="D862" s="4" t="s">
        <v>70</v>
      </c>
      <c r="E862" s="4" t="s">
        <v>231</v>
      </c>
      <c r="F862" s="4" t="s">
        <v>1596</v>
      </c>
      <c r="G862" s="22">
        <v>2200</v>
      </c>
      <c r="H862" s="21">
        <v>5947</v>
      </c>
      <c r="I862" s="22">
        <v>0.3699344207163275</v>
      </c>
      <c r="J862" s="21">
        <v>1965</v>
      </c>
      <c r="K862" s="4" t="s">
        <v>95</v>
      </c>
      <c r="L862" s="22">
        <v>4.43921304859593</v>
      </c>
      <c r="M862" s="4"/>
      <c r="N862" s="4" t="s">
        <v>1475</v>
      </c>
    </row>
    <row r="863" spans="1:14">
      <c r="A863" s="4" t="s">
        <v>2838</v>
      </c>
      <c r="B863" s="4" t="s">
        <v>2839</v>
      </c>
      <c r="C863" s="4" t="s">
        <v>76</v>
      </c>
      <c r="D863" s="4" t="s">
        <v>69</v>
      </c>
      <c r="E863" s="4" t="s">
        <v>231</v>
      </c>
      <c r="F863" s="4" t="s">
        <v>1596</v>
      </c>
      <c r="G863" s="22">
        <v>2200</v>
      </c>
      <c r="H863" s="21">
        <v>3220</v>
      </c>
      <c r="I863" s="22">
        <v>0.6832298136645962</v>
      </c>
      <c r="J863" s="24"/>
      <c r="K863" s="4" t="s">
        <v>95</v>
      </c>
      <c r="L863" s="22">
        <v>8.198757763975156</v>
      </c>
      <c r="M863" s="4"/>
      <c r="N863" s="24" t="s">
        <v>237</v>
      </c>
    </row>
    <row r="864" spans="1:14">
      <c r="A864" s="4" t="s">
        <v>2840</v>
      </c>
      <c r="B864" s="4" t="s">
        <v>2841</v>
      </c>
      <c r="C864" s="4" t="s">
        <v>81</v>
      </c>
      <c r="D864" s="4" t="s">
        <v>69</v>
      </c>
      <c r="E864" s="4" t="s">
        <v>231</v>
      </c>
      <c r="F864" s="4" t="s">
        <v>1596</v>
      </c>
      <c r="G864" s="22">
        <v>2200</v>
      </c>
      <c r="H864" s="21">
        <v>6250</v>
      </c>
      <c r="I864" s="22">
        <v>0.352</v>
      </c>
      <c r="J864" s="21">
        <v>1926</v>
      </c>
      <c r="K864" s="4" t="s">
        <v>95</v>
      </c>
      <c r="L864" s="22">
        <v>4.224</v>
      </c>
      <c r="M864" s="4"/>
      <c r="N864" s="4" t="s">
        <v>1535</v>
      </c>
    </row>
    <row r="865" spans="1:14">
      <c r="A865" s="4" t="s">
        <v>2842</v>
      </c>
      <c r="B865" s="4" t="s">
        <v>2843</v>
      </c>
      <c r="C865" s="4" t="s">
        <v>113</v>
      </c>
      <c r="D865" s="4" t="s">
        <v>69</v>
      </c>
      <c r="E865" s="4" t="s">
        <v>231</v>
      </c>
      <c r="F865" s="4" t="s">
        <v>1596</v>
      </c>
      <c r="G865" s="22">
        <v>2000</v>
      </c>
      <c r="H865" s="21">
        <v>0</v>
      </c>
      <c r="I865" s="22" t="e">
        <f>1/0</f>
        <v>#DIV/0!</v>
      </c>
      <c r="J865" s="21">
        <v>1966</v>
      </c>
      <c r="K865" s="4" t="s">
        <v>95</v>
      </c>
      <c r="L865" s="24"/>
      <c r="M865" s="4"/>
      <c r="N865" s="4" t="s">
        <v>1471</v>
      </c>
    </row>
    <row r="866" spans="1:14">
      <c r="A866" s="4" t="s">
        <v>2844</v>
      </c>
      <c r="B866" s="4" t="s">
        <v>2845</v>
      </c>
      <c r="C866" s="4" t="s">
        <v>2846</v>
      </c>
      <c r="D866" s="4" t="s">
        <v>70</v>
      </c>
      <c r="E866" s="4" t="s">
        <v>231</v>
      </c>
      <c r="F866" s="4" t="s">
        <v>1456</v>
      </c>
      <c r="G866" s="22">
        <v>1999</v>
      </c>
      <c r="H866" s="24"/>
      <c r="I866" s="24"/>
      <c r="J866" s="21">
        <v>1984</v>
      </c>
      <c r="K866" s="4" t="s">
        <v>95</v>
      </c>
      <c r="L866" s="24"/>
      <c r="M866" s="4"/>
      <c r="N866" s="4" t="s">
        <v>2769</v>
      </c>
    </row>
    <row r="867" spans="1:14">
      <c r="A867" s="4" t="s">
        <v>2847</v>
      </c>
      <c r="B867" s="4" t="s">
        <v>2841</v>
      </c>
      <c r="C867" s="4" t="s">
        <v>82</v>
      </c>
      <c r="D867" s="4" t="s">
        <v>69</v>
      </c>
      <c r="E867" s="4" t="s">
        <v>231</v>
      </c>
      <c r="F867" s="4" t="s">
        <v>1596</v>
      </c>
      <c r="G867" s="22">
        <v>1950</v>
      </c>
      <c r="H867" s="21">
        <v>6250</v>
      </c>
      <c r="I867" s="22">
        <v>0.312</v>
      </c>
      <c r="J867" s="21">
        <v>1926</v>
      </c>
      <c r="K867" s="4" t="s">
        <v>95</v>
      </c>
      <c r="L867" s="24"/>
      <c r="M867" s="4"/>
      <c r="N867" s="4" t="s">
        <v>1535</v>
      </c>
    </row>
    <row r="868" spans="1:14">
      <c r="A868" s="4" t="s">
        <v>2848</v>
      </c>
      <c r="B868" s="4" t="s">
        <v>2849</v>
      </c>
      <c r="C868" s="4" t="s">
        <v>59</v>
      </c>
      <c r="D868" s="4" t="s">
        <v>69</v>
      </c>
      <c r="E868" s="4" t="s">
        <v>231</v>
      </c>
      <c r="F868" s="4" t="s">
        <v>1596</v>
      </c>
      <c r="G868" s="22">
        <v>1800</v>
      </c>
      <c r="H868" s="21">
        <v>6584</v>
      </c>
      <c r="I868" s="22">
        <v>0.2733900364520049</v>
      </c>
      <c r="J868" s="21">
        <v>1978</v>
      </c>
      <c r="K868" s="4" t="s">
        <v>95</v>
      </c>
      <c r="L868" s="24"/>
      <c r="M868" s="4"/>
      <c r="N868" s="4" t="s">
        <v>1750</v>
      </c>
    </row>
    <row r="869" spans="1:14">
      <c r="A869" s="4" t="s">
        <v>2850</v>
      </c>
      <c r="B869" s="4" t="s">
        <v>1019</v>
      </c>
      <c r="C869" s="4" t="s">
        <v>109</v>
      </c>
      <c r="D869" s="4" t="s">
        <v>69</v>
      </c>
      <c r="E869" s="4" t="s">
        <v>231</v>
      </c>
      <c r="F869" s="4" t="s">
        <v>1596</v>
      </c>
      <c r="G869" s="22">
        <v>1800</v>
      </c>
      <c r="H869" s="21">
        <v>13263</v>
      </c>
      <c r="I869" s="22">
        <v>0.1357159013797783</v>
      </c>
      <c r="J869" s="21">
        <v>1973</v>
      </c>
      <c r="K869" s="4" t="s">
        <v>95</v>
      </c>
      <c r="L869" s="24"/>
      <c r="M869" s="4"/>
      <c r="N869" s="4" t="s">
        <v>1467</v>
      </c>
    </row>
    <row r="870" spans="1:14">
      <c r="A870" s="4" t="s">
        <v>2851</v>
      </c>
      <c r="B870" s="4" t="s">
        <v>2852</v>
      </c>
      <c r="C870" s="4" t="s">
        <v>79</v>
      </c>
      <c r="D870" s="4" t="s">
        <v>69</v>
      </c>
      <c r="E870" s="4" t="s">
        <v>231</v>
      </c>
      <c r="F870" s="4" t="s">
        <v>1596</v>
      </c>
      <c r="G870" s="22">
        <v>1800</v>
      </c>
      <c r="H870" s="21">
        <v>19998</v>
      </c>
      <c r="I870" s="22">
        <v>0.09000900090009001</v>
      </c>
      <c r="J870" s="21">
        <v>1974</v>
      </c>
      <c r="K870" s="4" t="s">
        <v>95</v>
      </c>
      <c r="L870" s="24"/>
      <c r="M870" s="4"/>
      <c r="N870" s="4" t="s">
        <v>1471</v>
      </c>
    </row>
    <row r="871" spans="1:14">
      <c r="A871" s="4" t="s">
        <v>2853</v>
      </c>
      <c r="B871" s="4" t="s">
        <v>2854</v>
      </c>
      <c r="C871" s="4" t="s">
        <v>79</v>
      </c>
      <c r="D871" s="4" t="s">
        <v>69</v>
      </c>
      <c r="E871" s="4" t="s">
        <v>231</v>
      </c>
      <c r="F871" s="4" t="s">
        <v>1596</v>
      </c>
      <c r="G871" s="22">
        <v>1800</v>
      </c>
      <c r="H871" s="21">
        <v>5738</v>
      </c>
      <c r="I871" s="22">
        <v>0.3136981526664343</v>
      </c>
      <c r="J871" s="21">
        <v>1973</v>
      </c>
      <c r="K871" s="4" t="s">
        <v>95</v>
      </c>
      <c r="L871" s="24"/>
      <c r="M871" s="4"/>
      <c r="N871" s="4" t="s">
        <v>1467</v>
      </c>
    </row>
    <row r="872" spans="1:14">
      <c r="A872" s="4" t="s">
        <v>2855</v>
      </c>
      <c r="B872" s="4" t="s">
        <v>2856</v>
      </c>
      <c r="C872" s="4" t="s">
        <v>81</v>
      </c>
      <c r="D872" s="4" t="s">
        <v>69</v>
      </c>
      <c r="E872" s="4" t="s">
        <v>231</v>
      </c>
      <c r="F872" s="4" t="s">
        <v>1596</v>
      </c>
      <c r="G872" s="22">
        <v>1800</v>
      </c>
      <c r="H872" s="24"/>
      <c r="I872" s="24"/>
      <c r="J872" s="24"/>
      <c r="K872" s="4" t="s">
        <v>95</v>
      </c>
      <c r="L872" s="24"/>
      <c r="M872" s="4"/>
      <c r="N872" s="4" t="s">
        <v>2417</v>
      </c>
    </row>
    <row r="873" spans="1:14">
      <c r="A873" s="4" t="s">
        <v>2857</v>
      </c>
      <c r="B873" s="4" t="s">
        <v>2858</v>
      </c>
      <c r="C873" s="4" t="s">
        <v>120</v>
      </c>
      <c r="D873" s="4" t="s">
        <v>65</v>
      </c>
      <c r="E873" s="4" t="s">
        <v>231</v>
      </c>
      <c r="F873" s="4" t="s">
        <v>1596</v>
      </c>
      <c r="G873" s="22">
        <v>1750</v>
      </c>
      <c r="H873" s="21">
        <v>6250</v>
      </c>
      <c r="I873" s="22">
        <v>0.28</v>
      </c>
      <c r="J873" s="24"/>
      <c r="K873" s="4" t="s">
        <v>95</v>
      </c>
      <c r="L873" s="24"/>
      <c r="M873" s="4"/>
      <c r="N873" s="4" t="s">
        <v>1479</v>
      </c>
    </row>
    <row r="874" spans="1:14">
      <c r="A874" s="4" t="s">
        <v>2859</v>
      </c>
      <c r="B874" s="4" t="s">
        <v>2860</v>
      </c>
      <c r="C874" s="4" t="s">
        <v>797</v>
      </c>
      <c r="D874" s="4" t="s">
        <v>69</v>
      </c>
      <c r="E874" s="4" t="s">
        <v>231</v>
      </c>
      <c r="F874" s="4" t="s">
        <v>1596</v>
      </c>
      <c r="G874" s="22">
        <v>1700</v>
      </c>
      <c r="H874" s="21">
        <v>0</v>
      </c>
      <c r="I874" s="22" t="e">
        <f>1/0</f>
        <v>#DIV/0!</v>
      </c>
      <c r="J874" s="21">
        <v>1974</v>
      </c>
      <c r="K874" s="4" t="s">
        <v>95</v>
      </c>
      <c r="L874" s="24"/>
      <c r="M874" s="4"/>
      <c r="N874" s="4" t="s">
        <v>1475</v>
      </c>
    </row>
    <row r="875" spans="1:14">
      <c r="A875" s="4" t="s">
        <v>2861</v>
      </c>
      <c r="B875" s="4" t="s">
        <v>2185</v>
      </c>
      <c r="C875" s="4" t="s">
        <v>79</v>
      </c>
      <c r="D875" s="4" t="s">
        <v>65</v>
      </c>
      <c r="E875" s="4" t="s">
        <v>231</v>
      </c>
      <c r="F875" s="4" t="s">
        <v>1596</v>
      </c>
      <c r="G875" s="22">
        <v>1700</v>
      </c>
      <c r="H875" s="21">
        <v>12059</v>
      </c>
      <c r="I875" s="22">
        <v>0.1409735467285844</v>
      </c>
      <c r="J875" s="24"/>
      <c r="K875" s="4" t="s">
        <v>95</v>
      </c>
      <c r="L875" s="24"/>
      <c r="M875" s="4"/>
      <c r="N875" s="4" t="s">
        <v>1760</v>
      </c>
    </row>
    <row r="876" spans="1:14">
      <c r="A876" s="4" t="s">
        <v>2862</v>
      </c>
      <c r="B876" s="4" t="s">
        <v>2863</v>
      </c>
      <c r="C876" s="4" t="s">
        <v>113</v>
      </c>
      <c r="D876" s="4" t="s">
        <v>70</v>
      </c>
      <c r="E876" s="4" t="s">
        <v>231</v>
      </c>
      <c r="F876" s="4" t="s">
        <v>1596</v>
      </c>
      <c r="G876" s="22">
        <v>1700</v>
      </c>
      <c r="H876" s="21">
        <v>22945</v>
      </c>
      <c r="I876" s="22">
        <v>0.07409021573327522</v>
      </c>
      <c r="J876" s="24"/>
      <c r="K876" s="4" t="s">
        <v>95</v>
      </c>
      <c r="L876" s="24"/>
      <c r="M876" s="4"/>
      <c r="N876" s="4" t="s">
        <v>1467</v>
      </c>
    </row>
    <row r="877" spans="1:14">
      <c r="A877" s="4" t="s">
        <v>2864</v>
      </c>
      <c r="B877" s="4" t="s">
        <v>2865</v>
      </c>
      <c r="C877" s="4" t="s">
        <v>79</v>
      </c>
      <c r="D877" s="4" t="s">
        <v>68</v>
      </c>
      <c r="E877" s="4" t="s">
        <v>231</v>
      </c>
      <c r="F877" s="4" t="s">
        <v>1596</v>
      </c>
      <c r="G877" s="22">
        <v>1650</v>
      </c>
      <c r="H877" s="21">
        <v>19998</v>
      </c>
      <c r="I877" s="22">
        <v>0.08250825082508251</v>
      </c>
      <c r="J877" s="21">
        <v>1974</v>
      </c>
      <c r="K877" s="4" t="s">
        <v>95</v>
      </c>
      <c r="L877" s="24"/>
      <c r="M877" s="4"/>
      <c r="N877" s="4" t="s">
        <v>1471</v>
      </c>
    </row>
    <row r="878" spans="1:14">
      <c r="A878" s="4" t="s">
        <v>2866</v>
      </c>
      <c r="B878" s="4" t="s">
        <v>2867</v>
      </c>
      <c r="C878" s="4" t="s">
        <v>469</v>
      </c>
      <c r="D878" s="4" t="s">
        <v>70</v>
      </c>
      <c r="E878" s="4" t="s">
        <v>231</v>
      </c>
      <c r="F878" s="4" t="s">
        <v>1596</v>
      </c>
      <c r="G878" s="22">
        <v>1600</v>
      </c>
      <c r="H878" s="21">
        <v>9047</v>
      </c>
      <c r="I878" s="22">
        <v>0.176854205814082</v>
      </c>
      <c r="J878" s="21">
        <v>1951</v>
      </c>
      <c r="K878" s="4" t="s">
        <v>95</v>
      </c>
      <c r="L878" s="24"/>
      <c r="M878" s="4"/>
      <c r="N878" s="4" t="s">
        <v>1475</v>
      </c>
    </row>
    <row r="879" spans="1:14">
      <c r="A879" s="4" t="s">
        <v>2868</v>
      </c>
      <c r="B879" s="4" t="s">
        <v>2869</v>
      </c>
      <c r="C879" s="4" t="s">
        <v>111</v>
      </c>
      <c r="D879" s="4" t="s">
        <v>65</v>
      </c>
      <c r="E879" s="4" t="s">
        <v>231</v>
      </c>
      <c r="F879" s="4" t="s">
        <v>1596</v>
      </c>
      <c r="G879" s="22">
        <v>1600</v>
      </c>
      <c r="H879" s="24"/>
      <c r="I879" s="24"/>
      <c r="J879" s="24"/>
      <c r="K879" s="4" t="s">
        <v>95</v>
      </c>
      <c r="L879" s="24"/>
      <c r="M879" s="4"/>
      <c r="N879" s="24" t="s">
        <v>237</v>
      </c>
    </row>
    <row r="880" spans="1:14">
      <c r="A880" s="4" t="s">
        <v>2870</v>
      </c>
      <c r="B880" s="4" t="s">
        <v>2871</v>
      </c>
      <c r="C880" s="4" t="s">
        <v>79</v>
      </c>
      <c r="D880" s="4" t="s">
        <v>65</v>
      </c>
      <c r="E880" s="4" t="s">
        <v>231</v>
      </c>
      <c r="F880" s="4" t="s">
        <v>1596</v>
      </c>
      <c r="G880" s="22">
        <v>1600</v>
      </c>
      <c r="H880" s="21">
        <v>20310</v>
      </c>
      <c r="I880" s="22">
        <v>0.07877892663712457</v>
      </c>
      <c r="J880" s="24"/>
      <c r="K880" s="4" t="s">
        <v>95</v>
      </c>
      <c r="L880" s="24"/>
      <c r="M880" s="4"/>
      <c r="N880" s="4" t="s">
        <v>1475</v>
      </c>
    </row>
    <row r="881" spans="1:14">
      <c r="A881" s="4" t="s">
        <v>2872</v>
      </c>
      <c r="B881" s="4" t="s">
        <v>2860</v>
      </c>
      <c r="C881" s="4" t="s">
        <v>797</v>
      </c>
      <c r="D881" s="4" t="s">
        <v>68</v>
      </c>
      <c r="E881" s="4" t="s">
        <v>231</v>
      </c>
      <c r="F881" s="4" t="s">
        <v>1596</v>
      </c>
      <c r="G881" s="22">
        <v>1500</v>
      </c>
      <c r="H881" s="21">
        <v>0</v>
      </c>
      <c r="I881" s="22" t="e">
        <f>1/0</f>
        <v>#DIV/0!</v>
      </c>
      <c r="J881" s="21">
        <v>1974</v>
      </c>
      <c r="K881" s="4" t="s">
        <v>95</v>
      </c>
      <c r="L881" s="24"/>
      <c r="M881" s="4"/>
      <c r="N881" s="4" t="s">
        <v>1475</v>
      </c>
    </row>
    <row r="882" spans="1:14">
      <c r="A882" s="4" t="s">
        <v>2873</v>
      </c>
      <c r="B882" s="4" t="s">
        <v>2874</v>
      </c>
      <c r="C882" s="4" t="s">
        <v>1164</v>
      </c>
      <c r="D882" s="4" t="s">
        <v>74</v>
      </c>
      <c r="E882" s="4" t="s">
        <v>231</v>
      </c>
      <c r="F882" s="4" t="s">
        <v>1596</v>
      </c>
      <c r="G882" s="22">
        <v>1500</v>
      </c>
      <c r="H882" s="21">
        <v>9375</v>
      </c>
      <c r="I882" s="22">
        <v>0.16</v>
      </c>
      <c r="J882" s="21">
        <v>1951</v>
      </c>
      <c r="K882" s="4" t="s">
        <v>95</v>
      </c>
      <c r="L882" s="24"/>
      <c r="M882" s="4" t="s">
        <v>1542</v>
      </c>
      <c r="N882" s="4" t="s">
        <v>1473</v>
      </c>
    </row>
    <row r="883" spans="1:14">
      <c r="A883" s="4" t="s">
        <v>2875</v>
      </c>
      <c r="B883" s="4" t="s">
        <v>2185</v>
      </c>
      <c r="C883" s="4" t="s">
        <v>79</v>
      </c>
      <c r="D883" s="4" t="s">
        <v>65</v>
      </c>
      <c r="E883" s="4" t="s">
        <v>231</v>
      </c>
      <c r="F883" s="4" t="s">
        <v>1596</v>
      </c>
      <c r="G883" s="22">
        <v>1500</v>
      </c>
      <c r="H883" s="21">
        <v>12059</v>
      </c>
      <c r="I883" s="22">
        <v>0.1243884235840451</v>
      </c>
      <c r="J883" s="24"/>
      <c r="K883" s="4" t="s">
        <v>95</v>
      </c>
      <c r="L883" s="24"/>
      <c r="M883" s="4"/>
      <c r="N883" s="4" t="s">
        <v>1760</v>
      </c>
    </row>
    <row r="884" spans="1:14">
      <c r="A884" s="4" t="s">
        <v>2876</v>
      </c>
      <c r="B884" s="4" t="s">
        <v>2877</v>
      </c>
      <c r="C884" s="4" t="s">
        <v>81</v>
      </c>
      <c r="D884" s="4" t="s">
        <v>69</v>
      </c>
      <c r="E884" s="4" t="s">
        <v>231</v>
      </c>
      <c r="F884" s="4" t="s">
        <v>1596</v>
      </c>
      <c r="G884" s="22">
        <v>1500</v>
      </c>
      <c r="H884" s="21">
        <v>5050</v>
      </c>
      <c r="I884" s="22">
        <v>0.297029702970297</v>
      </c>
      <c r="J884" s="21">
        <v>1987</v>
      </c>
      <c r="K884" s="4" t="s">
        <v>95</v>
      </c>
      <c r="L884" s="24"/>
      <c r="M884" s="4"/>
      <c r="N884" s="4" t="s">
        <v>1479</v>
      </c>
    </row>
    <row r="885" spans="1:14">
      <c r="A885" s="4" t="s">
        <v>2878</v>
      </c>
      <c r="B885" s="4" t="s">
        <v>2879</v>
      </c>
      <c r="C885" s="4" t="s">
        <v>81</v>
      </c>
      <c r="D885" s="4" t="s">
        <v>69</v>
      </c>
      <c r="E885" s="4" t="s">
        <v>231</v>
      </c>
      <c r="F885" s="4" t="s">
        <v>1596</v>
      </c>
      <c r="G885" s="22">
        <v>1500</v>
      </c>
      <c r="H885" s="21">
        <v>5050</v>
      </c>
      <c r="I885" s="22">
        <v>0.297029702970297</v>
      </c>
      <c r="J885" s="21">
        <v>1987</v>
      </c>
      <c r="K885" s="4" t="s">
        <v>95</v>
      </c>
      <c r="L885" s="24"/>
      <c r="M885" s="4"/>
      <c r="N885" s="4" t="s">
        <v>1479</v>
      </c>
    </row>
    <row r="886" spans="1:14">
      <c r="A886" s="4" t="s">
        <v>2880</v>
      </c>
      <c r="B886" s="4" t="s">
        <v>2881</v>
      </c>
      <c r="C886" s="4" t="s">
        <v>108</v>
      </c>
      <c r="D886" s="4" t="s">
        <v>70</v>
      </c>
      <c r="E886" s="4" t="s">
        <v>231</v>
      </c>
      <c r="F886" s="4" t="s">
        <v>1596</v>
      </c>
      <c r="G886" s="22">
        <v>1495</v>
      </c>
      <c r="H886" s="21">
        <v>14742</v>
      </c>
      <c r="I886" s="22">
        <v>0.1014109347442681</v>
      </c>
      <c r="J886" s="24"/>
      <c r="K886" s="4" t="s">
        <v>95</v>
      </c>
      <c r="L886" s="24"/>
      <c r="M886" s="4"/>
      <c r="N886" s="4" t="s">
        <v>1475</v>
      </c>
    </row>
    <row r="887" spans="1:14">
      <c r="A887" s="4" t="s">
        <v>2882</v>
      </c>
      <c r="B887" s="4" t="s">
        <v>2883</v>
      </c>
      <c r="C887" s="4" t="s">
        <v>109</v>
      </c>
      <c r="D887" s="4" t="s">
        <v>65</v>
      </c>
      <c r="E887" s="4" t="s">
        <v>231</v>
      </c>
      <c r="F887" s="4" t="s">
        <v>1596</v>
      </c>
      <c r="G887" s="22">
        <v>1393</v>
      </c>
      <c r="H887" s="24"/>
      <c r="I887" s="24"/>
      <c r="J887" s="24"/>
      <c r="K887" s="4" t="s">
        <v>95</v>
      </c>
      <c r="L887" s="24"/>
      <c r="M887" s="4"/>
      <c r="N887" s="4" t="s">
        <v>2884</v>
      </c>
    </row>
    <row r="888" spans="1:14">
      <c r="A888" s="4" t="s">
        <v>2885</v>
      </c>
      <c r="B888" s="4" t="s">
        <v>1987</v>
      </c>
      <c r="C888" s="4" t="s">
        <v>246</v>
      </c>
      <c r="D888" s="4" t="s">
        <v>65</v>
      </c>
      <c r="E888" s="4" t="s">
        <v>231</v>
      </c>
      <c r="F888" s="4" t="s">
        <v>1596</v>
      </c>
      <c r="G888" s="22">
        <v>1300</v>
      </c>
      <c r="H888" s="24"/>
      <c r="I888" s="24"/>
      <c r="J888" s="21">
        <v>1964</v>
      </c>
      <c r="K888" s="4" t="s">
        <v>95</v>
      </c>
      <c r="L888" s="24"/>
      <c r="M888" s="4"/>
      <c r="N888" s="4" t="s">
        <v>1475</v>
      </c>
    </row>
    <row r="889" spans="1:14">
      <c r="A889" s="4" t="s">
        <v>2886</v>
      </c>
      <c r="B889" s="4" t="s">
        <v>2887</v>
      </c>
      <c r="C889" s="4" t="s">
        <v>246</v>
      </c>
      <c r="D889" s="4" t="s">
        <v>65</v>
      </c>
      <c r="E889" s="4" t="s">
        <v>231</v>
      </c>
      <c r="F889" s="4" t="s">
        <v>1596</v>
      </c>
      <c r="G889" s="22">
        <v>1270</v>
      </c>
      <c r="H889" s="24"/>
      <c r="I889" s="24"/>
      <c r="J889" s="21">
        <v>1964</v>
      </c>
      <c r="K889" s="4" t="s">
        <v>95</v>
      </c>
      <c r="L889" s="24"/>
      <c r="M889" s="4"/>
      <c r="N889" s="4" t="s">
        <v>1475</v>
      </c>
    </row>
    <row r="890" spans="1:14">
      <c r="A890" s="4" t="s">
        <v>2888</v>
      </c>
      <c r="B890" s="4" t="s">
        <v>1994</v>
      </c>
      <c r="C890" s="4" t="s">
        <v>109</v>
      </c>
      <c r="D890" s="4" t="s">
        <v>65</v>
      </c>
      <c r="E890" s="4" t="s">
        <v>231</v>
      </c>
      <c r="F890" s="4" t="s">
        <v>1596</v>
      </c>
      <c r="G890" s="22">
        <v>1250</v>
      </c>
      <c r="H890" s="21">
        <v>1000</v>
      </c>
      <c r="I890" s="22">
        <v>1.25</v>
      </c>
      <c r="J890" s="24"/>
      <c r="K890" s="4" t="s">
        <v>95</v>
      </c>
      <c r="L890" s="22">
        <v>15</v>
      </c>
      <c r="M890" s="4"/>
      <c r="N890" s="4" t="s">
        <v>1467</v>
      </c>
    </row>
    <row r="891" spans="1:14">
      <c r="A891" s="4" t="s">
        <v>2889</v>
      </c>
      <c r="B891" s="4" t="s">
        <v>2890</v>
      </c>
      <c r="C891" s="4" t="s">
        <v>109</v>
      </c>
      <c r="D891" s="4" t="s">
        <v>65</v>
      </c>
      <c r="E891" s="4" t="s">
        <v>231</v>
      </c>
      <c r="F891" s="4" t="s">
        <v>1596</v>
      </c>
      <c r="G891" s="22">
        <v>1250</v>
      </c>
      <c r="H891" s="21">
        <v>1000</v>
      </c>
      <c r="I891" s="22">
        <v>1.25</v>
      </c>
      <c r="J891" s="24"/>
      <c r="K891" s="4" t="s">
        <v>95</v>
      </c>
      <c r="L891" s="22">
        <v>15</v>
      </c>
      <c r="M891" s="4"/>
      <c r="N891" s="4" t="s">
        <v>1467</v>
      </c>
    </row>
    <row r="892" spans="1:14">
      <c r="A892" s="4" t="s">
        <v>2891</v>
      </c>
      <c r="B892" s="4" t="s">
        <v>2807</v>
      </c>
      <c r="C892" s="4" t="s">
        <v>78</v>
      </c>
      <c r="D892" s="4" t="s">
        <v>70</v>
      </c>
      <c r="E892" s="4" t="s">
        <v>231</v>
      </c>
      <c r="F892" s="4" t="s">
        <v>1596</v>
      </c>
      <c r="G892" s="22">
        <v>1200</v>
      </c>
      <c r="H892" s="21">
        <v>10000</v>
      </c>
      <c r="I892" s="22">
        <v>0.12</v>
      </c>
      <c r="J892" s="21">
        <v>1951</v>
      </c>
      <c r="K892" s="4" t="s">
        <v>95</v>
      </c>
      <c r="L892" s="24"/>
      <c r="M892" s="4"/>
      <c r="N892" s="4" t="s">
        <v>1467</v>
      </c>
    </row>
    <row r="893" spans="1:14">
      <c r="A893" s="4" t="s">
        <v>2892</v>
      </c>
      <c r="B893" s="4" t="s">
        <v>2893</v>
      </c>
      <c r="C893" s="4" t="s">
        <v>76</v>
      </c>
      <c r="D893" s="4" t="s">
        <v>65</v>
      </c>
      <c r="E893" s="4" t="s">
        <v>231</v>
      </c>
      <c r="F893" s="4" t="s">
        <v>1596</v>
      </c>
      <c r="G893" s="22">
        <v>1195</v>
      </c>
      <c r="H893" s="21">
        <v>11886</v>
      </c>
      <c r="I893" s="22">
        <v>0.1005384485949857</v>
      </c>
      <c r="J893" s="24"/>
      <c r="K893" s="4" t="s">
        <v>95</v>
      </c>
      <c r="L893" s="24"/>
      <c r="M893" s="4"/>
      <c r="N893" s="4" t="s">
        <v>1475</v>
      </c>
    </row>
    <row r="894" spans="1:14">
      <c r="A894" s="4" t="s">
        <v>2894</v>
      </c>
      <c r="B894" s="4" t="s">
        <v>2895</v>
      </c>
      <c r="C894" s="4" t="s">
        <v>79</v>
      </c>
      <c r="D894" s="4" t="s">
        <v>65</v>
      </c>
      <c r="E894" s="4" t="s">
        <v>231</v>
      </c>
      <c r="F894" s="4" t="s">
        <v>1596</v>
      </c>
      <c r="G894" s="22">
        <v>1100</v>
      </c>
      <c r="H894" s="21">
        <v>11662</v>
      </c>
      <c r="I894" s="22">
        <v>0.09432344366317956</v>
      </c>
      <c r="J894" s="24"/>
      <c r="K894" s="4" t="s">
        <v>95</v>
      </c>
      <c r="L894" s="24"/>
      <c r="M894" s="4"/>
      <c r="N894" s="4" t="s">
        <v>1469</v>
      </c>
    </row>
    <row r="895" spans="1:14">
      <c r="A895" s="4" t="s">
        <v>2896</v>
      </c>
      <c r="B895" s="4" t="s">
        <v>2897</v>
      </c>
      <c r="C895" s="4" t="s">
        <v>83</v>
      </c>
      <c r="D895" s="4" t="s">
        <v>69</v>
      </c>
      <c r="E895" s="4" t="s">
        <v>231</v>
      </c>
      <c r="F895" s="4" t="s">
        <v>1596</v>
      </c>
      <c r="G895" s="22">
        <v>1050</v>
      </c>
      <c r="H895" s="21">
        <v>12518</v>
      </c>
      <c r="I895" s="22">
        <v>0.08387921393193801</v>
      </c>
      <c r="J895" s="21">
        <v>1955</v>
      </c>
      <c r="K895" s="4" t="s">
        <v>95</v>
      </c>
      <c r="L895" s="24"/>
      <c r="M895" s="4"/>
      <c r="N895" s="4" t="s">
        <v>1510</v>
      </c>
    </row>
    <row r="896" spans="1:14">
      <c r="A896" s="4" t="s">
        <v>2898</v>
      </c>
      <c r="B896" s="4" t="s">
        <v>373</v>
      </c>
      <c r="C896" s="4" t="s">
        <v>80</v>
      </c>
      <c r="D896" s="4" t="s">
        <v>69</v>
      </c>
      <c r="E896" s="4" t="s">
        <v>231</v>
      </c>
      <c r="F896" s="4" t="s">
        <v>1596</v>
      </c>
      <c r="G896" s="22">
        <v>950</v>
      </c>
      <c r="H896" s="21">
        <v>12363</v>
      </c>
      <c r="I896" s="22">
        <v>0.07684219040685918</v>
      </c>
      <c r="J896" s="24"/>
      <c r="K896" s="4" t="s">
        <v>95</v>
      </c>
      <c r="L896" s="24"/>
      <c r="M896" s="4"/>
      <c r="N896" s="4" t="s">
        <v>1562</v>
      </c>
    </row>
    <row r="897" spans="1:14">
      <c r="A897" s="4" t="s">
        <v>2899</v>
      </c>
      <c r="B897" s="4" t="s">
        <v>2900</v>
      </c>
      <c r="C897" s="4" t="s">
        <v>109</v>
      </c>
      <c r="D897" s="4" t="s">
        <v>69</v>
      </c>
      <c r="E897" s="4" t="s">
        <v>231</v>
      </c>
      <c r="F897" s="4" t="s">
        <v>1596</v>
      </c>
      <c r="G897" s="22">
        <v>930</v>
      </c>
      <c r="H897" s="21">
        <v>2000</v>
      </c>
      <c r="I897" s="22">
        <v>0.465</v>
      </c>
      <c r="J897" s="21">
        <v>1956</v>
      </c>
      <c r="K897" s="4" t="s">
        <v>95</v>
      </c>
      <c r="L897" s="22">
        <v>5.58</v>
      </c>
      <c r="M897" s="4"/>
      <c r="N897" s="24" t="s">
        <v>237</v>
      </c>
    </row>
    <row r="898" spans="1:14">
      <c r="A898" s="4" t="s">
        <v>2901</v>
      </c>
      <c r="B898" s="4" t="s">
        <v>1679</v>
      </c>
      <c r="C898" s="4" t="s">
        <v>80</v>
      </c>
      <c r="D898" s="4" t="s">
        <v>69</v>
      </c>
      <c r="E898" s="4" t="s">
        <v>231</v>
      </c>
      <c r="F898" s="4" t="s">
        <v>1596</v>
      </c>
      <c r="G898" s="22">
        <v>840</v>
      </c>
      <c r="H898" s="21">
        <v>13664</v>
      </c>
      <c r="I898" s="22">
        <v>0.06147540983606557</v>
      </c>
      <c r="J898" s="21">
        <v>1975</v>
      </c>
      <c r="K898" s="4" t="s">
        <v>95</v>
      </c>
      <c r="L898" s="24"/>
      <c r="M898" s="4"/>
      <c r="N898" s="4" t="s">
        <v>1550</v>
      </c>
    </row>
    <row r="899" spans="1:14">
      <c r="A899" s="4" t="s">
        <v>2902</v>
      </c>
      <c r="B899" s="4" t="s">
        <v>307</v>
      </c>
      <c r="C899" s="4" t="s">
        <v>2903</v>
      </c>
      <c r="D899" s="4" t="s">
        <v>65</v>
      </c>
      <c r="E899" s="4" t="s">
        <v>231</v>
      </c>
      <c r="F899" s="4" t="s">
        <v>1596</v>
      </c>
      <c r="G899" s="22">
        <v>750</v>
      </c>
      <c r="H899" s="21">
        <v>45568</v>
      </c>
      <c r="I899" s="22">
        <v>0.01645891853932584</v>
      </c>
      <c r="J899" s="24"/>
      <c r="K899" s="4" t="s">
        <v>95</v>
      </c>
      <c r="L899" s="24"/>
      <c r="M899" s="4"/>
      <c r="N899" s="4" t="s">
        <v>1469</v>
      </c>
    </row>
    <row r="900" spans="1:14">
      <c r="A900" s="4" t="s">
        <v>2904</v>
      </c>
      <c r="B900" s="4" t="s">
        <v>1998</v>
      </c>
      <c r="C900" s="4" t="s">
        <v>108</v>
      </c>
      <c r="D900" s="4" t="s">
        <v>69</v>
      </c>
      <c r="E900" s="4" t="s">
        <v>231</v>
      </c>
      <c r="F900" s="4" t="s">
        <v>1596</v>
      </c>
      <c r="G900" s="22">
        <v>700</v>
      </c>
      <c r="H900" s="21">
        <v>15000</v>
      </c>
      <c r="I900" s="22">
        <v>0.04666666666666667</v>
      </c>
      <c r="J900" s="24"/>
      <c r="K900" s="4" t="s">
        <v>95</v>
      </c>
      <c r="L900" s="24"/>
      <c r="M900" s="4"/>
      <c r="N900" s="24" t="s">
        <v>237</v>
      </c>
    </row>
    <row r="901" spans="1:14">
      <c r="A901" s="4" t="s">
        <v>2905</v>
      </c>
      <c r="B901" s="4" t="s">
        <v>2860</v>
      </c>
      <c r="C901" s="4" t="s">
        <v>797</v>
      </c>
      <c r="D901" s="4" t="s">
        <v>69</v>
      </c>
      <c r="E901" s="4" t="s">
        <v>231</v>
      </c>
      <c r="F901" s="4" t="s">
        <v>1596</v>
      </c>
      <c r="G901" s="22">
        <v>600</v>
      </c>
      <c r="H901" s="21">
        <v>0</v>
      </c>
      <c r="I901" s="22" t="e">
        <f>1/0</f>
        <v>#DIV/0!</v>
      </c>
      <c r="J901" s="21">
        <v>1974</v>
      </c>
      <c r="K901" s="4" t="s">
        <v>95</v>
      </c>
      <c r="L901" s="24"/>
      <c r="M901" s="4"/>
      <c r="N901" s="4" t="s">
        <v>1475</v>
      </c>
    </row>
    <row r="902" spans="1:14">
      <c r="A902" s="4" t="s">
        <v>2906</v>
      </c>
      <c r="B902" s="4" t="s">
        <v>2907</v>
      </c>
      <c r="C902" s="4" t="s">
        <v>59</v>
      </c>
      <c r="D902" s="4" t="s">
        <v>65</v>
      </c>
      <c r="E902" s="4" t="s">
        <v>231</v>
      </c>
      <c r="F902" s="4" t="s">
        <v>1596</v>
      </c>
      <c r="G902" s="22">
        <v>77</v>
      </c>
      <c r="H902" s="24"/>
      <c r="I902" s="24"/>
      <c r="J902" s="21">
        <v>1976</v>
      </c>
      <c r="K902" s="4" t="s">
        <v>95</v>
      </c>
      <c r="L902" s="24"/>
      <c r="M902" s="4" t="s">
        <v>1542</v>
      </c>
      <c r="N902" s="4" t="s">
        <v>2908</v>
      </c>
    </row>
    <row r="903" spans="1:14">
      <c r="A903" s="4" t="s">
        <v>2909</v>
      </c>
      <c r="B903" s="4" t="s">
        <v>2910</v>
      </c>
      <c r="C903" s="4" t="s">
        <v>120</v>
      </c>
      <c r="D903" s="4" t="s">
        <v>65</v>
      </c>
      <c r="E903" s="4" t="s">
        <v>231</v>
      </c>
      <c r="F903" s="4" t="s">
        <v>1596</v>
      </c>
      <c r="G903" s="22">
        <v>60</v>
      </c>
      <c r="H903" s="21">
        <v>3435</v>
      </c>
      <c r="I903" s="22">
        <v>0.01746724890829694</v>
      </c>
      <c r="J903" s="24"/>
      <c r="K903" s="4" t="s">
        <v>95</v>
      </c>
      <c r="L903" s="22">
        <v>60</v>
      </c>
      <c r="M903" s="4"/>
      <c r="N903" s="4" t="s">
        <v>1462</v>
      </c>
    </row>
    <row r="904" spans="1:14">
      <c r="A904" s="4" t="s">
        <v>2911</v>
      </c>
      <c r="B904" s="4" t="s">
        <v>2912</v>
      </c>
      <c r="C904" s="4" t="s">
        <v>110</v>
      </c>
      <c r="D904" s="4" t="s">
        <v>70</v>
      </c>
      <c r="E904" s="4" t="s">
        <v>231</v>
      </c>
      <c r="F904" s="4" t="s">
        <v>1596</v>
      </c>
      <c r="G904" s="22">
        <v>55</v>
      </c>
      <c r="H904" s="21">
        <v>229140</v>
      </c>
      <c r="I904" s="22">
        <v>0.0002400279305228245</v>
      </c>
      <c r="J904" s="24"/>
      <c r="K904" s="4" t="s">
        <v>95</v>
      </c>
      <c r="L904" s="22">
        <v>55</v>
      </c>
      <c r="M904" s="4"/>
      <c r="N904" s="4" t="s">
        <v>1479</v>
      </c>
    </row>
    <row r="905" spans="1:14">
      <c r="A905" s="4" t="s">
        <v>2913</v>
      </c>
      <c r="B905" s="4" t="s">
        <v>2914</v>
      </c>
      <c r="C905" s="4" t="s">
        <v>115</v>
      </c>
      <c r="D905" s="4" t="s">
        <v>70</v>
      </c>
      <c r="E905" s="4" t="s">
        <v>231</v>
      </c>
      <c r="F905" s="4" t="s">
        <v>1596</v>
      </c>
      <c r="G905" s="22">
        <v>55</v>
      </c>
      <c r="H905" s="21">
        <v>77828</v>
      </c>
      <c r="I905" s="22">
        <v>0.0007066865395487486</v>
      </c>
      <c r="J905" s="24"/>
      <c r="K905" s="4" t="s">
        <v>95</v>
      </c>
      <c r="L905" s="22">
        <v>55</v>
      </c>
      <c r="M905" s="4"/>
      <c r="N905" s="24" t="s">
        <v>237</v>
      </c>
    </row>
    <row r="906" spans="1:14">
      <c r="A906" s="4" t="s">
        <v>2915</v>
      </c>
      <c r="B906" s="4" t="s">
        <v>2910</v>
      </c>
      <c r="C906" s="4" t="s">
        <v>120</v>
      </c>
      <c r="D906" s="4" t="s">
        <v>65</v>
      </c>
      <c r="E906" s="4" t="s">
        <v>231</v>
      </c>
      <c r="F906" s="4" t="s">
        <v>1596</v>
      </c>
      <c r="G906" s="22">
        <v>55</v>
      </c>
      <c r="H906" s="21">
        <v>3435</v>
      </c>
      <c r="I906" s="22">
        <v>0.01601164483260553</v>
      </c>
      <c r="J906" s="24"/>
      <c r="K906" s="4" t="s">
        <v>95</v>
      </c>
      <c r="L906" s="22">
        <v>55</v>
      </c>
      <c r="M906" s="4"/>
      <c r="N906" s="24" t="s">
        <v>237</v>
      </c>
    </row>
    <row r="907" spans="1:14">
      <c r="A907" s="4" t="s">
        <v>2916</v>
      </c>
      <c r="B907" s="4" t="s">
        <v>2917</v>
      </c>
      <c r="C907" s="4" t="s">
        <v>115</v>
      </c>
      <c r="D907" s="4" t="s">
        <v>65</v>
      </c>
      <c r="E907" s="4" t="s">
        <v>231</v>
      </c>
      <c r="F907" s="4" t="s">
        <v>1596</v>
      </c>
      <c r="G907" s="22">
        <v>50</v>
      </c>
      <c r="H907" s="21">
        <v>48969</v>
      </c>
      <c r="I907" s="22">
        <v>0.001021054136290306</v>
      </c>
      <c r="J907" s="24"/>
      <c r="K907" s="4" t="s">
        <v>95</v>
      </c>
      <c r="L907" s="22">
        <v>50</v>
      </c>
      <c r="M907" s="4"/>
      <c r="N907" s="4" t="s">
        <v>2012</v>
      </c>
    </row>
    <row r="908" spans="1:14">
      <c r="A908" s="4" t="s">
        <v>2918</v>
      </c>
      <c r="B908" s="4" t="s">
        <v>2919</v>
      </c>
      <c r="C908" s="4" t="s">
        <v>120</v>
      </c>
      <c r="D908" s="4" t="s">
        <v>65</v>
      </c>
      <c r="E908" s="4" t="s">
        <v>231</v>
      </c>
      <c r="F908" s="4" t="s">
        <v>1596</v>
      </c>
      <c r="G908" s="22">
        <v>45</v>
      </c>
      <c r="H908" s="24"/>
      <c r="I908" s="24"/>
      <c r="J908" s="24"/>
      <c r="K908" s="4" t="s">
        <v>95</v>
      </c>
      <c r="L908" s="24"/>
      <c r="M908" s="4"/>
      <c r="N908" s="24" t="s">
        <v>237</v>
      </c>
    </row>
    <row r="909" spans="1:14">
      <c r="A909" s="4" t="s">
        <v>2920</v>
      </c>
      <c r="B909" s="4" t="s">
        <v>2921</v>
      </c>
      <c r="C909" s="4" t="s">
        <v>80</v>
      </c>
      <c r="D909" s="4" t="s">
        <v>65</v>
      </c>
      <c r="E909" s="4" t="s">
        <v>231</v>
      </c>
      <c r="F909" s="4" t="s">
        <v>1596</v>
      </c>
      <c r="G909" s="22">
        <v>43</v>
      </c>
      <c r="H909" s="24"/>
      <c r="I909" s="24"/>
      <c r="J909" s="24"/>
      <c r="K909" s="4" t="s">
        <v>95</v>
      </c>
      <c r="L909" s="24"/>
      <c r="M909" s="4"/>
      <c r="N909" s="24" t="s">
        <v>237</v>
      </c>
    </row>
    <row r="910" spans="1:14">
      <c r="A910" s="4" t="s">
        <v>2922</v>
      </c>
      <c r="B910" s="4" t="s">
        <v>2923</v>
      </c>
      <c r="C910" s="4" t="s">
        <v>112</v>
      </c>
      <c r="D910" s="4" t="s">
        <v>70</v>
      </c>
      <c r="E910" s="4" t="s">
        <v>231</v>
      </c>
      <c r="F910" s="4" t="s">
        <v>1596</v>
      </c>
      <c r="G910" s="22">
        <v>40</v>
      </c>
      <c r="H910" s="24"/>
      <c r="I910" s="24"/>
      <c r="J910" s="24"/>
      <c r="K910" s="4" t="s">
        <v>95</v>
      </c>
      <c r="L910" s="24"/>
      <c r="M910" s="4"/>
      <c r="N910" s="24" t="s">
        <v>237</v>
      </c>
    </row>
    <row r="911" spans="1:14">
      <c r="A911" s="4" t="s">
        <v>2924</v>
      </c>
      <c r="B911" s="4" t="s">
        <v>2925</v>
      </c>
      <c r="C911" s="4" t="s">
        <v>79</v>
      </c>
      <c r="D911" s="4" t="s">
        <v>70</v>
      </c>
      <c r="E911" s="4" t="s">
        <v>231</v>
      </c>
      <c r="F911" s="4" t="s">
        <v>1596</v>
      </c>
      <c r="G911" s="22">
        <v>40</v>
      </c>
      <c r="H911" s="21">
        <v>14491</v>
      </c>
      <c r="I911" s="22">
        <v>0.00276033400041405</v>
      </c>
      <c r="J911" s="24"/>
      <c r="K911" s="4" t="s">
        <v>95</v>
      </c>
      <c r="L911" s="22">
        <v>40</v>
      </c>
      <c r="M911" s="4"/>
      <c r="N911" s="4" t="s">
        <v>1475</v>
      </c>
    </row>
    <row r="912" spans="1:14">
      <c r="A912" s="4" t="s">
        <v>2926</v>
      </c>
      <c r="B912" s="4" t="s">
        <v>2927</v>
      </c>
      <c r="C912" s="4" t="s">
        <v>78</v>
      </c>
      <c r="D912" s="4" t="s">
        <v>65</v>
      </c>
      <c r="E912" s="4" t="s">
        <v>231</v>
      </c>
      <c r="F912" s="4" t="s">
        <v>1596</v>
      </c>
      <c r="G912" s="22">
        <v>40</v>
      </c>
      <c r="H912" s="21">
        <v>14491</v>
      </c>
      <c r="I912" s="22">
        <v>0.00276033400041405</v>
      </c>
      <c r="J912" s="24"/>
      <c r="K912" s="4" t="s">
        <v>95</v>
      </c>
      <c r="L912" s="22">
        <v>40</v>
      </c>
      <c r="M912" s="4"/>
      <c r="N912" s="4" t="s">
        <v>1475</v>
      </c>
    </row>
    <row r="913" spans="1:14">
      <c r="A913" s="4" t="s">
        <v>2928</v>
      </c>
      <c r="B913" s="4" t="s">
        <v>2929</v>
      </c>
      <c r="C913" s="4" t="s">
        <v>83</v>
      </c>
      <c r="D913" s="4" t="s">
        <v>65</v>
      </c>
      <c r="E913" s="4" t="s">
        <v>231</v>
      </c>
      <c r="F913" s="4" t="s">
        <v>1596</v>
      </c>
      <c r="G913" s="22">
        <v>40</v>
      </c>
      <c r="H913" s="21">
        <v>18349</v>
      </c>
      <c r="I913" s="22">
        <v>0.002179955310916126</v>
      </c>
      <c r="J913" s="24"/>
      <c r="K913" s="4" t="s">
        <v>95</v>
      </c>
      <c r="L913" s="22">
        <v>40</v>
      </c>
      <c r="M913" s="4"/>
      <c r="N913" s="24" t="s">
        <v>237</v>
      </c>
    </row>
    <row r="914" spans="1:14">
      <c r="A914" s="4" t="s">
        <v>2930</v>
      </c>
      <c r="B914" s="4" t="s">
        <v>2931</v>
      </c>
      <c r="C914" s="4" t="s">
        <v>118</v>
      </c>
      <c r="D914" s="4" t="s">
        <v>70</v>
      </c>
      <c r="E914" s="4" t="s">
        <v>231</v>
      </c>
      <c r="F914" s="4" t="s">
        <v>1596</v>
      </c>
      <c r="G914" s="22">
        <v>40</v>
      </c>
      <c r="H914" s="21">
        <v>35008</v>
      </c>
      <c r="I914" s="22">
        <v>0.001142595978062157</v>
      </c>
      <c r="J914" s="24"/>
      <c r="K914" s="4" t="s">
        <v>95</v>
      </c>
      <c r="L914" s="22">
        <v>40</v>
      </c>
      <c r="M914" s="4"/>
      <c r="N914" s="4" t="s">
        <v>1469</v>
      </c>
    </row>
    <row r="915" spans="1:14">
      <c r="A915" s="4" t="s">
        <v>2932</v>
      </c>
      <c r="B915" s="4" t="s">
        <v>359</v>
      </c>
      <c r="C915" s="4" t="s">
        <v>109</v>
      </c>
      <c r="D915" s="4" t="s">
        <v>65</v>
      </c>
      <c r="E915" s="4" t="s">
        <v>231</v>
      </c>
      <c r="F915" s="4" t="s">
        <v>1596</v>
      </c>
      <c r="G915" s="22">
        <v>38</v>
      </c>
      <c r="H915" s="21">
        <v>12398</v>
      </c>
      <c r="I915" s="22">
        <v>0.003065010485562188</v>
      </c>
      <c r="J915" s="24"/>
      <c r="K915" s="4" t="s">
        <v>95</v>
      </c>
      <c r="L915" s="22">
        <v>38</v>
      </c>
      <c r="M915" s="4"/>
      <c r="N915" s="4" t="s">
        <v>1467</v>
      </c>
    </row>
    <row r="916" spans="1:14">
      <c r="A916" s="4" t="s">
        <v>2933</v>
      </c>
      <c r="B916" s="4" t="s">
        <v>2934</v>
      </c>
      <c r="C916" s="4" t="s">
        <v>78</v>
      </c>
      <c r="D916" s="4" t="s">
        <v>65</v>
      </c>
      <c r="E916" s="4" t="s">
        <v>231</v>
      </c>
      <c r="F916" s="4" t="s">
        <v>1596</v>
      </c>
      <c r="G916" s="22">
        <v>38</v>
      </c>
      <c r="H916" s="21">
        <v>11743</v>
      </c>
      <c r="I916" s="22">
        <v>0.003235970365324023</v>
      </c>
      <c r="J916" s="24"/>
      <c r="K916" s="4" t="s">
        <v>95</v>
      </c>
      <c r="L916" s="22">
        <v>38</v>
      </c>
      <c r="M916" s="4"/>
      <c r="N916" s="4" t="s">
        <v>1550</v>
      </c>
    </row>
    <row r="917" spans="1:14">
      <c r="A917" s="4" t="s">
        <v>2935</v>
      </c>
      <c r="B917" s="4" t="s">
        <v>2936</v>
      </c>
      <c r="C917" s="4" t="s">
        <v>108</v>
      </c>
      <c r="D917" s="4" t="s">
        <v>70</v>
      </c>
      <c r="E917" s="4" t="s">
        <v>231</v>
      </c>
      <c r="F917" s="4" t="s">
        <v>1596</v>
      </c>
      <c r="G917" s="22">
        <v>35</v>
      </c>
      <c r="H917" s="21">
        <v>7505</v>
      </c>
      <c r="I917" s="22">
        <v>0.004663557628247834</v>
      </c>
      <c r="J917" s="21">
        <v>1963</v>
      </c>
      <c r="K917" s="4" t="s">
        <v>95</v>
      </c>
      <c r="L917" s="22">
        <v>35</v>
      </c>
      <c r="M917" s="4"/>
      <c r="N917" s="4" t="s">
        <v>1475</v>
      </c>
    </row>
    <row r="918" spans="1:14">
      <c r="A918" s="4" t="s">
        <v>2937</v>
      </c>
      <c r="B918" s="4" t="s">
        <v>2938</v>
      </c>
      <c r="C918" s="4" t="s">
        <v>109</v>
      </c>
      <c r="D918" s="4" t="s">
        <v>65</v>
      </c>
      <c r="E918" s="4" t="s">
        <v>231</v>
      </c>
      <c r="F918" s="4" t="s">
        <v>1596</v>
      </c>
      <c r="G918" s="22">
        <v>35</v>
      </c>
      <c r="H918" s="21">
        <v>10250</v>
      </c>
      <c r="I918" s="22">
        <v>0.003414634146341463</v>
      </c>
      <c r="J918" s="24"/>
      <c r="K918" s="4" t="s">
        <v>95</v>
      </c>
      <c r="L918" s="22">
        <v>35</v>
      </c>
      <c r="M918" s="4"/>
      <c r="N918" s="4" t="s">
        <v>2939</v>
      </c>
    </row>
    <row r="919" spans="1:14">
      <c r="A919" s="4" t="s">
        <v>2940</v>
      </c>
      <c r="B919" s="4" t="s">
        <v>2941</v>
      </c>
      <c r="C919" s="4" t="s">
        <v>111</v>
      </c>
      <c r="D919" s="4" t="s">
        <v>69</v>
      </c>
      <c r="E919" s="4" t="s">
        <v>231</v>
      </c>
      <c r="F919" s="4" t="s">
        <v>1596</v>
      </c>
      <c r="G919" s="22">
        <v>35</v>
      </c>
      <c r="H919" s="21">
        <v>245865</v>
      </c>
      <c r="I919" s="22">
        <v>0.0001423545441604132</v>
      </c>
      <c r="J919" s="21">
        <v>2005</v>
      </c>
      <c r="K919" s="4" t="s">
        <v>95</v>
      </c>
      <c r="L919" s="22">
        <v>35</v>
      </c>
      <c r="M919" s="4"/>
      <c r="N919" s="4" t="s">
        <v>2489</v>
      </c>
    </row>
    <row r="920" spans="1:14">
      <c r="A920" s="4" t="s">
        <v>2942</v>
      </c>
      <c r="B920" s="4" t="s">
        <v>2943</v>
      </c>
      <c r="C920" s="4" t="s">
        <v>111</v>
      </c>
      <c r="D920" s="4" t="s">
        <v>69</v>
      </c>
      <c r="E920" s="4" t="s">
        <v>231</v>
      </c>
      <c r="F920" s="4" t="s">
        <v>1596</v>
      </c>
      <c r="G920" s="22">
        <v>35</v>
      </c>
      <c r="H920" s="21">
        <v>245865</v>
      </c>
      <c r="I920" s="22">
        <v>0.0001423545441604132</v>
      </c>
      <c r="J920" s="21">
        <v>2005</v>
      </c>
      <c r="K920" s="4" t="s">
        <v>95</v>
      </c>
      <c r="L920" s="22">
        <v>35</v>
      </c>
      <c r="M920" s="4"/>
      <c r="N920" s="4" t="s">
        <v>2489</v>
      </c>
    </row>
    <row r="921" spans="1:14">
      <c r="A921" s="4" t="s">
        <v>2944</v>
      </c>
      <c r="B921" s="4" t="s">
        <v>2945</v>
      </c>
      <c r="C921" s="4" t="s">
        <v>111</v>
      </c>
      <c r="D921" s="4" t="s">
        <v>69</v>
      </c>
      <c r="E921" s="4" t="s">
        <v>231</v>
      </c>
      <c r="F921" s="4" t="s">
        <v>1596</v>
      </c>
      <c r="G921" s="22">
        <v>35</v>
      </c>
      <c r="H921" s="21">
        <v>245865</v>
      </c>
      <c r="I921" s="22">
        <v>0.0001423545441604132</v>
      </c>
      <c r="J921" s="21">
        <v>2005</v>
      </c>
      <c r="K921" s="4" t="s">
        <v>95</v>
      </c>
      <c r="L921" s="22">
        <v>35</v>
      </c>
      <c r="M921" s="4"/>
      <c r="N921" s="4" t="s">
        <v>2489</v>
      </c>
    </row>
    <row r="922" spans="1:14">
      <c r="A922" s="4" t="s">
        <v>2946</v>
      </c>
      <c r="B922" s="4" t="s">
        <v>2457</v>
      </c>
      <c r="C922" s="4" t="s">
        <v>120</v>
      </c>
      <c r="D922" s="4" t="s">
        <v>70</v>
      </c>
      <c r="E922" s="4" t="s">
        <v>231</v>
      </c>
      <c r="F922" s="4" t="s">
        <v>1596</v>
      </c>
      <c r="G922" s="22">
        <v>35</v>
      </c>
      <c r="H922" s="21">
        <v>13720</v>
      </c>
      <c r="I922" s="22">
        <v>0.002551020408163265</v>
      </c>
      <c r="J922" s="24"/>
      <c r="K922" s="4" t="s">
        <v>95</v>
      </c>
      <c r="L922" s="22">
        <v>35</v>
      </c>
      <c r="M922" s="4"/>
      <c r="N922" s="4" t="s">
        <v>2458</v>
      </c>
    </row>
    <row r="923" spans="1:14">
      <c r="A923" s="4" t="s">
        <v>2947</v>
      </c>
      <c r="B923" s="4" t="s">
        <v>2948</v>
      </c>
      <c r="C923" s="4" t="s">
        <v>110</v>
      </c>
      <c r="D923" s="4" t="s">
        <v>65</v>
      </c>
      <c r="E923" s="4" t="s">
        <v>231</v>
      </c>
      <c r="F923" s="4" t="s">
        <v>1596</v>
      </c>
      <c r="G923" s="22">
        <v>32</v>
      </c>
      <c r="H923" s="21">
        <v>6750</v>
      </c>
      <c r="I923" s="22">
        <v>0.004740740740740741</v>
      </c>
      <c r="J923" s="24"/>
      <c r="K923" s="4" t="s">
        <v>95</v>
      </c>
      <c r="L923" s="22">
        <v>32</v>
      </c>
      <c r="M923" s="4"/>
      <c r="N923" s="4" t="s">
        <v>1550</v>
      </c>
    </row>
    <row r="924" spans="1:14">
      <c r="A924" s="4" t="s">
        <v>2949</v>
      </c>
      <c r="B924" s="4" t="s">
        <v>2950</v>
      </c>
      <c r="C924" s="4" t="s">
        <v>2951</v>
      </c>
      <c r="D924" s="4" t="s">
        <v>65</v>
      </c>
      <c r="E924" s="4" t="s">
        <v>231</v>
      </c>
      <c r="F924" s="4" t="s">
        <v>1596</v>
      </c>
      <c r="G924" s="22">
        <v>32</v>
      </c>
      <c r="H924" s="24"/>
      <c r="I924" s="24"/>
      <c r="J924" s="24"/>
      <c r="K924" s="4" t="s">
        <v>95</v>
      </c>
      <c r="L924" s="24"/>
      <c r="M924" s="4"/>
      <c r="N924" s="24" t="s">
        <v>237</v>
      </c>
    </row>
    <row r="925" spans="1:14">
      <c r="A925" s="4" t="s">
        <v>2952</v>
      </c>
      <c r="B925" s="4" t="s">
        <v>2953</v>
      </c>
      <c r="C925" s="4" t="s">
        <v>118</v>
      </c>
      <c r="D925" s="4" t="s">
        <v>65</v>
      </c>
      <c r="E925" s="4" t="s">
        <v>231</v>
      </c>
      <c r="F925" s="4" t="s">
        <v>1596</v>
      </c>
      <c r="G925" s="22">
        <v>32</v>
      </c>
      <c r="H925" s="21">
        <v>6738</v>
      </c>
      <c r="I925" s="22">
        <v>0.004749183734045711</v>
      </c>
      <c r="J925" s="24"/>
      <c r="K925" s="4" t="s">
        <v>95</v>
      </c>
      <c r="L925" s="22">
        <v>32</v>
      </c>
      <c r="M925" s="4"/>
      <c r="N925" s="4" t="s">
        <v>1462</v>
      </c>
    </row>
    <row r="926" spans="1:14">
      <c r="A926" s="4" t="s">
        <v>2954</v>
      </c>
      <c r="B926" s="4" t="s">
        <v>2955</v>
      </c>
      <c r="C926" s="4" t="s">
        <v>797</v>
      </c>
      <c r="D926" s="4" t="s">
        <v>67</v>
      </c>
      <c r="E926" s="4" t="s">
        <v>231</v>
      </c>
      <c r="F926" s="4" t="s">
        <v>1596</v>
      </c>
      <c r="G926" s="22">
        <v>30</v>
      </c>
      <c r="H926" s="21">
        <v>38524</v>
      </c>
      <c r="I926" s="22">
        <v>0.0007787353338178797</v>
      </c>
      <c r="J926" s="21">
        <v>1987</v>
      </c>
      <c r="K926" s="4" t="s">
        <v>95</v>
      </c>
      <c r="L926" s="22">
        <v>30</v>
      </c>
      <c r="M926" s="4"/>
      <c r="N926" s="4" t="s">
        <v>1469</v>
      </c>
    </row>
    <row r="927" spans="1:14">
      <c r="A927" s="4" t="s">
        <v>2956</v>
      </c>
      <c r="B927" s="4" t="s">
        <v>2957</v>
      </c>
      <c r="C927" s="4" t="s">
        <v>246</v>
      </c>
      <c r="D927" s="4" t="s">
        <v>70</v>
      </c>
      <c r="E927" s="4" t="s">
        <v>231</v>
      </c>
      <c r="F927" s="4" t="s">
        <v>1596</v>
      </c>
      <c r="G927" s="22">
        <v>30</v>
      </c>
      <c r="H927" s="21">
        <v>250328</v>
      </c>
      <c r="I927" s="22">
        <v>0.0001198427662906267</v>
      </c>
      <c r="J927" s="21">
        <v>1975</v>
      </c>
      <c r="K927" s="4" t="s">
        <v>95</v>
      </c>
      <c r="L927" s="22">
        <v>30</v>
      </c>
      <c r="M927" s="4"/>
      <c r="N927" s="4" t="s">
        <v>1467</v>
      </c>
    </row>
    <row r="928" spans="1:14">
      <c r="A928" s="4" t="s">
        <v>2958</v>
      </c>
      <c r="B928" s="4" t="s">
        <v>2887</v>
      </c>
      <c r="C928" s="4" t="s">
        <v>246</v>
      </c>
      <c r="D928" s="4" t="s">
        <v>65</v>
      </c>
      <c r="E928" s="4" t="s">
        <v>231</v>
      </c>
      <c r="F928" s="4" t="s">
        <v>1596</v>
      </c>
      <c r="G928" s="22">
        <v>30</v>
      </c>
      <c r="H928" s="24"/>
      <c r="I928" s="24"/>
      <c r="J928" s="21">
        <v>1964</v>
      </c>
      <c r="K928" s="4" t="s">
        <v>95</v>
      </c>
      <c r="L928" s="24"/>
      <c r="M928" s="4"/>
      <c r="N928" s="4" t="s">
        <v>1475</v>
      </c>
    </row>
    <row r="929" spans="1:14">
      <c r="A929" s="4" t="s">
        <v>2959</v>
      </c>
      <c r="B929" s="4" t="s">
        <v>1637</v>
      </c>
      <c r="C929" s="4" t="s">
        <v>246</v>
      </c>
      <c r="D929" s="4" t="s">
        <v>65</v>
      </c>
      <c r="E929" s="4" t="s">
        <v>231</v>
      </c>
      <c r="F929" s="4" t="s">
        <v>1596</v>
      </c>
      <c r="G929" s="22">
        <v>30</v>
      </c>
      <c r="H929" s="24"/>
      <c r="I929" s="24"/>
      <c r="J929" s="21">
        <v>1964</v>
      </c>
      <c r="K929" s="4" t="s">
        <v>95</v>
      </c>
      <c r="L929" s="24"/>
      <c r="M929" s="4"/>
      <c r="N929" s="4" t="s">
        <v>1475</v>
      </c>
    </row>
    <row r="930" spans="1:14">
      <c r="A930" s="4" t="s">
        <v>2960</v>
      </c>
      <c r="B930" s="4" t="s">
        <v>1672</v>
      </c>
      <c r="C930" s="4" t="s">
        <v>246</v>
      </c>
      <c r="D930" s="4" t="s">
        <v>65</v>
      </c>
      <c r="E930" s="4" t="s">
        <v>231</v>
      </c>
      <c r="F930" s="4" t="s">
        <v>1596</v>
      </c>
      <c r="G930" s="22">
        <v>30</v>
      </c>
      <c r="H930" s="24"/>
      <c r="I930" s="24"/>
      <c r="J930" s="21">
        <v>1964</v>
      </c>
      <c r="K930" s="4" t="s">
        <v>95</v>
      </c>
      <c r="L930" s="24"/>
      <c r="M930" s="4"/>
      <c r="N930" s="4" t="s">
        <v>1475</v>
      </c>
    </row>
    <row r="931" spans="1:14">
      <c r="A931" s="4" t="s">
        <v>2961</v>
      </c>
      <c r="B931" s="4" t="s">
        <v>2725</v>
      </c>
      <c r="C931" s="4" t="s">
        <v>59</v>
      </c>
      <c r="D931" s="4" t="s">
        <v>65</v>
      </c>
      <c r="E931" s="4" t="s">
        <v>231</v>
      </c>
      <c r="F931" s="4" t="s">
        <v>1596</v>
      </c>
      <c r="G931" s="22">
        <v>30</v>
      </c>
      <c r="H931" s="21">
        <v>104310</v>
      </c>
      <c r="I931" s="22">
        <v>0.0002876042565429968</v>
      </c>
      <c r="J931" s="24"/>
      <c r="K931" s="4" t="s">
        <v>95</v>
      </c>
      <c r="L931" s="22">
        <v>30</v>
      </c>
      <c r="M931" s="4"/>
      <c r="N931" s="24" t="s">
        <v>237</v>
      </c>
    </row>
    <row r="932" spans="1:14">
      <c r="A932" s="4" t="s">
        <v>2962</v>
      </c>
      <c r="B932" s="4" t="s">
        <v>2963</v>
      </c>
      <c r="C932" s="4" t="s">
        <v>79</v>
      </c>
      <c r="D932" s="4" t="s">
        <v>65</v>
      </c>
      <c r="E932" s="4" t="s">
        <v>231</v>
      </c>
      <c r="F932" s="4" t="s">
        <v>1596</v>
      </c>
      <c r="G932" s="22">
        <v>30</v>
      </c>
      <c r="H932" s="21">
        <v>50854</v>
      </c>
      <c r="I932" s="22">
        <v>0.0005899240964329256</v>
      </c>
      <c r="J932" s="24"/>
      <c r="K932" s="4" t="s">
        <v>95</v>
      </c>
      <c r="L932" s="22">
        <v>30</v>
      </c>
      <c r="M932" s="4"/>
      <c r="N932" s="4" t="s">
        <v>1471</v>
      </c>
    </row>
    <row r="933" spans="1:14">
      <c r="A933" s="4" t="s">
        <v>2964</v>
      </c>
      <c r="B933" s="4" t="s">
        <v>2965</v>
      </c>
      <c r="C933" s="4" t="s">
        <v>79</v>
      </c>
      <c r="D933" s="4" t="s">
        <v>68</v>
      </c>
      <c r="E933" s="4" t="s">
        <v>231</v>
      </c>
      <c r="F933" s="4" t="s">
        <v>1596</v>
      </c>
      <c r="G933" s="22">
        <v>30</v>
      </c>
      <c r="H933" s="21">
        <v>12996</v>
      </c>
      <c r="I933" s="22">
        <v>0.002308402585410896</v>
      </c>
      <c r="J933" s="21">
        <v>1961</v>
      </c>
      <c r="K933" s="4" t="s">
        <v>95</v>
      </c>
      <c r="L933" s="22">
        <v>30</v>
      </c>
      <c r="M933" s="4"/>
      <c r="N933" s="4" t="s">
        <v>1459</v>
      </c>
    </row>
    <row r="934" spans="1:14">
      <c r="A934" s="4" t="s">
        <v>2966</v>
      </c>
      <c r="B934" s="4" t="s">
        <v>2967</v>
      </c>
      <c r="C934" s="4" t="s">
        <v>78</v>
      </c>
      <c r="D934" s="4" t="s">
        <v>70</v>
      </c>
      <c r="E934" s="4" t="s">
        <v>231</v>
      </c>
      <c r="F934" s="4" t="s">
        <v>1596</v>
      </c>
      <c r="G934" s="22">
        <v>30</v>
      </c>
      <c r="H934" s="24"/>
      <c r="I934" s="24"/>
      <c r="J934" s="24"/>
      <c r="K934" s="4" t="s">
        <v>95</v>
      </c>
      <c r="L934" s="24"/>
      <c r="M934" s="4"/>
      <c r="N934" s="24" t="s">
        <v>237</v>
      </c>
    </row>
    <row r="935" spans="1:14">
      <c r="A935" s="4" t="s">
        <v>2968</v>
      </c>
      <c r="B935" s="4" t="s">
        <v>2236</v>
      </c>
      <c r="C935" s="4" t="s">
        <v>83</v>
      </c>
      <c r="D935" s="4" t="s">
        <v>70</v>
      </c>
      <c r="E935" s="4" t="s">
        <v>231</v>
      </c>
      <c r="F935" s="4" t="s">
        <v>1596</v>
      </c>
      <c r="G935" s="22">
        <v>30</v>
      </c>
      <c r="H935" s="21">
        <v>20250</v>
      </c>
      <c r="I935" s="22">
        <v>0.001481481481481481</v>
      </c>
      <c r="J935" s="24"/>
      <c r="K935" s="4" t="s">
        <v>95</v>
      </c>
      <c r="L935" s="22">
        <v>30</v>
      </c>
      <c r="M935" s="4"/>
      <c r="N935" s="4" t="s">
        <v>1475</v>
      </c>
    </row>
    <row r="936" spans="1:14">
      <c r="A936" s="4" t="s">
        <v>2969</v>
      </c>
      <c r="B936" s="4" t="s">
        <v>2970</v>
      </c>
      <c r="C936" s="4" t="s">
        <v>109</v>
      </c>
      <c r="D936" s="4" t="s">
        <v>65</v>
      </c>
      <c r="E936" s="4" t="s">
        <v>231</v>
      </c>
      <c r="F936" s="4" t="s">
        <v>1596</v>
      </c>
      <c r="G936" s="22">
        <v>29</v>
      </c>
      <c r="H936" s="24"/>
      <c r="I936" s="24"/>
      <c r="J936" s="24"/>
      <c r="K936" s="4" t="s">
        <v>95</v>
      </c>
      <c r="L936" s="24"/>
      <c r="M936" s="4"/>
      <c r="N936" s="4" t="s">
        <v>1475</v>
      </c>
    </row>
    <row r="937" spans="1:14">
      <c r="A937" s="4" t="s">
        <v>2971</v>
      </c>
      <c r="B937" s="4" t="s">
        <v>2227</v>
      </c>
      <c r="C937" s="4" t="s">
        <v>111</v>
      </c>
      <c r="D937" s="4" t="s">
        <v>65</v>
      </c>
      <c r="E937" s="4" t="s">
        <v>231</v>
      </c>
      <c r="F937" s="4" t="s">
        <v>1596</v>
      </c>
      <c r="G937" s="22">
        <v>29</v>
      </c>
      <c r="H937" s="21">
        <v>28600</v>
      </c>
      <c r="I937" s="22">
        <v>0.001013986013986014</v>
      </c>
      <c r="J937" s="24"/>
      <c r="K937" s="4" t="s">
        <v>95</v>
      </c>
      <c r="L937" s="22">
        <v>29</v>
      </c>
      <c r="M937" s="4"/>
      <c r="N937" s="4" t="s">
        <v>1550</v>
      </c>
    </row>
    <row r="938" spans="1:14">
      <c r="A938" s="4" t="s">
        <v>2972</v>
      </c>
      <c r="B938" s="4" t="s">
        <v>2973</v>
      </c>
      <c r="C938" s="4" t="s">
        <v>80</v>
      </c>
      <c r="D938" s="4" t="s">
        <v>65</v>
      </c>
      <c r="E938" s="4" t="s">
        <v>231</v>
      </c>
      <c r="F938" s="4" t="s">
        <v>1596</v>
      </c>
      <c r="G938" s="22">
        <v>29</v>
      </c>
      <c r="H938" s="21">
        <v>9698</v>
      </c>
      <c r="I938" s="22">
        <v>0.002990307279851516</v>
      </c>
      <c r="J938" s="24"/>
      <c r="K938" s="4" t="s">
        <v>95</v>
      </c>
      <c r="L938" s="22">
        <v>29</v>
      </c>
      <c r="M938" s="4"/>
      <c r="N938" s="24" t="s">
        <v>237</v>
      </c>
    </row>
    <row r="939" spans="1:14">
      <c r="A939" s="4" t="s">
        <v>2974</v>
      </c>
      <c r="B939" s="4" t="s">
        <v>2059</v>
      </c>
      <c r="C939" s="4" t="s">
        <v>114</v>
      </c>
      <c r="D939" s="4" t="s">
        <v>70</v>
      </c>
      <c r="E939" s="4" t="s">
        <v>231</v>
      </c>
      <c r="F939" s="4" t="s">
        <v>1596</v>
      </c>
      <c r="G939" s="22">
        <v>28</v>
      </c>
      <c r="H939" s="21">
        <v>35604</v>
      </c>
      <c r="I939" s="22">
        <v>0.0007864284911807662</v>
      </c>
      <c r="J939" s="21">
        <v>2002</v>
      </c>
      <c r="K939" s="4" t="s">
        <v>95</v>
      </c>
      <c r="L939" s="22">
        <v>28</v>
      </c>
      <c r="M939" s="4"/>
      <c r="N939" s="4" t="s">
        <v>1467</v>
      </c>
    </row>
    <row r="940" spans="1:14">
      <c r="A940" s="4" t="s">
        <v>2975</v>
      </c>
      <c r="B940" s="4" t="s">
        <v>2976</v>
      </c>
      <c r="C940" s="4" t="s">
        <v>79</v>
      </c>
      <c r="D940" s="4" t="s">
        <v>68</v>
      </c>
      <c r="E940" s="4" t="s">
        <v>231</v>
      </c>
      <c r="F940" s="4" t="s">
        <v>1596</v>
      </c>
      <c r="G940" s="22">
        <v>28</v>
      </c>
      <c r="H940" s="21">
        <v>22915</v>
      </c>
      <c r="I940" s="22">
        <v>0.001221907047785293</v>
      </c>
      <c r="J940" s="24"/>
      <c r="K940" s="4" t="s">
        <v>95</v>
      </c>
      <c r="L940" s="22">
        <v>28</v>
      </c>
      <c r="M940" s="4"/>
      <c r="N940" s="4" t="s">
        <v>1469</v>
      </c>
    </row>
    <row r="941" spans="1:14">
      <c r="A941" s="4" t="s">
        <v>2977</v>
      </c>
      <c r="B941" s="4" t="s">
        <v>436</v>
      </c>
      <c r="C941" s="4" t="s">
        <v>82</v>
      </c>
      <c r="D941" s="4" t="s">
        <v>67</v>
      </c>
      <c r="E941" s="4" t="s">
        <v>231</v>
      </c>
      <c r="F941" s="4" t="s">
        <v>1596</v>
      </c>
      <c r="G941" s="22">
        <v>27</v>
      </c>
      <c r="H941" s="21">
        <v>7000</v>
      </c>
      <c r="I941" s="22">
        <v>0.003857142857142857</v>
      </c>
      <c r="J941" s="24"/>
      <c r="K941" s="4" t="s">
        <v>95</v>
      </c>
      <c r="L941" s="22">
        <v>27</v>
      </c>
      <c r="M941" s="4"/>
      <c r="N941" s="4" t="s">
        <v>1469</v>
      </c>
    </row>
    <row r="942" spans="1:14">
      <c r="A942" s="4" t="s">
        <v>2978</v>
      </c>
      <c r="B942" s="4" t="s">
        <v>436</v>
      </c>
      <c r="C942" s="4" t="s">
        <v>82</v>
      </c>
      <c r="D942" s="4" t="s">
        <v>67</v>
      </c>
      <c r="E942" s="4" t="s">
        <v>231</v>
      </c>
      <c r="F942" s="4" t="s">
        <v>1596</v>
      </c>
      <c r="G942" s="22">
        <v>27</v>
      </c>
      <c r="H942" s="21">
        <v>7000</v>
      </c>
      <c r="I942" s="22">
        <v>0.003857142857142857</v>
      </c>
      <c r="J942" s="24"/>
      <c r="K942" s="4" t="s">
        <v>95</v>
      </c>
      <c r="L942" s="22">
        <v>27</v>
      </c>
      <c r="M942" s="4"/>
      <c r="N942" s="4" t="s">
        <v>1469</v>
      </c>
    </row>
    <row r="943" spans="1:14">
      <c r="A943" s="4" t="s">
        <v>2979</v>
      </c>
      <c r="B943" s="4" t="s">
        <v>2836</v>
      </c>
      <c r="C943" s="4" t="s">
        <v>469</v>
      </c>
      <c r="D943" s="4" t="s">
        <v>70</v>
      </c>
      <c r="E943" s="4" t="s">
        <v>231</v>
      </c>
      <c r="F943" s="4" t="s">
        <v>1596</v>
      </c>
      <c r="G943" s="22">
        <v>25</v>
      </c>
      <c r="H943" s="21">
        <v>5947</v>
      </c>
      <c r="I943" s="22">
        <v>0.004203800235412813</v>
      </c>
      <c r="J943" s="21">
        <v>1966</v>
      </c>
      <c r="K943" s="4" t="s">
        <v>95</v>
      </c>
      <c r="L943" s="22">
        <v>25</v>
      </c>
      <c r="M943" s="4"/>
      <c r="N943" s="4" t="s">
        <v>1475</v>
      </c>
    </row>
    <row r="944" spans="1:14">
      <c r="A944" s="4" t="s">
        <v>2980</v>
      </c>
      <c r="B944" s="4" t="s">
        <v>2981</v>
      </c>
      <c r="C944" s="4" t="s">
        <v>109</v>
      </c>
      <c r="D944" s="4" t="s">
        <v>65</v>
      </c>
      <c r="E944" s="4" t="s">
        <v>231</v>
      </c>
      <c r="F944" s="4" t="s">
        <v>1596</v>
      </c>
      <c r="G944" s="22">
        <v>25</v>
      </c>
      <c r="H944" s="24"/>
      <c r="I944" s="24"/>
      <c r="J944" s="24"/>
      <c r="K944" s="4" t="s">
        <v>95</v>
      </c>
      <c r="L944" s="24"/>
      <c r="M944" s="4"/>
      <c r="N944" s="4" t="s">
        <v>2884</v>
      </c>
    </row>
    <row r="945" spans="1:14">
      <c r="A945" s="4" t="s">
        <v>2982</v>
      </c>
      <c r="B945" s="4" t="s">
        <v>830</v>
      </c>
      <c r="C945" s="4" t="s">
        <v>831</v>
      </c>
      <c r="D945" s="4" t="s">
        <v>69</v>
      </c>
      <c r="E945" s="4" t="s">
        <v>231</v>
      </c>
      <c r="F945" s="4" t="s">
        <v>1596</v>
      </c>
      <c r="G945" s="22">
        <v>25</v>
      </c>
      <c r="H945" s="21">
        <v>6624</v>
      </c>
      <c r="I945" s="22">
        <v>0.003774154589371981</v>
      </c>
      <c r="J945" s="21">
        <v>1973</v>
      </c>
      <c r="K945" s="4" t="s">
        <v>95</v>
      </c>
      <c r="L945" s="22">
        <v>25</v>
      </c>
      <c r="M945" s="4"/>
      <c r="N945" s="4" t="s">
        <v>1467</v>
      </c>
    </row>
    <row r="946" spans="1:14">
      <c r="A946" s="4" t="s">
        <v>2983</v>
      </c>
      <c r="B946" s="4" t="s">
        <v>830</v>
      </c>
      <c r="C946" s="4" t="s">
        <v>835</v>
      </c>
      <c r="D946" s="4" t="s">
        <v>69</v>
      </c>
      <c r="E946" s="4" t="s">
        <v>231</v>
      </c>
      <c r="F946" s="4" t="s">
        <v>1596</v>
      </c>
      <c r="G946" s="22">
        <v>25</v>
      </c>
      <c r="H946" s="21">
        <v>6624</v>
      </c>
      <c r="I946" s="22">
        <v>0.003774154589371981</v>
      </c>
      <c r="J946" s="21">
        <v>1973</v>
      </c>
      <c r="K946" s="4" t="s">
        <v>95</v>
      </c>
      <c r="L946" s="22">
        <v>25</v>
      </c>
      <c r="M946" s="4"/>
      <c r="N946" s="4" t="s">
        <v>1467</v>
      </c>
    </row>
    <row r="947" spans="1:14">
      <c r="A947" s="4" t="s">
        <v>2984</v>
      </c>
      <c r="B947" s="4" t="s">
        <v>2985</v>
      </c>
      <c r="C947" s="4" t="s">
        <v>112</v>
      </c>
      <c r="D947" s="4" t="s">
        <v>70</v>
      </c>
      <c r="E947" s="4" t="s">
        <v>231</v>
      </c>
      <c r="F947" s="4" t="s">
        <v>1596</v>
      </c>
      <c r="G947" s="22">
        <v>25</v>
      </c>
      <c r="H947" s="21">
        <v>1982</v>
      </c>
      <c r="I947" s="22">
        <v>0.01261352169525732</v>
      </c>
      <c r="J947" s="21">
        <v>1960</v>
      </c>
      <c r="K947" s="4" t="s">
        <v>95</v>
      </c>
      <c r="L947" s="22">
        <v>25</v>
      </c>
      <c r="M947" s="4"/>
      <c r="N947" s="4" t="s">
        <v>1467</v>
      </c>
    </row>
    <row r="948" spans="1:14">
      <c r="A948" s="4" t="s">
        <v>2986</v>
      </c>
      <c r="B948" s="4" t="s">
        <v>2985</v>
      </c>
      <c r="C948" s="4" t="s">
        <v>112</v>
      </c>
      <c r="D948" s="4" t="s">
        <v>70</v>
      </c>
      <c r="E948" s="4" t="s">
        <v>231</v>
      </c>
      <c r="F948" s="4" t="s">
        <v>1596</v>
      </c>
      <c r="G948" s="22">
        <v>25</v>
      </c>
      <c r="H948" s="21">
        <v>1982</v>
      </c>
      <c r="I948" s="22">
        <v>0.01261352169525732</v>
      </c>
      <c r="J948" s="21">
        <v>1960</v>
      </c>
      <c r="K948" s="4" t="s">
        <v>95</v>
      </c>
      <c r="L948" s="22">
        <v>25</v>
      </c>
      <c r="M948" s="4"/>
      <c r="N948" s="4" t="s">
        <v>1467</v>
      </c>
    </row>
    <row r="949" spans="1:14">
      <c r="A949" s="4" t="s">
        <v>2987</v>
      </c>
      <c r="B949" s="4" t="s">
        <v>2988</v>
      </c>
      <c r="C949" s="4" t="s">
        <v>79</v>
      </c>
      <c r="D949" s="4" t="s">
        <v>70</v>
      </c>
      <c r="E949" s="4" t="s">
        <v>231</v>
      </c>
      <c r="F949" s="4" t="s">
        <v>1596</v>
      </c>
      <c r="G949" s="22">
        <v>25</v>
      </c>
      <c r="H949" s="21">
        <v>51631</v>
      </c>
      <c r="I949" s="22">
        <v>0.0004842052255427941</v>
      </c>
      <c r="J949" s="21">
        <v>1981</v>
      </c>
      <c r="K949" s="4" t="s">
        <v>95</v>
      </c>
      <c r="L949" s="22">
        <v>25</v>
      </c>
      <c r="M949" s="4"/>
      <c r="N949" s="4" t="s">
        <v>1467</v>
      </c>
    </row>
    <row r="950" spans="1:14">
      <c r="A950" s="4" t="s">
        <v>2989</v>
      </c>
      <c r="B950" s="4" t="s">
        <v>2990</v>
      </c>
      <c r="C950" s="4" t="s">
        <v>79</v>
      </c>
      <c r="D950" s="4" t="s">
        <v>66</v>
      </c>
      <c r="E950" s="4" t="s">
        <v>231</v>
      </c>
      <c r="F950" s="4" t="s">
        <v>1596</v>
      </c>
      <c r="G950" s="22">
        <v>25</v>
      </c>
      <c r="H950" s="21">
        <v>22859</v>
      </c>
      <c r="I950" s="22">
        <v>0.001093661140032372</v>
      </c>
      <c r="J950" s="24"/>
      <c r="K950" s="4" t="s">
        <v>95</v>
      </c>
      <c r="L950" s="22">
        <v>25</v>
      </c>
      <c r="M950" s="4"/>
      <c r="N950" s="4" t="s">
        <v>1545</v>
      </c>
    </row>
    <row r="951" spans="1:14">
      <c r="A951" s="4" t="s">
        <v>2991</v>
      </c>
      <c r="B951" s="4" t="s">
        <v>2992</v>
      </c>
      <c r="C951" s="4" t="s">
        <v>120</v>
      </c>
      <c r="D951" s="4" t="s">
        <v>65</v>
      </c>
      <c r="E951" s="4" t="s">
        <v>231</v>
      </c>
      <c r="F951" s="4" t="s">
        <v>1596</v>
      </c>
      <c r="G951" s="22">
        <v>25</v>
      </c>
      <c r="H951" s="21">
        <v>45250</v>
      </c>
      <c r="I951" s="22">
        <v>0.0005524861878453039</v>
      </c>
      <c r="J951" s="24"/>
      <c r="K951" s="4" t="s">
        <v>95</v>
      </c>
      <c r="L951" s="22">
        <v>25</v>
      </c>
      <c r="M951" s="4"/>
      <c r="N951" s="4" t="s">
        <v>1462</v>
      </c>
    </row>
    <row r="952" spans="1:14">
      <c r="A952" s="4" t="s">
        <v>2993</v>
      </c>
      <c r="B952" s="4" t="s">
        <v>2597</v>
      </c>
      <c r="C952" s="4" t="s">
        <v>81</v>
      </c>
      <c r="D952" s="4" t="s">
        <v>69</v>
      </c>
      <c r="E952" s="4" t="s">
        <v>231</v>
      </c>
      <c r="F952" s="4" t="s">
        <v>1596</v>
      </c>
      <c r="G952" s="22">
        <v>25</v>
      </c>
      <c r="H952" s="21">
        <v>0</v>
      </c>
      <c r="I952" s="22" t="e">
        <f>1/0</f>
        <v>#DIV/0!</v>
      </c>
      <c r="J952" s="21">
        <v>1986</v>
      </c>
      <c r="K952" s="4" t="s">
        <v>95</v>
      </c>
      <c r="L952" s="24"/>
      <c r="M952" s="4"/>
      <c r="N952" s="4" t="s">
        <v>1479</v>
      </c>
    </row>
    <row r="953" spans="1:14">
      <c r="A953" s="4" t="s">
        <v>2994</v>
      </c>
      <c r="B953" s="4" t="s">
        <v>2548</v>
      </c>
      <c r="C953" s="4" t="s">
        <v>81</v>
      </c>
      <c r="D953" s="4" t="s">
        <v>69</v>
      </c>
      <c r="E953" s="4" t="s">
        <v>231</v>
      </c>
      <c r="F953" s="4" t="s">
        <v>1596</v>
      </c>
      <c r="G953" s="22">
        <v>25</v>
      </c>
      <c r="H953" s="21">
        <v>0</v>
      </c>
      <c r="I953" s="22" t="e">
        <f>1/0</f>
        <v>#DIV/0!</v>
      </c>
      <c r="J953" s="21">
        <v>1986</v>
      </c>
      <c r="K953" s="4" t="s">
        <v>95</v>
      </c>
      <c r="L953" s="24"/>
      <c r="M953" s="4"/>
      <c r="N953" s="4" t="s">
        <v>1479</v>
      </c>
    </row>
    <row r="954" spans="1:14">
      <c r="A954" s="4" t="s">
        <v>2995</v>
      </c>
      <c r="B954" s="4" t="s">
        <v>2996</v>
      </c>
      <c r="C954" s="4" t="s">
        <v>115</v>
      </c>
      <c r="D954" s="4" t="s">
        <v>65</v>
      </c>
      <c r="E954" s="4" t="s">
        <v>231</v>
      </c>
      <c r="F954" s="4" t="s">
        <v>1596</v>
      </c>
      <c r="G954" s="22">
        <v>22</v>
      </c>
      <c r="H954" s="21">
        <v>47826</v>
      </c>
      <c r="I954" s="22">
        <v>0.000460000836365157</v>
      </c>
      <c r="J954" s="24"/>
      <c r="K954" s="4" t="s">
        <v>95</v>
      </c>
      <c r="L954" s="22">
        <v>22</v>
      </c>
      <c r="M954" s="4"/>
      <c r="N954" s="4" t="s">
        <v>1711</v>
      </c>
    </row>
    <row r="955" spans="1:14">
      <c r="A955" s="4" t="s">
        <v>2997</v>
      </c>
      <c r="B955" s="4" t="s">
        <v>2998</v>
      </c>
      <c r="C955" s="4" t="s">
        <v>109</v>
      </c>
      <c r="D955" s="4" t="s">
        <v>65</v>
      </c>
      <c r="E955" s="4" t="s">
        <v>231</v>
      </c>
      <c r="F955" s="4" t="s">
        <v>1596</v>
      </c>
      <c r="G955" s="22">
        <v>21</v>
      </c>
      <c r="H955" s="21">
        <v>21745</v>
      </c>
      <c r="I955" s="22">
        <v>0.0009657392504023914</v>
      </c>
      <c r="J955" s="24"/>
      <c r="K955" s="4" t="s">
        <v>95</v>
      </c>
      <c r="L955" s="22">
        <v>21</v>
      </c>
      <c r="M955" s="4"/>
      <c r="N955" s="4" t="s">
        <v>1475</v>
      </c>
    </row>
    <row r="956" spans="1:14">
      <c r="A956" s="4" t="s">
        <v>2999</v>
      </c>
      <c r="B956" s="4" t="s">
        <v>2106</v>
      </c>
      <c r="C956" s="4" t="s">
        <v>79</v>
      </c>
      <c r="D956" s="4" t="s">
        <v>70</v>
      </c>
      <c r="E956" s="4" t="s">
        <v>231</v>
      </c>
      <c r="F956" s="4" t="s">
        <v>1596</v>
      </c>
      <c r="G956" s="22">
        <v>21</v>
      </c>
      <c r="H956" s="21">
        <v>6821</v>
      </c>
      <c r="I956" s="22">
        <v>0.003078727459316816</v>
      </c>
      <c r="J956" s="24"/>
      <c r="K956" s="4" t="s">
        <v>95</v>
      </c>
      <c r="L956" s="22">
        <v>21</v>
      </c>
      <c r="M956" s="4"/>
      <c r="N956" s="4" t="s">
        <v>2107</v>
      </c>
    </row>
    <row r="957" spans="1:14">
      <c r="A957" s="4" t="s">
        <v>3000</v>
      </c>
      <c r="B957" s="4" t="s">
        <v>2985</v>
      </c>
      <c r="C957" s="4" t="s">
        <v>112</v>
      </c>
      <c r="D957" s="4" t="s">
        <v>70</v>
      </c>
      <c r="E957" s="4" t="s">
        <v>231</v>
      </c>
      <c r="F957" s="4" t="s">
        <v>1596</v>
      </c>
      <c r="G957" s="22">
        <v>20</v>
      </c>
      <c r="H957" s="21">
        <v>1982</v>
      </c>
      <c r="I957" s="22">
        <v>0.01009081735620585</v>
      </c>
      <c r="J957" s="21">
        <v>1960</v>
      </c>
      <c r="K957" s="4" t="s">
        <v>95</v>
      </c>
      <c r="L957" s="22">
        <v>20</v>
      </c>
      <c r="M957" s="4"/>
      <c r="N957" s="4" t="s">
        <v>1467</v>
      </c>
    </row>
    <row r="958" spans="1:14">
      <c r="A958" s="4" t="s">
        <v>3001</v>
      </c>
      <c r="B958" s="4" t="s">
        <v>3002</v>
      </c>
      <c r="C958" s="4" t="s">
        <v>78</v>
      </c>
      <c r="D958" s="4" t="s">
        <v>67</v>
      </c>
      <c r="E958" s="4" t="s">
        <v>231</v>
      </c>
      <c r="F958" s="4" t="s">
        <v>1596</v>
      </c>
      <c r="G958" s="22">
        <v>20</v>
      </c>
      <c r="H958" s="21">
        <v>8531</v>
      </c>
      <c r="I958" s="22">
        <v>0.00234439104442621</v>
      </c>
      <c r="J958" s="24"/>
      <c r="K958" s="4" t="s">
        <v>95</v>
      </c>
      <c r="L958" s="22">
        <v>20</v>
      </c>
      <c r="M958" s="4"/>
      <c r="N958" s="4" t="s">
        <v>1483</v>
      </c>
    </row>
    <row r="959" spans="1:14">
      <c r="A959" s="4" t="s">
        <v>3003</v>
      </c>
      <c r="B959" s="4" t="s">
        <v>3004</v>
      </c>
      <c r="C959" s="4" t="s">
        <v>113</v>
      </c>
      <c r="D959" s="4" t="s">
        <v>70</v>
      </c>
      <c r="E959" s="4" t="s">
        <v>231</v>
      </c>
      <c r="F959" s="4" t="s">
        <v>1596</v>
      </c>
      <c r="G959" s="22">
        <v>20</v>
      </c>
      <c r="H959" s="21">
        <v>84504</v>
      </c>
      <c r="I959" s="22">
        <v>0.0002366751869733977</v>
      </c>
      <c r="J959" s="24"/>
      <c r="K959" s="4" t="s">
        <v>95</v>
      </c>
      <c r="L959" s="22">
        <v>20</v>
      </c>
      <c r="M959" s="4"/>
      <c r="N959" s="4" t="s">
        <v>1475</v>
      </c>
    </row>
    <row r="960" spans="1:14">
      <c r="A960" s="4" t="s">
        <v>3005</v>
      </c>
      <c r="B960" s="4" t="s">
        <v>3006</v>
      </c>
      <c r="C960" s="4" t="s">
        <v>115</v>
      </c>
      <c r="D960" s="4" t="s">
        <v>67</v>
      </c>
      <c r="E960" s="4" t="s">
        <v>231</v>
      </c>
      <c r="F960" s="4" t="s">
        <v>1596</v>
      </c>
      <c r="G960" s="22">
        <v>20</v>
      </c>
      <c r="H960" s="21">
        <v>9500</v>
      </c>
      <c r="I960" s="22">
        <v>0.002105263157894737</v>
      </c>
      <c r="J960" s="21">
        <v>1971</v>
      </c>
      <c r="K960" s="4" t="s">
        <v>95</v>
      </c>
      <c r="L960" s="22">
        <v>20</v>
      </c>
      <c r="M960" s="4"/>
      <c r="N960" s="4" t="s">
        <v>1711</v>
      </c>
    </row>
    <row r="961" spans="1:14">
      <c r="A961" s="4" t="s">
        <v>3007</v>
      </c>
      <c r="B961" s="4" t="s">
        <v>3008</v>
      </c>
      <c r="C961" s="4" t="s">
        <v>83</v>
      </c>
      <c r="D961" s="4" t="s">
        <v>67</v>
      </c>
      <c r="E961" s="4" t="s">
        <v>231</v>
      </c>
      <c r="F961" s="4" t="s">
        <v>1596</v>
      </c>
      <c r="G961" s="22">
        <v>20</v>
      </c>
      <c r="H961" s="21">
        <v>13500</v>
      </c>
      <c r="I961" s="22">
        <v>0.001481481481481481</v>
      </c>
      <c r="J961" s="21">
        <v>1958</v>
      </c>
      <c r="K961" s="4" t="s">
        <v>95</v>
      </c>
      <c r="L961" s="22">
        <v>20</v>
      </c>
      <c r="M961" s="4"/>
      <c r="N961" s="4" t="s">
        <v>1469</v>
      </c>
    </row>
    <row r="962" spans="1:14">
      <c r="A962" s="4" t="s">
        <v>3009</v>
      </c>
      <c r="B962" s="4" t="s">
        <v>3010</v>
      </c>
      <c r="C962" s="4" t="s">
        <v>83</v>
      </c>
      <c r="D962" s="4" t="s">
        <v>67</v>
      </c>
      <c r="E962" s="4" t="s">
        <v>231</v>
      </c>
      <c r="F962" s="4" t="s">
        <v>1596</v>
      </c>
      <c r="G962" s="22">
        <v>20</v>
      </c>
      <c r="H962" s="21">
        <v>13500</v>
      </c>
      <c r="I962" s="22">
        <v>0.001481481481481481</v>
      </c>
      <c r="J962" s="21">
        <v>1958</v>
      </c>
      <c r="K962" s="4" t="s">
        <v>95</v>
      </c>
      <c r="L962" s="22">
        <v>20</v>
      </c>
      <c r="M962" s="4"/>
      <c r="N962" s="4" t="s">
        <v>1469</v>
      </c>
    </row>
    <row r="963" spans="1:14">
      <c r="A963" s="4" t="s">
        <v>3011</v>
      </c>
      <c r="B963" s="4" t="s">
        <v>3012</v>
      </c>
      <c r="C963" s="4" t="s">
        <v>120</v>
      </c>
      <c r="D963" s="4" t="s">
        <v>65</v>
      </c>
      <c r="E963" s="4" t="s">
        <v>231</v>
      </c>
      <c r="F963" s="4" t="s">
        <v>1596</v>
      </c>
      <c r="G963" s="22">
        <v>18</v>
      </c>
      <c r="H963" s="21">
        <v>17625</v>
      </c>
      <c r="I963" s="22">
        <v>0.001021276595744681</v>
      </c>
      <c r="J963" s="24"/>
      <c r="K963" s="4" t="s">
        <v>95</v>
      </c>
      <c r="L963" s="22">
        <v>18</v>
      </c>
      <c r="M963" s="4"/>
      <c r="N963" s="4" t="s">
        <v>1479</v>
      </c>
    </row>
    <row r="964" spans="1:14">
      <c r="A964" s="4" t="s">
        <v>3013</v>
      </c>
      <c r="B964" s="4" t="s">
        <v>3014</v>
      </c>
      <c r="C964" s="4" t="s">
        <v>108</v>
      </c>
      <c r="D964" s="4" t="s">
        <v>65</v>
      </c>
      <c r="E964" s="4" t="s">
        <v>231</v>
      </c>
      <c r="F964" s="4" t="s">
        <v>1596</v>
      </c>
      <c r="G964" s="22">
        <v>17</v>
      </c>
      <c r="H964" s="21">
        <v>15005</v>
      </c>
      <c r="I964" s="22">
        <v>0.00113295568143952</v>
      </c>
      <c r="J964" s="24"/>
      <c r="K964" s="4" t="s">
        <v>95</v>
      </c>
      <c r="L964" s="22">
        <v>17</v>
      </c>
      <c r="M964" s="4"/>
      <c r="N964" s="4" t="s">
        <v>1475</v>
      </c>
    </row>
    <row r="965" spans="1:14">
      <c r="A965" s="4" t="s">
        <v>3015</v>
      </c>
      <c r="B965" s="4" t="s">
        <v>3016</v>
      </c>
      <c r="C965" s="4" t="s">
        <v>109</v>
      </c>
      <c r="D965" s="4" t="s">
        <v>69</v>
      </c>
      <c r="E965" s="4" t="s">
        <v>231</v>
      </c>
      <c r="F965" s="4" t="s">
        <v>1596</v>
      </c>
      <c r="G965" s="22">
        <v>17</v>
      </c>
      <c r="H965" s="21">
        <v>2150</v>
      </c>
      <c r="I965" s="22">
        <v>0.007906976744186046</v>
      </c>
      <c r="J965" s="21">
        <v>1960</v>
      </c>
      <c r="K965" s="4" t="s">
        <v>95</v>
      </c>
      <c r="L965" s="22">
        <v>17</v>
      </c>
      <c r="M965" s="4"/>
      <c r="N965" s="4" t="s">
        <v>1467</v>
      </c>
    </row>
    <row r="966" spans="1:14">
      <c r="A966" s="4" t="s">
        <v>3017</v>
      </c>
      <c r="B966" s="4" t="s">
        <v>3016</v>
      </c>
      <c r="C966" s="4" t="s">
        <v>109</v>
      </c>
      <c r="D966" s="4" t="s">
        <v>69</v>
      </c>
      <c r="E966" s="4" t="s">
        <v>231</v>
      </c>
      <c r="F966" s="4" t="s">
        <v>1596</v>
      </c>
      <c r="G966" s="22">
        <v>17</v>
      </c>
      <c r="H966" s="21">
        <v>2150</v>
      </c>
      <c r="I966" s="22">
        <v>0.007906976744186046</v>
      </c>
      <c r="J966" s="21">
        <v>1960</v>
      </c>
      <c r="K966" s="4" t="s">
        <v>95</v>
      </c>
      <c r="L966" s="22">
        <v>17</v>
      </c>
      <c r="M966" s="4"/>
      <c r="N966" s="4" t="s">
        <v>1467</v>
      </c>
    </row>
    <row r="967" spans="1:14">
      <c r="A967" s="4" t="s">
        <v>3018</v>
      </c>
      <c r="B967" s="4" t="s">
        <v>3019</v>
      </c>
      <c r="C967" s="4" t="s">
        <v>2093</v>
      </c>
      <c r="D967" s="4" t="s">
        <v>67</v>
      </c>
      <c r="E967" s="4" t="s">
        <v>231</v>
      </c>
      <c r="F967" s="4" t="s">
        <v>1596</v>
      </c>
      <c r="G967" s="22">
        <v>16</v>
      </c>
      <c r="H967" s="21">
        <v>13011</v>
      </c>
      <c r="I967" s="22">
        <v>0.001229728691107524</v>
      </c>
      <c r="J967" s="21">
        <v>1956</v>
      </c>
      <c r="K967" s="4" t="s">
        <v>95</v>
      </c>
      <c r="L967" s="22">
        <v>16</v>
      </c>
      <c r="M967" s="4"/>
      <c r="N967" s="4" t="s">
        <v>3020</v>
      </c>
    </row>
    <row r="968" spans="1:14">
      <c r="A968" s="4" t="s">
        <v>3021</v>
      </c>
      <c r="B968" s="4" t="s">
        <v>1721</v>
      </c>
      <c r="C968" s="4" t="s">
        <v>118</v>
      </c>
      <c r="D968" s="4" t="s">
        <v>69</v>
      </c>
      <c r="E968" s="4" t="s">
        <v>231</v>
      </c>
      <c r="F968" s="4" t="s">
        <v>1596</v>
      </c>
      <c r="G968" s="22">
        <v>13</v>
      </c>
      <c r="H968" s="21">
        <v>37500</v>
      </c>
      <c r="I968" s="22">
        <v>0.0003466666666666667</v>
      </c>
      <c r="J968" s="21">
        <v>1987</v>
      </c>
      <c r="K968" s="4" t="s">
        <v>95</v>
      </c>
      <c r="L968" s="22">
        <v>13</v>
      </c>
      <c r="M968" s="4"/>
      <c r="N968" s="4" t="s">
        <v>1479</v>
      </c>
    </row>
    <row r="969" spans="1:14">
      <c r="A969" s="4" t="s">
        <v>3022</v>
      </c>
      <c r="B969" s="4" t="s">
        <v>3023</v>
      </c>
      <c r="C969" s="4" t="s">
        <v>1710</v>
      </c>
      <c r="D969" s="4" t="s">
        <v>67</v>
      </c>
      <c r="E969" s="4" t="s">
        <v>231</v>
      </c>
      <c r="F969" s="4" t="s">
        <v>1596</v>
      </c>
      <c r="G969" s="22">
        <v>2</v>
      </c>
      <c r="H969" s="21">
        <v>3225</v>
      </c>
      <c r="I969" s="22">
        <v>0.00062015503875969</v>
      </c>
      <c r="J969" s="21">
        <v>1975</v>
      </c>
      <c r="K969" s="4" t="s">
        <v>95</v>
      </c>
      <c r="L969" s="24"/>
      <c r="M969" s="4"/>
      <c r="N969" s="4" t="s">
        <v>1711</v>
      </c>
    </row>
    <row r="970" spans="1:14">
      <c r="A970" s="4" t="s">
        <v>3024</v>
      </c>
      <c r="B970" s="4" t="s">
        <v>377</v>
      </c>
      <c r="C970" s="4" t="s">
        <v>80</v>
      </c>
      <c r="D970" s="4" t="s">
        <v>67</v>
      </c>
      <c r="E970" s="4" t="s">
        <v>378</v>
      </c>
      <c r="F970" s="4" t="s">
        <v>1456</v>
      </c>
      <c r="G970" s="22">
        <v>3395000</v>
      </c>
      <c r="H970" s="21">
        <v>20827</v>
      </c>
      <c r="I970" s="22">
        <v>163.009554904691</v>
      </c>
      <c r="J970" s="21">
        <v>1959</v>
      </c>
      <c r="K970" s="4" t="s">
        <v>96</v>
      </c>
      <c r="L970" s="24"/>
      <c r="M970" s="4"/>
      <c r="N970" s="4" t="s">
        <v>1459</v>
      </c>
    </row>
    <row r="971" spans="1:14">
      <c r="A971" s="4" t="s">
        <v>3025</v>
      </c>
      <c r="B971" s="4" t="s">
        <v>410</v>
      </c>
      <c r="C971" s="4" t="s">
        <v>420</v>
      </c>
      <c r="D971" s="4" t="s">
        <v>69</v>
      </c>
      <c r="E971" s="4" t="s">
        <v>378</v>
      </c>
      <c r="F971" s="4" t="s">
        <v>1456</v>
      </c>
      <c r="G971" s="22">
        <v>2800000</v>
      </c>
      <c r="H971" s="21">
        <v>7505</v>
      </c>
      <c r="I971" s="22">
        <v>373.0846102598268</v>
      </c>
      <c r="J971" s="24"/>
      <c r="K971" s="4" t="s">
        <v>96</v>
      </c>
      <c r="L971" s="24"/>
      <c r="M971" s="4"/>
      <c r="N971" s="24" t="s">
        <v>237</v>
      </c>
    </row>
    <row r="972" spans="1:14">
      <c r="A972" s="4" t="s">
        <v>3026</v>
      </c>
      <c r="B972" s="4" t="s">
        <v>3027</v>
      </c>
      <c r="C972" s="4" t="s">
        <v>83</v>
      </c>
      <c r="D972" s="4" t="s">
        <v>66</v>
      </c>
      <c r="E972" s="4" t="s">
        <v>378</v>
      </c>
      <c r="F972" s="4" t="s">
        <v>1456</v>
      </c>
      <c r="G972" s="22">
        <v>2625000</v>
      </c>
      <c r="H972" s="24"/>
      <c r="I972" s="24"/>
      <c r="J972" s="21">
        <v>1957</v>
      </c>
      <c r="K972" s="4" t="s">
        <v>96</v>
      </c>
      <c r="L972" s="24"/>
      <c r="M972" s="4"/>
      <c r="N972" s="4" t="s">
        <v>1473</v>
      </c>
    </row>
    <row r="973" spans="1:14">
      <c r="A973" s="4" t="s">
        <v>3028</v>
      </c>
      <c r="B973" s="4" t="s">
        <v>3029</v>
      </c>
      <c r="C973" s="4" t="s">
        <v>77</v>
      </c>
      <c r="D973" s="4" t="s">
        <v>67</v>
      </c>
      <c r="E973" s="4" t="s">
        <v>378</v>
      </c>
      <c r="F973" s="4" t="s">
        <v>1456</v>
      </c>
      <c r="G973" s="22">
        <v>2599000</v>
      </c>
      <c r="H973" s="24"/>
      <c r="I973" s="24"/>
      <c r="J973" s="21">
        <v>1956</v>
      </c>
      <c r="K973" s="4" t="s">
        <v>96</v>
      </c>
      <c r="L973" s="24"/>
      <c r="M973" s="4"/>
      <c r="N973" s="4" t="s">
        <v>1483</v>
      </c>
    </row>
    <row r="974" spans="1:14">
      <c r="A974" s="4" t="s">
        <v>3030</v>
      </c>
      <c r="B974" s="4" t="s">
        <v>491</v>
      </c>
      <c r="C974" s="4" t="s">
        <v>118</v>
      </c>
      <c r="D974" s="4" t="s">
        <v>68</v>
      </c>
      <c r="E974" s="4" t="s">
        <v>378</v>
      </c>
      <c r="F974" s="4" t="s">
        <v>1456</v>
      </c>
      <c r="G974" s="22">
        <v>2198672</v>
      </c>
      <c r="H974" s="21">
        <v>6378</v>
      </c>
      <c r="I974" s="22">
        <v>344.7275007839448</v>
      </c>
      <c r="J974" s="21">
        <v>1967</v>
      </c>
      <c r="K974" s="4" t="s">
        <v>94</v>
      </c>
      <c r="L974" s="24"/>
      <c r="M974" s="4"/>
      <c r="N974" s="4" t="s">
        <v>1469</v>
      </c>
    </row>
    <row r="975" spans="1:14">
      <c r="A975" s="4" t="s">
        <v>3031</v>
      </c>
      <c r="B975" s="4" t="s">
        <v>495</v>
      </c>
      <c r="C975" s="4" t="s">
        <v>118</v>
      </c>
      <c r="D975" s="4" t="s">
        <v>73</v>
      </c>
      <c r="E975" s="4" t="s">
        <v>378</v>
      </c>
      <c r="F975" s="4" t="s">
        <v>1456</v>
      </c>
      <c r="G975" s="22">
        <v>2198672</v>
      </c>
      <c r="H975" s="21">
        <v>6378</v>
      </c>
      <c r="I975" s="22">
        <v>344.7275007839448</v>
      </c>
      <c r="J975" s="21">
        <v>1967</v>
      </c>
      <c r="K975" s="4" t="s">
        <v>94</v>
      </c>
      <c r="L975" s="24"/>
      <c r="M975" s="4"/>
      <c r="N975" s="4" t="s">
        <v>1469</v>
      </c>
    </row>
    <row r="976" spans="1:14">
      <c r="A976" s="4" t="s">
        <v>3032</v>
      </c>
      <c r="B976" s="4" t="s">
        <v>685</v>
      </c>
      <c r="C976" s="4" t="s">
        <v>82</v>
      </c>
      <c r="D976" s="4" t="s">
        <v>66</v>
      </c>
      <c r="E976" s="4" t="s">
        <v>378</v>
      </c>
      <c r="F976" s="4" t="s">
        <v>1456</v>
      </c>
      <c r="G976" s="22">
        <v>1280000</v>
      </c>
      <c r="H976" s="21">
        <v>8652</v>
      </c>
      <c r="I976" s="22">
        <v>147.9426722145169</v>
      </c>
      <c r="J976" s="21">
        <v>1976</v>
      </c>
      <c r="K976" s="4" t="s">
        <v>94</v>
      </c>
      <c r="L976" s="24"/>
      <c r="M976" s="4"/>
      <c r="N976" s="4" t="s">
        <v>1812</v>
      </c>
    </row>
    <row r="977" spans="1:14">
      <c r="A977" s="4" t="s">
        <v>3033</v>
      </c>
      <c r="B977" s="4" t="s">
        <v>772</v>
      </c>
      <c r="C977" s="4" t="s">
        <v>82</v>
      </c>
      <c r="D977" s="4" t="s">
        <v>66</v>
      </c>
      <c r="E977" s="4" t="s">
        <v>378</v>
      </c>
      <c r="F977" s="4" t="s">
        <v>1456</v>
      </c>
      <c r="G977" s="22">
        <v>950000</v>
      </c>
      <c r="H977" s="21">
        <v>7070</v>
      </c>
      <c r="I977" s="22">
        <v>134.3705799151344</v>
      </c>
      <c r="J977" s="24"/>
      <c r="K977" s="4" t="s">
        <v>95</v>
      </c>
      <c r="L977" s="24"/>
      <c r="M977" s="4"/>
      <c r="N977" s="4" t="s">
        <v>1812</v>
      </c>
    </row>
    <row r="978" spans="1:14">
      <c r="A978" s="4" t="s">
        <v>3034</v>
      </c>
      <c r="B978" s="4" t="s">
        <v>2027</v>
      </c>
      <c r="C978" s="4" t="s">
        <v>112</v>
      </c>
      <c r="D978" s="4" t="s">
        <v>65</v>
      </c>
      <c r="E978" s="4" t="s">
        <v>378</v>
      </c>
      <c r="F978" s="4" t="s">
        <v>1596</v>
      </c>
      <c r="G978" s="22">
        <v>24375</v>
      </c>
      <c r="H978" s="24"/>
      <c r="I978" s="24"/>
      <c r="J978" s="24"/>
      <c r="K978" s="4" t="s">
        <v>95</v>
      </c>
      <c r="L978" s="24"/>
      <c r="M978" s="4"/>
      <c r="N978" s="4" t="s">
        <v>1603</v>
      </c>
    </row>
    <row r="979" spans="1:14">
      <c r="A979" s="4" t="s">
        <v>3035</v>
      </c>
      <c r="B979" s="4" t="s">
        <v>3036</v>
      </c>
      <c r="C979" s="4" t="s">
        <v>112</v>
      </c>
      <c r="D979" s="4" t="s">
        <v>65</v>
      </c>
      <c r="E979" s="4" t="s">
        <v>378</v>
      </c>
      <c r="F979" s="4" t="s">
        <v>1596</v>
      </c>
      <c r="G979" s="22">
        <v>12375</v>
      </c>
      <c r="H979" s="24"/>
      <c r="I979" s="24"/>
      <c r="J979" s="24"/>
      <c r="K979" s="4" t="s">
        <v>95</v>
      </c>
      <c r="L979" s="24"/>
      <c r="M979" s="4"/>
      <c r="N979" s="4" t="s">
        <v>1603</v>
      </c>
    </row>
    <row r="980" spans="1:14">
      <c r="A980" s="4" t="s">
        <v>3037</v>
      </c>
      <c r="B980" s="4" t="s">
        <v>3038</v>
      </c>
      <c r="C980" s="4" t="s">
        <v>112</v>
      </c>
      <c r="D980" s="4" t="s">
        <v>65</v>
      </c>
      <c r="E980" s="4" t="s">
        <v>378</v>
      </c>
      <c r="F980" s="4" t="s">
        <v>1596</v>
      </c>
      <c r="G980" s="22">
        <v>7200</v>
      </c>
      <c r="H980" s="24"/>
      <c r="I980" s="24"/>
      <c r="J980" s="24"/>
      <c r="K980" s="4" t="s">
        <v>95</v>
      </c>
      <c r="L980" s="24"/>
      <c r="M980" s="4"/>
      <c r="N980" s="4" t="s">
        <v>1603</v>
      </c>
    </row>
    <row r="981" spans="1:14">
      <c r="A981" s="4" t="s">
        <v>3039</v>
      </c>
      <c r="B981" s="4" t="s">
        <v>1187</v>
      </c>
      <c r="C981" s="4" t="s">
        <v>83</v>
      </c>
      <c r="D981" s="4" t="s">
        <v>68</v>
      </c>
      <c r="E981" s="4" t="s">
        <v>810</v>
      </c>
      <c r="F981" s="4" t="s">
        <v>1456</v>
      </c>
      <c r="G981" s="22">
        <v>1000000</v>
      </c>
      <c r="H981" s="24"/>
      <c r="I981" s="24"/>
      <c r="J981" s="24"/>
      <c r="K981" s="4" t="s">
        <v>94</v>
      </c>
      <c r="L981" s="24"/>
      <c r="M981" s="4"/>
      <c r="N981" s="24" t="s">
        <v>237</v>
      </c>
    </row>
    <row r="982" spans="1:14">
      <c r="A982" s="4" t="s">
        <v>3040</v>
      </c>
      <c r="B982" s="4" t="s">
        <v>809</v>
      </c>
      <c r="C982" s="4" t="s">
        <v>81</v>
      </c>
      <c r="D982" s="4" t="s">
        <v>68</v>
      </c>
      <c r="E982" s="4" t="s">
        <v>810</v>
      </c>
      <c r="F982" s="4" t="s">
        <v>1456</v>
      </c>
      <c r="G982" s="22">
        <v>850000</v>
      </c>
      <c r="H982" s="21">
        <v>6250</v>
      </c>
      <c r="I982" s="22">
        <v>136</v>
      </c>
      <c r="J982" s="21">
        <v>1922</v>
      </c>
      <c r="K982" s="4" t="s">
        <v>95</v>
      </c>
      <c r="L982" s="24"/>
      <c r="M982" s="4"/>
      <c r="N982" s="4" t="s">
        <v>1473</v>
      </c>
    </row>
    <row r="983" spans="1:14">
      <c r="A983" s="4" t="s">
        <v>3041</v>
      </c>
      <c r="B983" s="4" t="s">
        <v>3042</v>
      </c>
      <c r="C983" s="4" t="s">
        <v>109</v>
      </c>
      <c r="D983" s="4" t="s">
        <v>65</v>
      </c>
      <c r="E983" s="4" t="s">
        <v>810</v>
      </c>
      <c r="F983" s="4" t="s">
        <v>1456</v>
      </c>
      <c r="G983" s="22">
        <v>366330</v>
      </c>
      <c r="H983" s="24"/>
      <c r="I983" s="24"/>
      <c r="J983" s="21">
        <v>1973</v>
      </c>
      <c r="K983" s="4" t="s">
        <v>95</v>
      </c>
      <c r="L983" s="24"/>
      <c r="M983" s="4"/>
      <c r="N983" s="4" t="s">
        <v>1467</v>
      </c>
    </row>
    <row r="984" spans="1:14">
      <c r="A984" s="4" t="s">
        <v>3043</v>
      </c>
      <c r="B984" s="4" t="s">
        <v>3044</v>
      </c>
      <c r="C984" s="4" t="s">
        <v>109</v>
      </c>
      <c r="D984" s="4" t="s">
        <v>65</v>
      </c>
      <c r="E984" s="4" t="s">
        <v>810</v>
      </c>
      <c r="F984" s="4" t="s">
        <v>1456</v>
      </c>
      <c r="G984" s="22">
        <v>236250</v>
      </c>
      <c r="H984" s="24"/>
      <c r="I984" s="24"/>
      <c r="J984" s="21">
        <v>1973</v>
      </c>
      <c r="K984" s="4" t="s">
        <v>95</v>
      </c>
      <c r="L984" s="24"/>
      <c r="M984" s="4"/>
      <c r="N984" s="4" t="s">
        <v>1467</v>
      </c>
    </row>
    <row r="985" spans="1:14">
      <c r="A985" s="4" t="s">
        <v>3045</v>
      </c>
      <c r="B985" s="4" t="s">
        <v>3046</v>
      </c>
      <c r="C985" s="4" t="s">
        <v>109</v>
      </c>
      <c r="D985" s="4" t="s">
        <v>65</v>
      </c>
      <c r="E985" s="4" t="s">
        <v>810</v>
      </c>
      <c r="F985" s="4" t="s">
        <v>1456</v>
      </c>
      <c r="G985" s="22">
        <v>233550</v>
      </c>
      <c r="H985" s="24"/>
      <c r="I985" s="24"/>
      <c r="J985" s="21">
        <v>1973</v>
      </c>
      <c r="K985" s="4" t="s">
        <v>95</v>
      </c>
      <c r="L985" s="24"/>
      <c r="M985" s="4"/>
      <c r="N985" s="4" t="s">
        <v>1467</v>
      </c>
    </row>
    <row r="986" spans="1:14">
      <c r="A986" s="4" t="s">
        <v>3047</v>
      </c>
      <c r="B986" s="4" t="s">
        <v>3048</v>
      </c>
      <c r="C986" s="4" t="s">
        <v>80</v>
      </c>
      <c r="D986" s="4" t="s">
        <v>69</v>
      </c>
      <c r="E986" s="4" t="s">
        <v>810</v>
      </c>
      <c r="F986" s="4" t="s">
        <v>1596</v>
      </c>
      <c r="G986" s="22">
        <v>3000</v>
      </c>
      <c r="H986" s="24"/>
      <c r="I986" s="24"/>
      <c r="J986" s="21">
        <v>1953</v>
      </c>
      <c r="K986" s="4" t="s">
        <v>95</v>
      </c>
      <c r="L986" s="24"/>
      <c r="M986" s="4"/>
      <c r="N986" s="4" t="s">
        <v>1562</v>
      </c>
    </row>
    <row r="987" spans="1:14">
      <c r="A987" s="4" t="s">
        <v>3049</v>
      </c>
      <c r="B987" s="4" t="s">
        <v>3050</v>
      </c>
      <c r="C987" s="4" t="s">
        <v>109</v>
      </c>
      <c r="D987" s="4" t="s">
        <v>69</v>
      </c>
      <c r="E987" s="4" t="s">
        <v>810</v>
      </c>
      <c r="F987" s="4" t="s">
        <v>1596</v>
      </c>
      <c r="G987" s="22">
        <v>1199</v>
      </c>
      <c r="H987" s="21">
        <v>12669</v>
      </c>
      <c r="I987" s="22">
        <v>0.09464046096771647</v>
      </c>
      <c r="J987" s="24"/>
      <c r="K987" s="4" t="s">
        <v>95</v>
      </c>
      <c r="L987" s="24"/>
      <c r="M987" s="4"/>
      <c r="N987" s="24" t="s">
        <v>237</v>
      </c>
    </row>
    <row r="988" spans="1:14">
      <c r="A988" s="4" t="s">
        <v>3051</v>
      </c>
      <c r="B988" s="4" t="s">
        <v>3052</v>
      </c>
      <c r="C988" s="4" t="s">
        <v>118</v>
      </c>
      <c r="D988" s="4" t="s">
        <v>69</v>
      </c>
      <c r="E988" s="4" t="s">
        <v>810</v>
      </c>
      <c r="F988" s="4" t="s">
        <v>1596</v>
      </c>
      <c r="G988" s="22">
        <v>450</v>
      </c>
      <c r="H988" s="21">
        <v>37500</v>
      </c>
      <c r="I988" s="22">
        <v>0.012</v>
      </c>
      <c r="J988" s="24"/>
      <c r="K988" s="4" t="s">
        <v>95</v>
      </c>
      <c r="L988" s="24"/>
      <c r="M988" s="4"/>
      <c r="N988" s="24" t="s">
        <v>237</v>
      </c>
    </row>
  </sheetData>
  <autoFilter ref="A4:N988"/>
  <mergeCells count="1">
    <mergeCell ref="A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Start Here</vt:lpstr>
      <vt:lpstr>Dashboard</vt:lpstr>
      <vt:lpstr>New Property</vt:lpstr>
      <vt:lpstr>Guide</vt:lpstr>
      <vt:lpstr>Key Takeaways</vt:lpstr>
      <vt:lpstr>Call List</vt:lpstr>
      <vt:lpstr>Neighborhoods</vt:lpstr>
      <vt:lpstr>Repricing</vt:lpstr>
      <vt:lpstr>Segmentation</vt:lpstr>
      <vt:lpstr>Neighborhood Mix</vt:lpstr>
      <vt:lpstr>Opportunities</vt:lpstr>
      <vt:lpstr>Prospects</vt:lpstr>
      <vt:lpstr>Leasing</vt:lpstr>
      <vt:lpstr>Comps</vt:lpstr>
      <vt:lpstr>Market</vt:lpstr>
      <vt:lpstr>Assumptions</vt:lpstr>
      <vt:lpstr>Scenario</vt:lpstr>
      <vt:lpstr>Types</vt:lpstr>
      <vt:lpstr>Absorption</vt:lpstr>
      <vt:lpstr>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2026-08-03T22:27:20Z</dcterms:created>
  <dcterms:modified xsi:type="dcterms:W3CDTF">2026-08-03T22:27:20Z</dcterms:modified>
</cp:coreProperties>
</file>