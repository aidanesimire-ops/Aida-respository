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0" yWindow="450" windowWidth="12390" windowHeight="5085" tabRatio="600" firstSheet="0" activeTab="0" autoFilterDateGrouping="1"/>
  </bookViews>
  <sheets>
    <sheet name="Master Crosswalk &amp; Analysis" sheetId="1" state="visible" r:id="rId1"/>
    <sheet name="Action Plan (Yr 1-3)" sheetId="2" state="visible" r:id="rId2"/>
    <sheet name="Integrate Now - Qualify For" sheetId="3" state="visible" r:id="rId3"/>
    <sheet name="The Cove - Scored + Actions" sheetId="4" state="visible" r:id="rId4"/>
    <sheet name="Neighborhood Development Plan" sheetId="5" state="visible" r:id="rId5"/>
    <sheet name="Neighborhood Development" sheetId="6" state="visible" r:id="rId6"/>
  </sheets>
  <definedNames>
    <definedName name="_xlnm._FilterDatabase" localSheetId="0" hidden="1">'Master Crosswalk &amp; Analysis'!$A$3:$L$59</definedName>
    <definedName name="_xlnm.Print_Area" localSheetId="4">'Neighborhood Development Plan'!$A$1:$Q$44</definedName>
    <definedName name="_xlnm.Print_Area" localSheetId="5">'Neighborhood Development'!$A$1:$Q$42</definedName>
  </definedNames>
  <calcPr calcId="145621" fullCalcOnLoad="1"/>
</workbook>
</file>

<file path=xl/styles.xml><?xml version="1.0" encoding="utf-8"?>
<styleSheet xmlns="http://schemas.openxmlformats.org/spreadsheetml/2006/main">
  <numFmts count="0"/>
  <fonts count="38">
    <font>
      <name val="Calibri"/>
      <family val="2"/>
      <color theme="1"/>
      <sz val="11"/>
      <scheme val="minor"/>
    </font>
    <font>
      <name val="Arial"/>
      <family val="2"/>
      <b val="1"/>
      <sz val="14"/>
    </font>
    <font>
      <name val="Arial"/>
      <family val="2"/>
      <b val="1"/>
      <sz val="13"/>
    </font>
    <font>
      <name val="Arial"/>
      <family val="2"/>
      <sz val="10"/>
    </font>
    <font>
      <name val="Arial"/>
      <family val="2"/>
      <sz val="6"/>
    </font>
    <font>
      <name val="Arial"/>
      <family val="2"/>
      <sz val="8"/>
    </font>
    <font>
      <name val="Arial"/>
      <family val="2"/>
      <b val="1"/>
      <sz val="10"/>
    </font>
    <font>
      <name val="Arial"/>
      <family val="2"/>
      <b val="1"/>
      <color indexed="63"/>
      <sz val="9"/>
    </font>
    <font>
      <name val="Arial"/>
      <family val="2"/>
      <color indexed="63"/>
      <sz val="9"/>
    </font>
    <font>
      <name val="Arial"/>
      <family val="2"/>
      <b val="1"/>
      <sz val="12"/>
    </font>
    <font>
      <name val="Arial"/>
      <family val="2"/>
      <b val="1"/>
      <sz val="8"/>
    </font>
    <font>
      <name val="Arial"/>
      <family val="2"/>
      <color indexed="9"/>
      <sz val="10"/>
    </font>
    <font>
      <name val="Arial"/>
      <family val="2"/>
      <sz val="8"/>
      <vertAlign val="superscript"/>
    </font>
    <font>
      <name val="Arial"/>
      <family val="2"/>
      <color indexed="9"/>
      <sz val="8"/>
    </font>
    <font>
      <name val="Arial"/>
      <family val="2"/>
      <color theme="1"/>
      <sz val="11"/>
    </font>
    <font>
      <name val="Arial"/>
      <family val="2"/>
      <color theme="1"/>
      <sz val="8"/>
    </font>
    <font>
      <name val="Arial"/>
      <family val="2"/>
      <color theme="1"/>
      <sz val="10"/>
    </font>
    <font>
      <name val="Arial"/>
      <family val="2"/>
      <b val="1"/>
      <color rgb="FFFF0000"/>
      <sz val="10"/>
    </font>
    <font>
      <name val="Arial"/>
      <family val="2"/>
      <b val="1"/>
      <color rgb="FF00B050"/>
      <sz val="10"/>
    </font>
    <font>
      <name val="Arial"/>
      <family val="2"/>
      <b val="1"/>
      <color theme="0"/>
      <sz val="12"/>
    </font>
    <font>
      <name val="Arial"/>
      <family val="2"/>
      <b val="1"/>
      <color theme="0"/>
      <sz val="10"/>
    </font>
    <font>
      <name val="Arial"/>
      <family val="2"/>
      <color theme="0"/>
      <sz val="10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sz val="7"/>
    </font>
    <font>
      <name val="Arial"/>
      <family val="2"/>
      <b val="1"/>
      <color indexed="63"/>
      <sz val="8"/>
    </font>
    <font>
      <name val="Arial"/>
      <family val="2"/>
      <color indexed="63"/>
      <sz val="8"/>
    </font>
    <font>
      <b val="1"/>
      <color rgb="00FFFFFF"/>
      <sz val="12"/>
    </font>
    <font>
      <b val="1"/>
    </font>
    <font>
      <b val="1"/>
      <color rgb="001F4E5F"/>
      <sz val="11"/>
    </font>
    <font>
      <b val="1"/>
      <sz val="9"/>
    </font>
    <font>
      <b val="1"/>
      <sz val="12"/>
    </font>
    <font>
      <i val="1"/>
      <sz val="10"/>
    </font>
    <font>
      <b val="1"/>
      <sz val="11"/>
    </font>
    <font>
      <i val="1"/>
      <sz val="9"/>
    </font>
    <font>
      <sz val="9"/>
    </font>
    <font>
      <b val="1"/>
      <sz val="8"/>
    </font>
    <font>
      <sz val="8"/>
    </font>
  </fonts>
  <fills count="1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001F4E5F"/>
      </patternFill>
    </fill>
    <fill>
      <patternFill patternType="solid">
        <fgColor rgb="00DDE7EC"/>
      </patternFill>
    </fill>
    <fill>
      <patternFill patternType="solid">
        <fgColor rgb="00C6EFCE"/>
      </patternFill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BDD7EE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E7E6E6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55"/>
      </top>
      <bottom style="thin">
        <color indexed="55"/>
      </bottom>
      <diagonal/>
    </border>
    <border>
      <left/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63"/>
      </top>
      <bottom style="thin">
        <color indexed="63"/>
      </bottom>
      <diagonal/>
    </border>
    <border>
      <left/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/>
      <top style="thin">
        <color indexed="55"/>
      </top>
      <bottom style="thin">
        <color indexed="55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60">
    <xf numFmtId="0" fontId="0" fillId="0" borderId="0" pivotButton="0" quotePrefix="0" xfId="0"/>
    <xf numFmtId="0" fontId="7" fillId="0" borderId="0" applyAlignment="1" applyProtection="1" pivotButton="0" quotePrefix="0" xfId="0">
      <alignment horizontal="left"/>
      <protection locked="0" hidden="0"/>
    </xf>
    <xf numFmtId="0" fontId="8" fillId="0" borderId="0" applyProtection="1" pivotButton="0" quotePrefix="0" xfId="0">
      <protection locked="0" hidden="0"/>
    </xf>
    <xf numFmtId="0" fontId="8" fillId="0" borderId="0" applyAlignment="1" applyProtection="1" pivotButton="0" quotePrefix="0" xfId="0">
      <alignment horizontal="center"/>
      <protection locked="0" hidden="0"/>
    </xf>
    <xf numFmtId="0" fontId="1" fillId="2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3" fillId="2" borderId="0" applyAlignment="1" applyProtection="1" pivotButton="0" quotePrefix="0" xfId="0">
      <alignment horizontal="center" vertical="center"/>
      <protection locked="0" hidden="0"/>
    </xf>
    <xf numFmtId="0" fontId="3" fillId="2" borderId="0" applyAlignment="1" applyProtection="1" pivotButton="0" quotePrefix="0" xfId="0">
      <alignment vertical="center"/>
      <protection locked="0" hidden="0"/>
    </xf>
    <xf numFmtId="0" fontId="3" fillId="2" borderId="0" applyAlignment="1" applyProtection="1" pivotButton="0" quotePrefix="0" xfId="0">
      <alignment horizontal="left" vertical="center"/>
      <protection locked="0" hidden="0"/>
    </xf>
    <xf numFmtId="0" fontId="4" fillId="2" borderId="0" applyAlignment="1" applyProtection="1" pivotButton="0" quotePrefix="0" xfId="0">
      <alignment horizontal="center" vertical="center"/>
      <protection locked="0" hidden="0"/>
    </xf>
    <xf numFmtId="0" fontId="5" fillId="2" borderId="0" applyAlignment="1" pivotButton="0" quotePrefix="0" xfId="0">
      <alignment vertical="center"/>
    </xf>
    <xf numFmtId="0" fontId="5" fillId="2" borderId="0" applyAlignment="1" pivotButton="0" quotePrefix="0" xfId="0">
      <alignment horizontal="center" vertical="center"/>
    </xf>
    <xf numFmtId="0" fontId="5" fillId="2" borderId="0" applyAlignment="1" applyProtection="1" pivotButton="0" quotePrefix="0" xfId="0">
      <alignment vertical="center"/>
      <protection locked="0" hidden="0"/>
    </xf>
    <xf numFmtId="0" fontId="3" fillId="2" borderId="0" applyProtection="1" pivotButton="0" quotePrefix="0" xfId="0">
      <protection locked="0" hidden="0"/>
    </xf>
    <xf numFmtId="0" fontId="5" fillId="2" borderId="0" applyAlignment="1" applyProtection="1" pivotButton="0" quotePrefix="0" xfId="0">
      <alignment horizontal="center" vertical="center"/>
      <protection locked="0" hidden="0"/>
    </xf>
    <xf numFmtId="0" fontId="6" fillId="2" borderId="0" applyAlignment="1" pivotButton="0" quotePrefix="0" xfId="0">
      <alignment vertical="center"/>
    </xf>
    <xf numFmtId="0" fontId="3" fillId="2" borderId="0" applyAlignment="1" applyProtection="1" pivotButton="0" quotePrefix="0" xfId="0">
      <alignment vertical="top"/>
      <protection locked="0" hidden="0"/>
    </xf>
    <xf numFmtId="0" fontId="5" fillId="2" borderId="0" applyAlignment="1" pivotButton="0" quotePrefix="0" xfId="0">
      <alignment horizontal="center" vertical="top"/>
    </xf>
    <xf numFmtId="0" fontId="10" fillId="2" borderId="0" applyAlignment="1" applyProtection="1" pivotButton="0" quotePrefix="0" xfId="0">
      <alignment horizontal="center" vertical="center"/>
      <protection locked="0" hidden="0"/>
    </xf>
    <xf numFmtId="0" fontId="3" fillId="2" borderId="0" applyAlignment="1" applyProtection="1" pivotButton="0" quotePrefix="0" xfId="0">
      <alignment horizontal="center" vertical="center"/>
      <protection locked="0" hidden="0"/>
    </xf>
    <xf numFmtId="0" fontId="11" fillId="2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pivotButton="0" quotePrefix="0" xfId="0">
      <alignment horizontal="center" vertical="center"/>
    </xf>
    <xf numFmtId="0" fontId="4" fillId="2" borderId="0" applyAlignment="1" applyProtection="1" pivotButton="0" quotePrefix="0" xfId="0">
      <alignment horizontal="center" vertical="center"/>
      <protection locked="0" hidden="0"/>
    </xf>
    <xf numFmtId="0" fontId="3" fillId="2" borderId="0" applyAlignment="1" applyProtection="1" pivotButton="0" quotePrefix="0" xfId="0">
      <alignment vertical="center"/>
      <protection locked="0" hidden="0"/>
    </xf>
    <xf numFmtId="0" fontId="6" fillId="2" borderId="0" applyAlignment="1" pivotButton="0" quotePrefix="0" xfId="0">
      <alignment vertical="center"/>
    </xf>
    <xf numFmtId="0" fontId="9" fillId="2" borderId="0" applyAlignment="1" applyProtection="1" pivotButton="0" quotePrefix="0" xfId="0">
      <alignment vertical="center"/>
      <protection locked="0" hidden="0"/>
    </xf>
    <xf numFmtId="0" fontId="9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6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vertical="center"/>
    </xf>
    <xf numFmtId="0" fontId="5" fillId="2" borderId="0" applyAlignment="1" pivotButton="0" quotePrefix="0" xfId="0">
      <alignment horizontal="center" vertical="center"/>
    </xf>
    <xf numFmtId="0" fontId="9" fillId="2" borderId="0" applyAlignment="1" applyProtection="1" pivotButton="0" quotePrefix="0" xfId="0">
      <alignment horizontal="left" vertical="center"/>
      <protection locked="0" hidden="0"/>
    </xf>
    <xf numFmtId="0" fontId="5" fillId="2" borderId="0" applyAlignment="1" applyProtection="1" pivotButton="0" quotePrefix="0" xfId="0">
      <alignment horizontal="center" vertical="center"/>
      <protection locked="0" hidden="0"/>
    </xf>
    <xf numFmtId="0" fontId="3" fillId="2" borderId="0" applyAlignment="1" pivotButton="0" quotePrefix="0" xfId="0">
      <alignment horizontal="center" vertical="center"/>
    </xf>
    <xf numFmtId="0" fontId="3" fillId="2" borderId="0" applyProtection="1" pivotButton="0" quotePrefix="0" xfId="0">
      <protection locked="0" hidden="0"/>
    </xf>
    <xf numFmtId="0" fontId="7" fillId="2" borderId="0" applyAlignment="1" applyProtection="1" pivotButton="0" quotePrefix="0" xfId="0">
      <alignment horizontal="left"/>
      <protection locked="0" hidden="0"/>
    </xf>
    <xf numFmtId="0" fontId="8" fillId="2" borderId="0" applyProtection="1" pivotButton="0" quotePrefix="0" xfId="0">
      <protection locked="0" hidden="0"/>
    </xf>
    <xf numFmtId="0" fontId="8" fillId="2" borderId="0" applyAlignment="1" applyProtection="1" pivotButton="0" quotePrefix="0" xfId="0">
      <alignment horizontal="center"/>
      <protection locked="0" hidden="0"/>
    </xf>
    <xf numFmtId="0" fontId="10" fillId="2" borderId="0" applyAlignment="1" pivotButton="0" quotePrefix="0" xfId="0">
      <alignment vertical="center"/>
    </xf>
    <xf numFmtId="0" fontId="9" fillId="2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left" vertical="center"/>
    </xf>
    <xf numFmtId="0" fontId="13" fillId="2" borderId="0" applyAlignment="1" applyProtection="1" pivotButton="0" quotePrefix="0" xfId="0">
      <alignment horizontal="center" vertical="center"/>
      <protection locked="0" hidden="0"/>
    </xf>
    <xf numFmtId="0" fontId="5" fillId="3" borderId="3" applyAlignment="1" applyProtection="1" pivotButton="0" quotePrefix="0" xfId="0">
      <alignment horizontal="center" vertical="center"/>
      <protection locked="0" hidden="0"/>
    </xf>
    <xf numFmtId="0" fontId="5" fillId="4" borderId="3" applyAlignment="1" applyProtection="1" pivotButton="0" quotePrefix="0" xfId="0">
      <alignment horizontal="center" vertical="center"/>
      <protection locked="0" hidden="0"/>
    </xf>
    <xf numFmtId="0" fontId="5" fillId="3" borderId="3" applyAlignment="1" applyProtection="1" pivotButton="0" quotePrefix="0" xfId="0">
      <alignment horizontal="center" vertical="top"/>
      <protection locked="0" hidden="0"/>
    </xf>
    <xf numFmtId="0" fontId="5" fillId="4" borderId="3" applyAlignment="1" applyProtection="1" pivotButton="0" quotePrefix="0" xfId="0">
      <alignment horizontal="center" vertical="top"/>
      <protection locked="0" hidden="0"/>
    </xf>
    <xf numFmtId="0" fontId="5" fillId="2" borderId="0" applyAlignment="1" applyProtection="1" pivotButton="0" quotePrefix="0" xfId="0">
      <alignment horizontal="left" vertical="center"/>
      <protection locked="0" hidden="0"/>
    </xf>
    <xf numFmtId="0" fontId="9" fillId="5" borderId="5" applyAlignment="1" applyProtection="1" pivotButton="0" quotePrefix="0" xfId="0">
      <alignment vertical="center"/>
      <protection locked="0" hidden="0"/>
    </xf>
    <xf numFmtId="0" fontId="9" fillId="5" borderId="5" applyAlignment="1" pivotButton="0" quotePrefix="0" xfId="0">
      <alignment vertical="center"/>
    </xf>
    <xf numFmtId="0" fontId="3" fillId="5" borderId="5" applyAlignment="1" pivotButton="0" quotePrefix="0" xfId="0">
      <alignment vertical="center"/>
    </xf>
    <xf numFmtId="0" fontId="6" fillId="5" borderId="6" applyAlignment="1" pivotButton="0" quotePrefix="0" xfId="0">
      <alignment horizontal="center" vertical="center"/>
    </xf>
    <xf numFmtId="0" fontId="14" fillId="2" borderId="0" pivotButton="0" quotePrefix="0" xfId="0"/>
    <xf numFmtId="0" fontId="14" fillId="0" borderId="0" pivotButton="0" quotePrefix="0" xfId="0"/>
    <xf numFmtId="0" fontId="15" fillId="2" borderId="0" pivotButton="0" quotePrefix="0" xfId="0"/>
    <xf numFmtId="0" fontId="14" fillId="2" borderId="0" applyAlignment="1" pivotButton="0" quotePrefix="0" xfId="0">
      <alignment vertical="top"/>
    </xf>
    <xf numFmtId="0" fontId="14" fillId="0" borderId="0" applyAlignment="1" pivotButton="0" quotePrefix="0" xfId="0">
      <alignment vertical="top"/>
    </xf>
    <xf numFmtId="0" fontId="14" fillId="2" borderId="0" applyAlignment="1" pivotButton="0" quotePrefix="0" xfId="0">
      <alignment horizontal="center"/>
    </xf>
    <xf numFmtId="0" fontId="14" fillId="2" borderId="0" pivotButton="0" quotePrefix="0" xfId="0"/>
    <xf numFmtId="0" fontId="16" fillId="2" borderId="0" pivotButton="0" quotePrefix="0" xfId="0"/>
    <xf numFmtId="0" fontId="14" fillId="2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9" fillId="5" borderId="5" applyAlignment="1" applyProtection="1" pivotButton="0" quotePrefix="0" xfId="0">
      <alignment horizontal="left" vertical="center"/>
      <protection locked="0" hidden="0"/>
    </xf>
    <xf numFmtId="0" fontId="3" fillId="5" borderId="5" applyAlignment="1" applyProtection="1" pivotButton="0" quotePrefix="0" xfId="0">
      <alignment vertical="center"/>
      <protection locked="0" hidden="0"/>
    </xf>
    <xf numFmtId="0" fontId="6" fillId="5" borderId="5" applyAlignment="1" pivotButton="0" quotePrefix="0" xfId="0">
      <alignment vertical="center"/>
    </xf>
    <xf numFmtId="0" fontId="6" fillId="5" borderId="5" applyAlignment="1" applyProtection="1" pivotButton="0" quotePrefix="0" xfId="0">
      <alignment horizontal="left" vertical="center"/>
      <protection locked="0" hidden="0"/>
    </xf>
    <xf numFmtId="0" fontId="16" fillId="2" borderId="0" applyAlignment="1" applyProtection="1" pivotButton="0" quotePrefix="0" xfId="0">
      <alignment vertical="center"/>
      <protection locked="0" hidden="0"/>
    </xf>
    <xf numFmtId="0" fontId="6" fillId="2" borderId="3" applyAlignment="1" pivotButton="0" quotePrefix="0" xfId="0">
      <alignment horizontal="center" vertical="center"/>
    </xf>
    <xf numFmtId="0" fontId="18" fillId="2" borderId="3" applyAlignment="1" pivotButton="0" quotePrefix="0" xfId="0">
      <alignment horizontal="center" vertical="center"/>
    </xf>
    <xf numFmtId="0" fontId="17" fillId="2" borderId="3" applyAlignment="1" pivotButton="0" quotePrefix="0" xfId="0">
      <alignment horizontal="center" vertical="center"/>
    </xf>
    <xf numFmtId="0" fontId="5" fillId="6" borderId="3" applyAlignment="1" applyProtection="1" pivotButton="0" quotePrefix="0" xfId="0">
      <alignment horizontal="center" vertical="center"/>
      <protection locked="0" hidden="0"/>
    </xf>
    <xf numFmtId="0" fontId="5" fillId="6" borderId="3" applyAlignment="1" applyProtection="1" pivotButton="0" quotePrefix="0" xfId="0">
      <alignment horizontal="center" vertical="top"/>
      <protection locked="0" hidden="0"/>
    </xf>
    <xf numFmtId="0" fontId="6" fillId="0" borderId="1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19" fillId="7" borderId="7" applyAlignment="1" applyProtection="1" pivotButton="0" quotePrefix="0" xfId="0">
      <alignment vertical="center"/>
      <protection locked="0" hidden="0"/>
    </xf>
    <xf numFmtId="0" fontId="20" fillId="7" borderId="7" applyAlignment="1" applyProtection="1" pivotButton="0" quotePrefix="0" xfId="0">
      <alignment vertical="center"/>
      <protection locked="0" hidden="0"/>
    </xf>
    <xf numFmtId="0" fontId="21" fillId="7" borderId="7" applyAlignment="1" applyProtection="1" pivotButton="0" quotePrefix="0" xfId="0">
      <alignment vertical="center"/>
      <protection locked="0" hidden="0"/>
    </xf>
    <xf numFmtId="0" fontId="21" fillId="7" borderId="8" applyAlignment="1" pivotButton="0" quotePrefix="0" xfId="0">
      <alignment horizontal="center" vertical="center"/>
    </xf>
    <xf numFmtId="0" fontId="22" fillId="2" borderId="0" applyAlignment="1" applyProtection="1" pivotButton="0" quotePrefix="0" xfId="0">
      <alignment vertical="center"/>
      <protection locked="0" hidden="0"/>
    </xf>
    <xf numFmtId="0" fontId="23" fillId="2" borderId="0" applyAlignment="1" pivotButton="0" quotePrefix="0" xfId="0">
      <alignment vertical="center"/>
    </xf>
    <xf numFmtId="0" fontId="5" fillId="5" borderId="3" applyAlignment="1" applyProtection="1" pivotButton="0" quotePrefix="0" xfId="0">
      <alignment horizontal="center" vertical="center"/>
      <protection locked="0" hidden="0"/>
    </xf>
    <xf numFmtId="0" fontId="5" fillId="5" borderId="4" applyAlignment="1" applyProtection="1" pivotButton="0" quotePrefix="0" xfId="0">
      <alignment horizontal="center" vertical="center"/>
      <protection locked="0" hidden="0"/>
    </xf>
    <xf numFmtId="0" fontId="5" fillId="2" borderId="0" applyAlignment="1" applyProtection="1" pivotButton="0" quotePrefix="0" xfId="0">
      <alignment vertical="top"/>
      <protection locked="0" hidden="0"/>
    </xf>
    <xf numFmtId="0" fontId="6" fillId="0" borderId="3" applyAlignment="1" pivotButton="0" quotePrefix="0" xfId="0">
      <alignment horizontal="center" vertical="center"/>
    </xf>
    <xf numFmtId="0" fontId="21" fillId="7" borderId="8" applyAlignment="1" applyProtection="1" pivotButton="0" quotePrefix="0" xfId="0">
      <alignment horizontal="center" vertical="center"/>
      <protection locked="0" hidden="0"/>
    </xf>
    <xf numFmtId="0" fontId="6" fillId="5" borderId="5" applyAlignment="1" applyProtection="1" pivotButton="0" quotePrefix="0" xfId="0">
      <alignment vertical="center"/>
      <protection locked="0" hidden="0"/>
    </xf>
    <xf numFmtId="0" fontId="22" fillId="2" borderId="0" applyAlignment="1" applyProtection="1" pivotButton="0" quotePrefix="0" xfId="0">
      <alignment horizontal="left" vertical="center"/>
      <protection locked="0" hidden="0"/>
    </xf>
    <xf numFmtId="0" fontId="6" fillId="5" borderId="9" applyAlignment="1" applyProtection="1" pivotButton="0" quotePrefix="0" xfId="0">
      <alignment vertical="center"/>
      <protection locked="0" hidden="0"/>
    </xf>
    <xf numFmtId="0" fontId="18" fillId="0" borderId="3" applyAlignment="1" pivotButton="0" quotePrefix="0" xfId="0">
      <alignment horizontal="center" vertical="center"/>
    </xf>
    <xf numFmtId="0" fontId="17" fillId="0" borderId="3" applyAlignment="1" pivotButton="0" quotePrefix="0" xfId="0">
      <alignment horizontal="center" vertical="center"/>
    </xf>
    <xf numFmtId="0" fontId="24" fillId="2" borderId="0" applyAlignment="1" pivotButton="0" quotePrefix="0" xfId="0">
      <alignment vertical="center"/>
    </xf>
    <xf numFmtId="0" fontId="24" fillId="2" borderId="0" applyAlignment="1" applyProtection="1" pivotButton="0" quotePrefix="0" xfId="0">
      <alignment vertical="center"/>
      <protection locked="0" hidden="0"/>
    </xf>
    <xf numFmtId="0" fontId="14" fillId="2" borderId="0" applyAlignment="1" applyProtection="1" pivotButton="0" quotePrefix="0" xfId="0">
      <alignment vertical="center"/>
      <protection locked="0" hidden="0"/>
    </xf>
    <xf numFmtId="0" fontId="22" fillId="2" borderId="0" applyAlignment="1" pivotButton="0" quotePrefix="0" xfId="0">
      <alignment vertical="center"/>
    </xf>
    <xf numFmtId="0" fontId="25" fillId="0" borderId="0" applyAlignment="1" applyProtection="1" pivotButton="0" quotePrefix="0" xfId="0">
      <alignment horizontal="left"/>
      <protection locked="0" hidden="0"/>
    </xf>
    <xf numFmtId="0" fontId="5" fillId="2" borderId="0" applyAlignment="1" pivotButton="0" quotePrefix="0" xfId="0">
      <alignment horizontal="left" vertical="top" wrapText="1"/>
    </xf>
    <xf numFmtId="0" fontId="27" fillId="8" borderId="0" applyAlignment="1" pivotButton="0" quotePrefix="0" xfId="0">
      <alignment vertical="center"/>
    </xf>
    <xf numFmtId="0" fontId="28" fillId="9" borderId="10" applyAlignment="1" pivotButton="0" quotePrefix="0" xfId="0">
      <alignment vertical="top" wrapText="1"/>
    </xf>
    <xf numFmtId="0" fontId="28" fillId="9" borderId="10" applyAlignment="1" pivotButton="0" quotePrefix="0" xfId="0">
      <alignment horizontal="center" vertical="top"/>
    </xf>
    <xf numFmtId="0" fontId="29" fillId="9" borderId="0" pivotButton="0" quotePrefix="0" xfId="0"/>
    <xf numFmtId="0" fontId="0" fillId="0" borderId="10" applyAlignment="1" pivotButton="0" quotePrefix="0" xfId="0">
      <alignment vertical="top"/>
    </xf>
    <xf numFmtId="0" fontId="0" fillId="0" borderId="10" applyAlignment="1" pivotButton="0" quotePrefix="0" xfId="0">
      <alignment vertical="top" wrapText="1"/>
    </xf>
    <xf numFmtId="0" fontId="0" fillId="0" borderId="10" applyAlignment="1" pivotButton="0" quotePrefix="0" xfId="0">
      <alignment horizontal="center" vertical="top"/>
    </xf>
    <xf numFmtId="0" fontId="30" fillId="10" borderId="10" applyAlignment="1" pivotButton="0" quotePrefix="0" xfId="0">
      <alignment horizontal="center" vertical="top"/>
    </xf>
    <xf numFmtId="0" fontId="30" fillId="11" borderId="10" applyAlignment="1" pivotButton="0" quotePrefix="0" xfId="0">
      <alignment horizontal="center" vertical="top"/>
    </xf>
    <xf numFmtId="0" fontId="30" fillId="12" borderId="10" applyAlignment="1" pivotButton="0" quotePrefix="0" xfId="0">
      <alignment horizontal="center" vertical="top"/>
    </xf>
    <xf numFmtId="0" fontId="30" fillId="13" borderId="10" applyAlignment="1" pivotButton="0" quotePrefix="0" xfId="0">
      <alignment horizontal="center" vertical="top"/>
    </xf>
    <xf numFmtId="0" fontId="0" fillId="9" borderId="10" pivotButton="0" quotePrefix="0" xfId="0"/>
    <xf numFmtId="0" fontId="28" fillId="9" borderId="10" pivotButton="0" quotePrefix="0" xfId="0"/>
    <xf numFmtId="0" fontId="0" fillId="14" borderId="10" pivotButton="0" quotePrefix="0" xfId="0"/>
    <xf numFmtId="0" fontId="31" fillId="14" borderId="10" pivotButton="0" quotePrefix="0" xfId="0"/>
    <xf numFmtId="0" fontId="28" fillId="14" borderId="10" applyAlignment="1" pivotButton="0" quotePrefix="0" xfId="0">
      <alignment horizontal="center" vertical="top"/>
    </xf>
    <xf numFmtId="0" fontId="31" fillId="14" borderId="10" applyAlignment="1" pivotButton="0" quotePrefix="0" xfId="0">
      <alignment horizontal="center" vertical="top"/>
    </xf>
    <xf numFmtId="0" fontId="30" fillId="14" borderId="10" applyAlignment="1" pivotButton="0" quotePrefix="0" xfId="0">
      <alignment horizontal="center" vertical="top"/>
    </xf>
    <xf numFmtId="0" fontId="0" fillId="14" borderId="10" applyAlignment="1" pivotButton="0" quotePrefix="0" xfId="0">
      <alignment vertical="top" wrapText="1"/>
    </xf>
    <xf numFmtId="0" fontId="32" fillId="0" borderId="0" applyAlignment="1" pivotButton="0" quotePrefix="0" xfId="0">
      <alignment vertical="top" wrapText="1"/>
    </xf>
    <xf numFmtId="0" fontId="33" fillId="10" borderId="10" pivotButton="0" quotePrefix="0" xfId="0"/>
    <xf numFmtId="0" fontId="28" fillId="10" borderId="10" applyAlignment="1" pivotButton="0" quotePrefix="0" xfId="0">
      <alignment vertical="top" wrapText="1"/>
    </xf>
    <xf numFmtId="0" fontId="0" fillId="10" borderId="10" applyAlignment="1" pivotButton="0" quotePrefix="0" xfId="0">
      <alignment horizontal="center" vertical="top"/>
    </xf>
    <xf numFmtId="0" fontId="0" fillId="10" borderId="10" applyAlignment="1" pivotButton="0" quotePrefix="0" xfId="0">
      <alignment vertical="top" wrapText="1"/>
    </xf>
    <xf numFmtId="0" fontId="33" fillId="15" borderId="10" pivotButton="0" quotePrefix="0" xfId="0"/>
    <xf numFmtId="0" fontId="28" fillId="15" borderId="10" applyAlignment="1" pivotButton="0" quotePrefix="0" xfId="0">
      <alignment vertical="top" wrapText="1"/>
    </xf>
    <xf numFmtId="0" fontId="0" fillId="15" borderId="10" applyAlignment="1" pivotButton="0" quotePrefix="0" xfId="0">
      <alignment horizontal="center" vertical="top"/>
    </xf>
    <xf numFmtId="0" fontId="0" fillId="15" borderId="10" applyAlignment="1" pivotButton="0" quotePrefix="0" xfId="0">
      <alignment vertical="top" wrapText="1"/>
    </xf>
    <xf numFmtId="0" fontId="33" fillId="16" borderId="10" pivotButton="0" quotePrefix="0" xfId="0"/>
    <xf numFmtId="0" fontId="28" fillId="16" borderId="10" applyAlignment="1" pivotButton="0" quotePrefix="0" xfId="0">
      <alignment vertical="top" wrapText="1"/>
    </xf>
    <xf numFmtId="0" fontId="0" fillId="16" borderId="10" applyAlignment="1" pivotButton="0" quotePrefix="0" xfId="0">
      <alignment horizontal="center" vertical="top"/>
    </xf>
    <xf numFmtId="0" fontId="0" fillId="16" borderId="10" applyAlignment="1" pivotButton="0" quotePrefix="0" xfId="0">
      <alignment vertical="top" wrapText="1"/>
    </xf>
    <xf numFmtId="0" fontId="33" fillId="17" borderId="10" pivotButton="0" quotePrefix="0" xfId="0"/>
    <xf numFmtId="0" fontId="28" fillId="17" borderId="10" applyAlignment="1" pivotButton="0" quotePrefix="0" xfId="0">
      <alignment vertical="top" wrapText="1"/>
    </xf>
    <xf numFmtId="0" fontId="0" fillId="17" borderId="10" applyAlignment="1" pivotButton="0" quotePrefix="0" xfId="0">
      <alignment horizontal="center" vertical="top"/>
    </xf>
    <xf numFmtId="0" fontId="0" fillId="17" borderId="10" applyAlignment="1" pivotButton="0" quotePrefix="0" xfId="0">
      <alignment vertical="top" wrapText="1"/>
    </xf>
    <xf numFmtId="0" fontId="31" fillId="14" borderId="10" applyAlignment="1" pivotButton="0" quotePrefix="0" xfId="0">
      <alignment vertical="center" wrapText="1"/>
    </xf>
    <xf numFmtId="0" fontId="32" fillId="9" borderId="10" pivotButton="0" quotePrefix="0" xfId="0"/>
    <xf numFmtId="0" fontId="0" fillId="0" borderId="13" pivotButton="0" quotePrefix="0" xfId="0"/>
    <xf numFmtId="0" fontId="0" fillId="0" borderId="14" pivotButton="0" quotePrefix="0" xfId="0"/>
    <xf numFmtId="0" fontId="34" fillId="0" borderId="0" applyAlignment="1" pivotButton="0" quotePrefix="0" xfId="0">
      <alignment vertical="top" wrapText="1"/>
    </xf>
    <xf numFmtId="0" fontId="28" fillId="9" borderId="15" applyAlignment="1" pivotButton="0" quotePrefix="0" xfId="0">
      <alignment vertical="top" wrapText="1"/>
    </xf>
    <xf numFmtId="0" fontId="28" fillId="9" borderId="15" applyAlignment="1" pivotButton="0" quotePrefix="0" xfId="0">
      <alignment horizontal="center" vertical="top"/>
    </xf>
    <xf numFmtId="0" fontId="0" fillId="0" borderId="15" applyAlignment="1" pivotButton="0" quotePrefix="0" xfId="0">
      <alignment horizontal="center" vertical="top"/>
    </xf>
    <xf numFmtId="0" fontId="35" fillId="0" borderId="15" applyAlignment="1" pivotButton="0" quotePrefix="0" xfId="0">
      <alignment vertical="top" wrapText="1"/>
    </xf>
    <xf numFmtId="0" fontId="36" fillId="10" borderId="15" applyAlignment="1" pivotButton="0" quotePrefix="0" xfId="0">
      <alignment horizontal="center" vertical="top"/>
    </xf>
    <xf numFmtId="0" fontId="37" fillId="10" borderId="15" applyAlignment="1" pivotButton="0" quotePrefix="0" xfId="0">
      <alignment horizontal="center" vertical="top"/>
    </xf>
    <xf numFmtId="0" fontId="35" fillId="0" borderId="15" applyAlignment="1" pivotButton="0" quotePrefix="0" xfId="0">
      <alignment horizontal="center" vertical="top"/>
    </xf>
    <xf numFmtId="0" fontId="36" fillId="12" borderId="15" applyAlignment="1" pivotButton="0" quotePrefix="0" xfId="0">
      <alignment horizontal="center" vertical="top"/>
    </xf>
    <xf numFmtId="0" fontId="37" fillId="16" borderId="15" applyAlignment="1" pivotButton="0" quotePrefix="0" xfId="0">
      <alignment horizontal="center" vertical="top"/>
    </xf>
    <xf numFmtId="0" fontId="37" fillId="18" borderId="15" applyAlignment="1" pivotButton="0" quotePrefix="0" xfId="0">
      <alignment horizontal="center" vertical="top"/>
    </xf>
    <xf numFmtId="0" fontId="36" fillId="18" borderId="15" applyAlignment="1" pivotButton="0" quotePrefix="0" xfId="0">
      <alignment horizontal="center" vertical="top"/>
    </xf>
    <xf numFmtId="0" fontId="37" fillId="15" borderId="15" applyAlignment="1" pivotButton="0" quotePrefix="0" xfId="0">
      <alignment horizontal="center" vertical="top"/>
    </xf>
    <xf numFmtId="0" fontId="36" fillId="13" borderId="15" applyAlignment="1" pivotButton="0" quotePrefix="0" xfId="0">
      <alignment horizontal="center" vertical="top"/>
    </xf>
    <xf numFmtId="0" fontId="37" fillId="17" borderId="15" applyAlignment="1" pivotButton="0" quotePrefix="0" xfId="0">
      <alignment horizontal="center" vertical="top"/>
    </xf>
    <xf numFmtId="0" fontId="31" fillId="0" borderId="0" pivotButton="0" quotePrefix="0" xfId="0"/>
    <xf numFmtId="0" fontId="28" fillId="9" borderId="15" pivotButton="0" quotePrefix="0" xfId="0"/>
    <xf numFmtId="0" fontId="0" fillId="0" borderId="15" pivotButton="0" quotePrefix="0" xfId="0"/>
    <xf numFmtId="0" fontId="31" fillId="14" borderId="15" pivotButton="0" quotePrefix="0" xfId="0"/>
    <xf numFmtId="0" fontId="28" fillId="14" borderId="15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8" customWidth="1" min="2" max="2"/>
    <col width="40" customWidth="1" min="3" max="3"/>
    <col width="6" customWidth="1" min="4" max="4"/>
    <col width="6" customWidth="1" min="5" max="5"/>
    <col width="7" customWidth="1" min="6" max="6"/>
    <col width="18" customWidth="1" min="7" max="7"/>
    <col width="17" customWidth="1" min="8" max="8"/>
    <col width="10" customWidth="1" min="9" max="9"/>
    <col width="26" customWidth="1" min="10" max="10"/>
    <col width="7" customWidth="1" min="11" max="11"/>
    <col width="52" customWidth="1" min="12" max="12"/>
  </cols>
  <sheetData>
    <row r="1" ht="24" customHeight="1">
      <c r="A1" s="100" t="inlineStr">
        <is>
          <t>The Cove / Cove Waterfront District - LEED-ND Rating System crosswalked to our analysis</t>
        </is>
      </c>
    </row>
    <row r="2" ht="26" customHeight="1">
      <c r="A2" s="140" t="inlineStr">
        <is>
          <t>Study area: Cove Waterfront District (official boundary from supplied KMZ, ~1,040 acres / 1.63 sq mi).  Each row = one official LEED-ND line item; use the AutoFilter to sort by Tier / Status / Category / Timeline.</t>
        </is>
      </c>
    </row>
    <row r="3" ht="30" customHeight="1">
      <c r="A3" s="141" t="inlineStr">
        <is>
          <t>Category</t>
        </is>
      </c>
      <c r="B3" s="141" t="inlineStr">
        <is>
          <t>Type</t>
        </is>
      </c>
      <c r="C3" s="141" t="inlineStr">
        <is>
          <t>LEED-ND Item (official)</t>
        </is>
      </c>
      <c r="D3" s="142" t="inlineStr">
        <is>
          <t>Max</t>
        </is>
      </c>
      <c r="E3" s="142" t="inlineStr">
        <is>
          <t>Now</t>
        </is>
      </c>
      <c r="F3" s="142" t="inlineStr">
        <is>
          <t>Poten- tial</t>
        </is>
      </c>
      <c r="G3" s="141" t="inlineStr">
        <is>
          <t>Status</t>
        </is>
      </c>
      <c r="H3" s="141" t="inlineStr">
        <is>
          <t>Feasibility tier</t>
        </is>
      </c>
      <c r="I3" s="141" t="inlineStr">
        <is>
          <t>Timeline</t>
        </is>
      </c>
      <c r="J3" s="141" t="inlineStr">
        <is>
          <t>Lead / Owner</t>
        </is>
      </c>
      <c r="K3" s="141" t="inlineStr">
        <is>
          <t>Cost</t>
        </is>
      </c>
      <c r="L3" s="141" t="inlineStr">
        <is>
          <t>Action / how to integrate</t>
        </is>
      </c>
    </row>
    <row r="4" ht="30" customHeight="1">
      <c r="A4" s="143" t="inlineStr">
        <is>
          <t>SLL</t>
        </is>
      </c>
      <c r="B4" s="143" t="inlineStr">
        <is>
          <t>Prereq</t>
        </is>
      </c>
      <c r="C4" s="144" t="inlineStr">
        <is>
          <t>Smart Location</t>
        </is>
      </c>
      <c r="D4" s="143" t="inlineStr">
        <is>
          <t>Req</t>
        </is>
      </c>
      <c r="E4" s="143" t="inlineStr"/>
      <c r="F4" s="143" t="inlineStr"/>
      <c r="G4" s="145" t="inlineStr">
        <is>
          <t>Met</t>
        </is>
      </c>
      <c r="H4" s="146" t="inlineStr">
        <is>
          <t>1 In hand</t>
        </is>
      </c>
      <c r="I4" s="147" t="inlineStr">
        <is>
          <t>Year 1</t>
        </is>
      </c>
      <c r="J4" s="144" t="inlineStr">
        <is>
          <t>City Planning</t>
        </is>
      </c>
      <c r="K4" s="143" t="inlineStr">
        <is>
          <t>$</t>
        </is>
      </c>
      <c r="L4" s="144" t="inlineStr">
        <is>
          <t>Infill location qualifies; document adjacency/connectivity.</t>
        </is>
      </c>
    </row>
    <row r="5" ht="30" customHeight="1">
      <c r="A5" s="143" t="inlineStr">
        <is>
          <t>SLL</t>
        </is>
      </c>
      <c r="B5" s="143" t="inlineStr">
        <is>
          <t>Prereq</t>
        </is>
      </c>
      <c r="C5" s="144" t="inlineStr">
        <is>
          <t>Imperiled Species &amp; Ecological Communities</t>
        </is>
      </c>
      <c r="D5" s="143" t="inlineStr">
        <is>
          <t>Req</t>
        </is>
      </c>
      <c r="E5" s="143" t="inlineStr"/>
      <c r="F5" s="143" t="inlineStr"/>
      <c r="G5" s="145" t="inlineStr">
        <is>
          <t>Met (verify)</t>
        </is>
      </c>
      <c r="H5" s="146" t="inlineStr">
        <is>
          <t>1 In hand</t>
        </is>
      </c>
      <c r="I5" s="147" t="inlineStr">
        <is>
          <t>Year 1</t>
        </is>
      </c>
      <c r="J5" s="144" t="inlineStr">
        <is>
          <t>Planning + FWC/USFWS</t>
        </is>
      </c>
      <c r="K5" s="143" t="inlineStr">
        <is>
          <t>$</t>
        </is>
      </c>
      <c r="L5" s="144" t="inlineStr">
        <is>
          <t>Confirm no listed-species habitat; document.</t>
        </is>
      </c>
    </row>
    <row r="6" ht="30" customHeight="1">
      <c r="A6" s="143" t="inlineStr">
        <is>
          <t>SLL</t>
        </is>
      </c>
      <c r="B6" s="143" t="inlineStr">
        <is>
          <t>Prereq</t>
        </is>
      </c>
      <c r="C6" s="144" t="inlineStr">
        <is>
          <t>Wetland &amp; Water Body Conservation</t>
        </is>
      </c>
      <c r="D6" s="143" t="inlineStr">
        <is>
          <t>Req</t>
        </is>
      </c>
      <c r="E6" s="143" t="inlineStr"/>
      <c r="F6" s="143" t="inlineStr"/>
      <c r="G6" s="148" t="inlineStr">
        <is>
          <t>At risk</t>
        </is>
      </c>
      <c r="H6" s="149" t="inlineStr">
        <is>
          <t>3 Capital/analysis</t>
        </is>
      </c>
      <c r="I6" s="147" t="inlineStr">
        <is>
          <t>Year 2</t>
        </is>
      </c>
      <c r="J6" s="144" t="inlineStr">
        <is>
          <t>Environmental Svcs</t>
        </is>
      </c>
      <c r="K6" s="143" t="inlineStr">
        <is>
          <t>$$</t>
        </is>
      </c>
      <c r="L6" s="144" t="inlineStr">
        <is>
          <t>Living shorelines / canal buffers; document seawall condition.</t>
        </is>
      </c>
    </row>
    <row r="7" ht="30" customHeight="1">
      <c r="A7" s="143" t="inlineStr">
        <is>
          <t>SLL</t>
        </is>
      </c>
      <c r="B7" s="143" t="inlineStr">
        <is>
          <t>Prereq</t>
        </is>
      </c>
      <c r="C7" s="144" t="inlineStr">
        <is>
          <t>Agricultural Land Conservation</t>
        </is>
      </c>
      <c r="D7" s="143" t="inlineStr">
        <is>
          <t>Req</t>
        </is>
      </c>
      <c r="E7" s="143" t="inlineStr"/>
      <c r="F7" s="143" t="inlineStr"/>
      <c r="G7" s="145" t="inlineStr">
        <is>
          <t>Met (N/A)</t>
        </is>
      </c>
      <c r="H7" s="150" t="inlineStr">
        <is>
          <t>N/A</t>
        </is>
      </c>
      <c r="I7" s="147" t="inlineStr">
        <is>
          <t>—</t>
        </is>
      </c>
      <c r="J7" s="144" t="inlineStr">
        <is>
          <t>—</t>
        </is>
      </c>
      <c r="K7" s="143" t="inlineStr">
        <is>
          <t>—</t>
        </is>
      </c>
      <c r="L7" s="144" t="inlineStr">
        <is>
          <t>No farmland - no action.</t>
        </is>
      </c>
    </row>
    <row r="8" ht="30" customHeight="1">
      <c r="A8" s="143" t="inlineStr">
        <is>
          <t>SLL</t>
        </is>
      </c>
      <c r="B8" s="143" t="inlineStr">
        <is>
          <t>Prereq</t>
        </is>
      </c>
      <c r="C8" s="144" t="inlineStr">
        <is>
          <t>Floodplain Avoidance</t>
        </is>
      </c>
      <c r="D8" s="143" t="inlineStr">
        <is>
          <t>Req</t>
        </is>
      </c>
      <c r="E8" s="143" t="inlineStr"/>
      <c r="F8" s="143" t="inlineStr"/>
      <c r="G8" s="148" t="inlineStr">
        <is>
          <t>At risk</t>
        </is>
      </c>
      <c r="H8" s="149" t="inlineStr">
        <is>
          <t>3 Capital/analysis</t>
        </is>
      </c>
      <c r="I8" s="147" t="inlineStr">
        <is>
          <t>Ongoing</t>
        </is>
      </c>
      <c r="J8" s="144" t="inlineStr">
        <is>
          <t>Engineering + City</t>
        </is>
      </c>
      <c r="K8" s="143" t="inlineStr">
        <is>
          <t>$$</t>
        </is>
      </c>
      <c r="L8" s="144" t="inlineStr">
        <is>
          <t>Qualify via previously-developed path; freeboard + resilient standards (Zone AE); build on FEMA CRS.</t>
        </is>
      </c>
    </row>
    <row r="9" ht="30" customHeight="1">
      <c r="A9" s="143" t="inlineStr">
        <is>
          <t>SLL</t>
        </is>
      </c>
      <c r="B9" s="143" t="inlineStr">
        <is>
          <t>Credit</t>
        </is>
      </c>
      <c r="C9" s="144" t="inlineStr">
        <is>
          <t>Preferred Locations</t>
        </is>
      </c>
      <c r="D9" s="143" t="n">
        <v>10</v>
      </c>
      <c r="E9" s="143" t="n">
        <v>5</v>
      </c>
      <c r="F9" s="143" t="n">
        <v>7</v>
      </c>
      <c r="G9" s="148" t="inlineStr">
        <is>
          <t>Partial</t>
        </is>
      </c>
      <c r="H9" s="149" t="inlineStr">
        <is>
          <t>3 Capital/analysis</t>
        </is>
      </c>
      <c r="I9" s="147" t="inlineStr">
        <is>
          <t>Year 2</t>
        </is>
      </c>
      <c r="J9" s="144" t="inlineStr">
        <is>
          <t>Planning + consultant</t>
        </is>
      </c>
      <c r="K9" s="143" t="inlineStr">
        <is>
          <t>$$</t>
        </is>
      </c>
      <c r="L9" s="144" t="inlineStr">
        <is>
          <t>Commission connectivity/adjacency analysis to claim it.</t>
        </is>
      </c>
    </row>
    <row r="10" ht="30" customHeight="1">
      <c r="A10" s="143" t="inlineStr">
        <is>
          <t>SLL</t>
        </is>
      </c>
      <c r="B10" s="143" t="inlineStr">
        <is>
          <t>Credit</t>
        </is>
      </c>
      <c r="C10" s="144" t="inlineStr">
        <is>
          <t>Brownfield Remediation</t>
        </is>
      </c>
      <c r="D10" s="143" t="n">
        <v>2</v>
      </c>
      <c r="E10" s="143" t="n">
        <v>0</v>
      </c>
      <c r="F10" s="143" t="n">
        <v>0</v>
      </c>
      <c r="G10" s="151" t="inlineStr">
        <is>
          <t>N/A</t>
        </is>
      </c>
      <c r="H10" s="150" t="inlineStr">
        <is>
          <t>N/A</t>
        </is>
      </c>
      <c r="I10" s="147" t="inlineStr">
        <is>
          <t>—</t>
        </is>
      </c>
      <c r="J10" s="144" t="inlineStr">
        <is>
          <t>—</t>
        </is>
      </c>
      <c r="K10" s="143" t="inlineStr">
        <is>
          <t>—</t>
        </is>
      </c>
      <c r="L10" s="144" t="inlineStr">
        <is>
          <t>No known brownfield.</t>
        </is>
      </c>
    </row>
    <row r="11" ht="30" customHeight="1">
      <c r="A11" s="143" t="inlineStr">
        <is>
          <t>SLL</t>
        </is>
      </c>
      <c r="B11" s="143" t="inlineStr">
        <is>
          <t>Credit</t>
        </is>
      </c>
      <c r="C11" s="144" t="inlineStr">
        <is>
          <t>Access to Quality Transit</t>
        </is>
      </c>
      <c r="D11" s="143" t="n">
        <v>7</v>
      </c>
      <c r="E11" s="143" t="n">
        <v>1</v>
      </c>
      <c r="F11" s="143" t="n">
        <v>3</v>
      </c>
      <c r="G11" s="148" t="inlineStr">
        <is>
          <t>Partial</t>
        </is>
      </c>
      <c r="H11" s="149" t="inlineStr">
        <is>
          <t>3 Capital/analysis</t>
        </is>
      </c>
      <c r="I11" s="147" t="inlineStr">
        <is>
          <t>Year 3</t>
        </is>
      </c>
      <c r="J11" s="144" t="inlineStr">
        <is>
          <t>BCT + City</t>
        </is>
      </c>
      <c r="K11" s="143" t="inlineStr">
        <is>
          <t>$$$</t>
        </is>
      </c>
      <c r="L11" s="144" t="inlineStr">
        <is>
          <t>Advocate higher BCT frequency; upgrade shelters; document service.</t>
        </is>
      </c>
    </row>
    <row r="12" ht="30" customHeight="1">
      <c r="A12" s="143" t="inlineStr">
        <is>
          <t>SLL</t>
        </is>
      </c>
      <c r="B12" s="143" t="inlineStr">
        <is>
          <t>Credit</t>
        </is>
      </c>
      <c r="C12" s="144" t="inlineStr">
        <is>
          <t>Bicycle Facilities</t>
        </is>
      </c>
      <c r="D12" s="143" t="n">
        <v>2</v>
      </c>
      <c r="E12" s="143" t="n">
        <v>0</v>
      </c>
      <c r="F12" s="143" t="n">
        <v>2</v>
      </c>
      <c r="G12" s="148" t="inlineStr">
        <is>
          <t>Partial</t>
        </is>
      </c>
      <c r="H12" s="152" t="inlineStr">
        <is>
          <t>2 City program</t>
        </is>
      </c>
      <c r="I12" s="147" t="inlineStr">
        <is>
          <t>Year 2</t>
        </is>
      </c>
      <c r="J12" s="144" t="inlineStr">
        <is>
          <t>City + Broward MPO</t>
        </is>
      </c>
      <c r="K12" s="143" t="inlineStr">
        <is>
          <t>$$</t>
        </is>
      </c>
      <c r="L12" s="144" t="inlineStr">
        <is>
          <t>Bike lanes/racks linking Cove node, beach, A1A; join county network.</t>
        </is>
      </c>
    </row>
    <row r="13" ht="30" customHeight="1">
      <c r="A13" s="143" t="inlineStr">
        <is>
          <t>SLL</t>
        </is>
      </c>
      <c r="B13" s="143" t="inlineStr">
        <is>
          <t>Credit</t>
        </is>
      </c>
      <c r="C13" s="144" t="inlineStr">
        <is>
          <t>Housing &amp; Jobs Proximity</t>
        </is>
      </c>
      <c r="D13" s="143" t="n">
        <v>3</v>
      </c>
      <c r="E13" s="143" t="n">
        <v>1</v>
      </c>
      <c r="F13" s="143" t="n">
        <v>2</v>
      </c>
      <c r="G13" s="148" t="inlineStr">
        <is>
          <t>Partial</t>
        </is>
      </c>
      <c r="H13" s="149" t="inlineStr">
        <is>
          <t>3 Capital/analysis</t>
        </is>
      </c>
      <c r="I13" s="147" t="inlineStr">
        <is>
          <t>Year 2</t>
        </is>
      </c>
      <c r="J13" s="144" t="inlineStr">
        <is>
          <t>Planning</t>
        </is>
      </c>
      <c r="K13" s="143" t="inlineStr">
        <is>
          <t>$</t>
        </is>
      </c>
      <c r="L13" s="144" t="inlineStr">
        <is>
          <t>Document jobs within 1/2 mile (retail + Hillsboro corridor).</t>
        </is>
      </c>
    </row>
    <row r="14" ht="30" customHeight="1">
      <c r="A14" s="143" t="inlineStr">
        <is>
          <t>SLL</t>
        </is>
      </c>
      <c r="B14" s="143" t="inlineStr">
        <is>
          <t>Credit</t>
        </is>
      </c>
      <c r="C14" s="144" t="inlineStr">
        <is>
          <t>Steep Slope Protection</t>
        </is>
      </c>
      <c r="D14" s="143" t="n">
        <v>1</v>
      </c>
      <c r="E14" s="143" t="n">
        <v>0</v>
      </c>
      <c r="F14" s="143" t="n">
        <v>0</v>
      </c>
      <c r="G14" s="151" t="inlineStr">
        <is>
          <t>N/A</t>
        </is>
      </c>
      <c r="H14" s="150" t="inlineStr">
        <is>
          <t>N/A</t>
        </is>
      </c>
      <c r="I14" s="147" t="inlineStr">
        <is>
          <t>—</t>
        </is>
      </c>
      <c r="J14" s="144" t="inlineStr">
        <is>
          <t>—</t>
        </is>
      </c>
      <c r="K14" s="143" t="inlineStr">
        <is>
          <t>—</t>
        </is>
      </c>
      <c r="L14" s="144" t="inlineStr">
        <is>
          <t>Flat coastal site - not achievable.</t>
        </is>
      </c>
    </row>
    <row r="15" ht="30" customHeight="1">
      <c r="A15" s="143" t="inlineStr">
        <is>
          <t>SLL</t>
        </is>
      </c>
      <c r="B15" s="143" t="inlineStr">
        <is>
          <t>Credit</t>
        </is>
      </c>
      <c r="C15" s="144" t="inlineStr">
        <is>
          <t>Site Design for Habitat/Water Body</t>
        </is>
      </c>
      <c r="D15" s="143" t="n">
        <v>1</v>
      </c>
      <c r="E15" s="143" t="n">
        <v>0</v>
      </c>
      <c r="F15" s="143" t="n">
        <v>0</v>
      </c>
      <c r="G15" s="153" t="inlineStr">
        <is>
          <t>Not met</t>
        </is>
      </c>
      <c r="H15" s="154" t="inlineStr">
        <is>
          <t>4 Redevelopment</t>
        </is>
      </c>
      <c r="I15" s="147" t="inlineStr">
        <is>
          <t>Ongoing</t>
        </is>
      </c>
      <c r="J15" s="144" t="inlineStr">
        <is>
          <t>Environmental Svcs</t>
        </is>
      </c>
      <c r="K15" s="143" t="inlineStr">
        <is>
          <t>$$</t>
        </is>
      </c>
      <c r="L15" s="144" t="inlineStr">
        <is>
          <t>Native shoreline planting/habitat features to pursue.</t>
        </is>
      </c>
    </row>
    <row r="16" ht="30" customHeight="1">
      <c r="A16" s="143" t="inlineStr">
        <is>
          <t>SLL</t>
        </is>
      </c>
      <c r="B16" s="143" t="inlineStr">
        <is>
          <t>Credit</t>
        </is>
      </c>
      <c r="C16" s="144" t="inlineStr">
        <is>
          <t>Restoration of Habitat/Wetlands</t>
        </is>
      </c>
      <c r="D16" s="143" t="n">
        <v>1</v>
      </c>
      <c r="E16" s="143" t="n">
        <v>0</v>
      </c>
      <c r="F16" s="143" t="n">
        <v>0</v>
      </c>
      <c r="G16" s="153" t="inlineStr">
        <is>
          <t>Not met</t>
        </is>
      </c>
      <c r="H16" s="154" t="inlineStr">
        <is>
          <t>4 Redevelopment</t>
        </is>
      </c>
      <c r="I16" s="147" t="inlineStr">
        <is>
          <t>Ongoing</t>
        </is>
      </c>
      <c r="J16" s="144" t="inlineStr">
        <is>
          <t>Environmental Svcs</t>
        </is>
      </c>
      <c r="K16" s="143" t="inlineStr">
        <is>
          <t>$$</t>
        </is>
      </c>
      <c r="L16" s="144" t="inlineStr">
        <is>
          <t>Restore mangrove/native edge (e.g., near Sullivan Park).</t>
        </is>
      </c>
    </row>
    <row r="17" ht="30" customHeight="1">
      <c r="A17" s="143" t="inlineStr">
        <is>
          <t>SLL</t>
        </is>
      </c>
      <c r="B17" s="143" t="inlineStr">
        <is>
          <t>Credit</t>
        </is>
      </c>
      <c r="C17" s="144" t="inlineStr">
        <is>
          <t>Long-Term Conservation Management</t>
        </is>
      </c>
      <c r="D17" s="143" t="n">
        <v>1</v>
      </c>
      <c r="E17" s="143" t="n">
        <v>0</v>
      </c>
      <c r="F17" s="143" t="n">
        <v>0</v>
      </c>
      <c r="G17" s="153" t="inlineStr">
        <is>
          <t>Not met</t>
        </is>
      </c>
      <c r="H17" s="154" t="inlineStr">
        <is>
          <t>4 Redevelopment</t>
        </is>
      </c>
      <c r="I17" s="147" t="inlineStr">
        <is>
          <t>Ongoing</t>
        </is>
      </c>
      <c r="J17" s="144" t="inlineStr">
        <is>
          <t>Environmental Svcs</t>
        </is>
      </c>
      <c r="K17" s="143" t="inlineStr">
        <is>
          <t>$</t>
        </is>
      </c>
      <c r="L17" s="144" t="inlineStr">
        <is>
          <t>Management plan for any restored habitat.</t>
        </is>
      </c>
    </row>
    <row r="18" ht="30" customHeight="1">
      <c r="A18" s="143" t="inlineStr">
        <is>
          <t>NPD</t>
        </is>
      </c>
      <c r="B18" s="143" t="inlineStr">
        <is>
          <t>Prereq</t>
        </is>
      </c>
      <c r="C18" s="144" t="inlineStr">
        <is>
          <t>Walkable Streets</t>
        </is>
      </c>
      <c r="D18" s="143" t="inlineStr">
        <is>
          <t>Req</t>
        </is>
      </c>
      <c r="E18" s="143" t="inlineStr"/>
      <c r="F18" s="143" t="inlineStr"/>
      <c r="G18" s="148" t="inlineStr">
        <is>
          <t>Partial</t>
        </is>
      </c>
      <c r="H18" s="149" t="inlineStr">
        <is>
          <t>3 Capital/analysis</t>
        </is>
      </c>
      <c r="I18" s="147" t="inlineStr">
        <is>
          <t>Year 2</t>
        </is>
      </c>
      <c r="J18" s="144" t="inlineStr">
        <is>
          <t>Engineering</t>
        </is>
      </c>
      <c r="K18" s="143" t="inlineStr">
        <is>
          <t>$$</t>
        </is>
      </c>
      <c r="L18" s="144" t="inlineStr">
        <is>
          <t>Sidewalk audit; fill gaps; entries face the street on corridors.</t>
        </is>
      </c>
    </row>
    <row r="19" ht="30" customHeight="1">
      <c r="A19" s="143" t="inlineStr">
        <is>
          <t>NPD</t>
        </is>
      </c>
      <c r="B19" s="143" t="inlineStr">
        <is>
          <t>Prereq</t>
        </is>
      </c>
      <c r="C19" s="144" t="inlineStr">
        <is>
          <t>Compact Development</t>
        </is>
      </c>
      <c r="D19" s="143" t="inlineStr">
        <is>
          <t>Req</t>
        </is>
      </c>
      <c r="E19" s="143" t="inlineStr"/>
      <c r="F19" s="143" t="inlineStr"/>
      <c r="G19" s="148" t="inlineStr">
        <is>
          <t>At risk</t>
        </is>
      </c>
      <c r="H19" s="154" t="inlineStr">
        <is>
          <t>4 Redevelopment</t>
        </is>
      </c>
      <c r="I19" s="147" t="inlineStr">
        <is>
          <t>Ongoing</t>
        </is>
      </c>
      <c r="J19" s="144" t="inlineStr">
        <is>
          <t>Planning/CRA/Commission</t>
        </is>
      </c>
      <c r="K19" s="143" t="inlineStr">
        <is>
          <t>policy</t>
        </is>
      </c>
      <c r="L19" s="144" t="inlineStr">
        <is>
          <t>Raise allowed net density on US-1 &amp; Hillsboro edges.</t>
        </is>
      </c>
    </row>
    <row r="20" ht="30" customHeight="1">
      <c r="A20" s="143" t="inlineStr">
        <is>
          <t>NPD</t>
        </is>
      </c>
      <c r="B20" s="143" t="inlineStr">
        <is>
          <t>Prereq</t>
        </is>
      </c>
      <c r="C20" s="144" t="inlineStr">
        <is>
          <t>Connected &amp; Open Community</t>
        </is>
      </c>
      <c r="D20" s="143" t="inlineStr">
        <is>
          <t>Req</t>
        </is>
      </c>
      <c r="E20" s="143" t="inlineStr"/>
      <c r="F20" s="143" t="inlineStr"/>
      <c r="G20" s="148" t="inlineStr">
        <is>
          <t>At risk</t>
        </is>
      </c>
      <c r="H20" s="149" t="inlineStr">
        <is>
          <t>3 Capital/analysis</t>
        </is>
      </c>
      <c r="I20" s="147" t="inlineStr">
        <is>
          <t>Year 3</t>
        </is>
      </c>
      <c r="J20" s="144" t="inlineStr">
        <is>
          <t>Engineering</t>
        </is>
      </c>
      <c r="K20" s="143" t="inlineStr">
        <is>
          <t>$$</t>
        </is>
      </c>
      <c r="L20" s="144" t="inlineStr">
        <is>
          <t>Ped cut-throughs; keep streets public &amp; through-connected.</t>
        </is>
      </c>
    </row>
    <row r="21" ht="30" customHeight="1">
      <c r="A21" s="143" t="inlineStr">
        <is>
          <t>NPD</t>
        </is>
      </c>
      <c r="B21" s="143" t="inlineStr">
        <is>
          <t>Credit</t>
        </is>
      </c>
      <c r="C21" s="144" t="inlineStr">
        <is>
          <t>Walkable Streets</t>
        </is>
      </c>
      <c r="D21" s="143" t="n">
        <v>9</v>
      </c>
      <c r="E21" s="143" t="n">
        <v>3</v>
      </c>
      <c r="F21" s="143" t="n">
        <v>4</v>
      </c>
      <c r="G21" s="148" t="inlineStr">
        <is>
          <t>Partial</t>
        </is>
      </c>
      <c r="H21" s="149" t="inlineStr">
        <is>
          <t>3 Capital/analysis</t>
        </is>
      </c>
      <c r="I21" s="147" t="inlineStr">
        <is>
          <t>Year 3</t>
        </is>
      </c>
      <c r="J21" s="144" t="inlineStr">
        <is>
          <t>Public Works</t>
        </is>
      </c>
      <c r="K21" s="143" t="inlineStr">
        <is>
          <t>$$$</t>
        </is>
      </c>
      <c r="L21" s="144" t="inlineStr">
        <is>
          <t>Sidewalks, crossings, calming, street trees on grid + corridors.</t>
        </is>
      </c>
    </row>
    <row r="22" ht="30" customHeight="1">
      <c r="A22" s="143" t="inlineStr">
        <is>
          <t>NPD</t>
        </is>
      </c>
      <c r="B22" s="143" t="inlineStr">
        <is>
          <t>Credit</t>
        </is>
      </c>
      <c r="C22" s="144" t="inlineStr">
        <is>
          <t>Compact Development</t>
        </is>
      </c>
      <c r="D22" s="143" t="n">
        <v>6</v>
      </c>
      <c r="E22" s="143" t="n">
        <v>0</v>
      </c>
      <c r="F22" s="143" t="n">
        <v>0</v>
      </c>
      <c r="G22" s="153" t="inlineStr">
        <is>
          <t>Needs redevelopment</t>
        </is>
      </c>
      <c r="H22" s="154" t="inlineStr">
        <is>
          <t>4 Redevelopment</t>
        </is>
      </c>
      <c r="I22" s="147" t="inlineStr">
        <is>
          <t>Ongoing</t>
        </is>
      </c>
      <c r="J22" s="144" t="inlineStr">
        <is>
          <t>Planning/CRA</t>
        </is>
      </c>
      <c r="K22" s="143" t="inlineStr">
        <is>
          <t>policy</t>
        </is>
      </c>
      <c r="L22" s="144" t="inlineStr">
        <is>
          <t>Up to 6 with edge rezoning / multifamily infill.</t>
        </is>
      </c>
    </row>
    <row r="23" ht="30" customHeight="1">
      <c r="A23" s="143" t="inlineStr">
        <is>
          <t>NPD</t>
        </is>
      </c>
      <c r="B23" s="143" t="inlineStr">
        <is>
          <t>Credit</t>
        </is>
      </c>
      <c r="C23" s="144" t="inlineStr">
        <is>
          <t>Mixed-Use Neighborhoods</t>
        </is>
      </c>
      <c r="D23" s="143" t="n">
        <v>4</v>
      </c>
      <c r="E23" s="143" t="n">
        <v>1</v>
      </c>
      <c r="F23" s="143" t="n">
        <v>2</v>
      </c>
      <c r="G23" s="148" t="inlineStr">
        <is>
          <t>Partial</t>
        </is>
      </c>
      <c r="H23" s="149" t="inlineStr">
        <is>
          <t>3 Capital/analysis</t>
        </is>
      </c>
      <c r="I23" s="147" t="inlineStr">
        <is>
          <t>Year 2</t>
        </is>
      </c>
      <c r="J23" s="144" t="inlineStr">
        <is>
          <t>Planning/CRA</t>
        </is>
      </c>
      <c r="K23" s="143" t="inlineStr">
        <is>
          <t>$$</t>
        </is>
      </c>
      <c r="L23" s="144" t="inlineStr">
        <is>
          <t>Ground-floor retail + housing at node; more with corridor rezoning.</t>
        </is>
      </c>
    </row>
    <row r="24" ht="30" customHeight="1">
      <c r="A24" s="143" t="inlineStr">
        <is>
          <t>NPD</t>
        </is>
      </c>
      <c r="B24" s="143" t="inlineStr">
        <is>
          <t>Credit</t>
        </is>
      </c>
      <c r="C24" s="144" t="inlineStr">
        <is>
          <t>Housing Types &amp; Affordability</t>
        </is>
      </c>
      <c r="D24" s="143" t="n">
        <v>7</v>
      </c>
      <c r="E24" s="143" t="n">
        <v>0</v>
      </c>
      <c r="F24" s="143" t="n">
        <v>0</v>
      </c>
      <c r="G24" s="153" t="inlineStr">
        <is>
          <t>Needs redevelopment</t>
        </is>
      </c>
      <c r="H24" s="154" t="inlineStr">
        <is>
          <t>4 Redevelopment</t>
        </is>
      </c>
      <c r="I24" s="147" t="inlineStr">
        <is>
          <t>Ongoing</t>
        </is>
      </c>
      <c r="J24" s="144" t="inlineStr">
        <is>
          <t>Planning/CRA/Commission</t>
        </is>
      </c>
      <c r="K24" s="143" t="inlineStr">
        <is>
          <t>policy</t>
        </is>
      </c>
      <c r="L24" s="144" t="inlineStr">
        <is>
          <t>Up to 7 with diverse + income-restricted corridor housing.</t>
        </is>
      </c>
    </row>
    <row r="25" ht="30" customHeight="1">
      <c r="A25" s="143" t="inlineStr">
        <is>
          <t>NPD</t>
        </is>
      </c>
      <c r="B25" s="143" t="inlineStr">
        <is>
          <t>Credit</t>
        </is>
      </c>
      <c r="C25" s="144" t="inlineStr">
        <is>
          <t>Reduced Parking Footprint</t>
        </is>
      </c>
      <c r="D25" s="143" t="n">
        <v>1</v>
      </c>
      <c r="E25" s="143" t="n">
        <v>0</v>
      </c>
      <c r="F25" s="143" t="n">
        <v>0</v>
      </c>
      <c r="G25" s="153" t="inlineStr">
        <is>
          <t>Needs redevelopment</t>
        </is>
      </c>
      <c r="H25" s="154" t="inlineStr">
        <is>
          <t>4 Redevelopment</t>
        </is>
      </c>
      <c r="I25" s="147" t="inlineStr">
        <is>
          <t>Ongoing</t>
        </is>
      </c>
      <c r="J25" s="144" t="inlineStr">
        <is>
          <t>CRA</t>
        </is>
      </c>
      <c r="K25" s="143" t="inlineStr">
        <is>
          <t>policy</t>
        </is>
      </c>
      <c r="L25" s="144" t="inlineStr">
        <is>
          <t>Shared/structured parking at the shopping center.</t>
        </is>
      </c>
    </row>
    <row r="26" ht="30" customHeight="1">
      <c r="A26" s="143" t="inlineStr">
        <is>
          <t>NPD</t>
        </is>
      </c>
      <c r="B26" s="143" t="inlineStr">
        <is>
          <t>Credit</t>
        </is>
      </c>
      <c r="C26" s="144" t="inlineStr">
        <is>
          <t>Connected &amp; Open Community</t>
        </is>
      </c>
      <c r="D26" s="143" t="n">
        <v>2</v>
      </c>
      <c r="E26" s="143" t="n">
        <v>0</v>
      </c>
      <c r="F26" s="143" t="n">
        <v>1</v>
      </c>
      <c r="G26" s="148" t="inlineStr">
        <is>
          <t>Partial</t>
        </is>
      </c>
      <c r="H26" s="149" t="inlineStr">
        <is>
          <t>3 Capital/analysis</t>
        </is>
      </c>
      <c r="I26" s="147" t="inlineStr">
        <is>
          <t>Year 3</t>
        </is>
      </c>
      <c r="J26" s="144" t="inlineStr">
        <is>
          <t>Engineering</t>
        </is>
      </c>
      <c r="K26" s="143" t="inlineStr">
        <is>
          <t>$$</t>
        </is>
      </c>
      <c r="L26" s="144" t="inlineStr">
        <is>
          <t>Ped/bike connections; public through-streets.</t>
        </is>
      </c>
    </row>
    <row r="27" ht="30" customHeight="1">
      <c r="A27" s="143" t="inlineStr">
        <is>
          <t>NPD</t>
        </is>
      </c>
      <c r="B27" s="143" t="inlineStr">
        <is>
          <t>Credit</t>
        </is>
      </c>
      <c r="C27" s="144" t="inlineStr">
        <is>
          <t>Transit Facilities</t>
        </is>
      </c>
      <c r="D27" s="143" t="n">
        <v>1</v>
      </c>
      <c r="E27" s="143" t="n">
        <v>1</v>
      </c>
      <c r="F27" s="143" t="n">
        <v>1</v>
      </c>
      <c r="G27" s="145" t="inlineStr">
        <is>
          <t>Met</t>
        </is>
      </c>
      <c r="H27" s="146" t="inlineStr">
        <is>
          <t>1 In hand</t>
        </is>
      </c>
      <c r="I27" s="147" t="inlineStr">
        <is>
          <t>Year 1</t>
        </is>
      </c>
      <c r="J27" s="144" t="inlineStr">
        <is>
          <t>City + BCT</t>
        </is>
      </c>
      <c r="K27" s="143" t="inlineStr">
        <is>
          <t>$</t>
        </is>
      </c>
      <c r="L27" s="144" t="inlineStr">
        <is>
          <t>Maintain shelters/benches; add real-time info.</t>
        </is>
      </c>
    </row>
    <row r="28" ht="30" customHeight="1">
      <c r="A28" s="143" t="inlineStr">
        <is>
          <t>NPD</t>
        </is>
      </c>
      <c r="B28" s="143" t="inlineStr">
        <is>
          <t>Credit</t>
        </is>
      </c>
      <c r="C28" s="144" t="inlineStr">
        <is>
          <t>Transportation Demand Management</t>
        </is>
      </c>
      <c r="D28" s="143" t="n">
        <v>2</v>
      </c>
      <c r="E28" s="143" t="n">
        <v>0</v>
      </c>
      <c r="F28" s="143" t="n">
        <v>0</v>
      </c>
      <c r="G28" s="153" t="inlineStr">
        <is>
          <t>Needs redevelopment</t>
        </is>
      </c>
      <c r="H28" s="154" t="inlineStr">
        <is>
          <t>4 Redevelopment</t>
        </is>
      </c>
      <c r="I28" s="147" t="inlineStr">
        <is>
          <t>Ongoing</t>
        </is>
      </c>
      <c r="J28" s="144" t="inlineStr">
        <is>
          <t>City</t>
        </is>
      </c>
      <c r="K28" s="143" t="inlineStr">
        <is>
          <t>policy</t>
        </is>
      </c>
      <c r="L28" s="144" t="inlineStr">
        <is>
          <t>TDM program tied to redevelopment.</t>
        </is>
      </c>
    </row>
    <row r="29" ht="30" customHeight="1">
      <c r="A29" s="143" t="inlineStr">
        <is>
          <t>NPD</t>
        </is>
      </c>
      <c r="B29" s="143" t="inlineStr">
        <is>
          <t>Credit</t>
        </is>
      </c>
      <c r="C29" s="144" t="inlineStr">
        <is>
          <t>Access to Civic &amp; Public Space</t>
        </is>
      </c>
      <c r="D29" s="143" t="n">
        <v>1</v>
      </c>
      <c r="E29" s="143" t="n">
        <v>1</v>
      </c>
      <c r="F29" s="143" t="n">
        <v>1</v>
      </c>
      <c r="G29" s="145" t="inlineStr">
        <is>
          <t>Met</t>
        </is>
      </c>
      <c r="H29" s="146" t="inlineStr">
        <is>
          <t>1 In hand</t>
        </is>
      </c>
      <c r="I29" s="147" t="inlineStr">
        <is>
          <t>Year 1</t>
        </is>
      </c>
      <c r="J29" s="144" t="inlineStr">
        <is>
          <t>Planning/Parks</t>
        </is>
      </c>
      <c r="K29" s="143" t="inlineStr">
        <is>
          <t>$</t>
        </is>
      </c>
      <c r="L29" s="144" t="inlineStr">
        <is>
          <t>Document Sullivan Park promenade / public waterfront.</t>
        </is>
      </c>
    </row>
    <row r="30" ht="30" customHeight="1">
      <c r="A30" s="143" t="inlineStr">
        <is>
          <t>NPD</t>
        </is>
      </c>
      <c r="B30" s="143" t="inlineStr">
        <is>
          <t>Credit</t>
        </is>
      </c>
      <c r="C30" s="144" t="inlineStr">
        <is>
          <t>Access to Recreation Facilities</t>
        </is>
      </c>
      <c r="D30" s="143" t="n">
        <v>1</v>
      </c>
      <c r="E30" s="143" t="n">
        <v>1</v>
      </c>
      <c r="F30" s="143" t="n">
        <v>1</v>
      </c>
      <c r="G30" s="145" t="inlineStr">
        <is>
          <t>Met</t>
        </is>
      </c>
      <c r="H30" s="146" t="inlineStr">
        <is>
          <t>1 In hand</t>
        </is>
      </c>
      <c r="I30" s="147" t="inlineStr">
        <is>
          <t>Year 1</t>
        </is>
      </c>
      <c r="J30" s="144" t="inlineStr">
        <is>
          <t>Parks</t>
        </is>
      </c>
      <c r="K30" s="143" t="inlineStr">
        <is>
          <t>$</t>
        </is>
      </c>
      <c r="L30" s="144" t="inlineStr">
        <is>
          <t>Document parks, pier, beach, Deerfield Island access.</t>
        </is>
      </c>
    </row>
    <row r="31" ht="30" customHeight="1">
      <c r="A31" s="143" t="inlineStr">
        <is>
          <t>NPD</t>
        </is>
      </c>
      <c r="B31" s="143" t="inlineStr">
        <is>
          <t>Credit</t>
        </is>
      </c>
      <c r="C31" s="144" t="inlineStr">
        <is>
          <t>Visitability &amp; Universal Design</t>
        </is>
      </c>
      <c r="D31" s="143" t="n">
        <v>1</v>
      </c>
      <c r="E31" s="143" t="n">
        <v>0</v>
      </c>
      <c r="F31" s="143" t="n">
        <v>0</v>
      </c>
      <c r="G31" s="153" t="inlineStr">
        <is>
          <t>Not met</t>
        </is>
      </c>
      <c r="H31" s="154" t="inlineStr">
        <is>
          <t>4 Redevelopment</t>
        </is>
      </c>
      <c r="I31" s="147" t="inlineStr">
        <is>
          <t>Ongoing</t>
        </is>
      </c>
      <c r="J31" s="144" t="inlineStr">
        <is>
          <t>Building Dept.</t>
        </is>
      </c>
      <c r="K31" s="143" t="inlineStr">
        <is>
          <t>policy</t>
        </is>
      </c>
      <c r="L31" s="144" t="inlineStr">
        <is>
          <t>Adopt visitability standards for new/renovated homes.</t>
        </is>
      </c>
    </row>
    <row r="32" ht="30" customHeight="1">
      <c r="A32" s="143" t="inlineStr">
        <is>
          <t>NPD</t>
        </is>
      </c>
      <c r="B32" s="143" t="inlineStr">
        <is>
          <t>Credit</t>
        </is>
      </c>
      <c r="C32" s="144" t="inlineStr">
        <is>
          <t>Community Outreach &amp; Involvement</t>
        </is>
      </c>
      <c r="D32" s="143" t="n">
        <v>2</v>
      </c>
      <c r="E32" s="143" t="n">
        <v>1</v>
      </c>
      <c r="F32" s="143" t="n">
        <v>2</v>
      </c>
      <c r="G32" s="148" t="inlineStr">
        <is>
          <t>Partial</t>
        </is>
      </c>
      <c r="H32" s="146" t="inlineStr">
        <is>
          <t>1 In hand</t>
        </is>
      </c>
      <c r="I32" s="147" t="inlineStr">
        <is>
          <t>Year 1</t>
        </is>
      </c>
      <c r="J32" s="144" t="inlineStr">
        <is>
          <t>Cove Civic Assoc. + Planning</t>
        </is>
      </c>
      <c r="K32" s="143" t="inlineStr">
        <is>
          <t>$</t>
        </is>
      </c>
      <c r="L32" s="144" t="inlineStr">
        <is>
          <t>Formalize charrette/engagement process.</t>
        </is>
      </c>
    </row>
    <row r="33" ht="30" customHeight="1">
      <c r="A33" s="143" t="inlineStr">
        <is>
          <t>NPD</t>
        </is>
      </c>
      <c r="B33" s="143" t="inlineStr">
        <is>
          <t>Credit</t>
        </is>
      </c>
      <c r="C33" s="144" t="inlineStr">
        <is>
          <t>Local Food Production</t>
        </is>
      </c>
      <c r="D33" s="143" t="n">
        <v>1</v>
      </c>
      <c r="E33" s="143" t="n">
        <v>1</v>
      </c>
      <c r="F33" s="143" t="n">
        <v>1</v>
      </c>
      <c r="G33" s="145" t="inlineStr">
        <is>
          <t>Met</t>
        </is>
      </c>
      <c r="H33" s="146" t="inlineStr">
        <is>
          <t>1 In hand</t>
        </is>
      </c>
      <c r="I33" s="147" t="inlineStr">
        <is>
          <t>Year 1</t>
        </is>
      </c>
      <c r="J33" s="144" t="inlineStr">
        <is>
          <t>Cove Civic Assoc.</t>
        </is>
      </c>
      <c r="K33" s="143" t="inlineStr">
        <is>
          <t>$</t>
        </is>
      </c>
      <c r="L33" s="144" t="inlineStr">
        <is>
          <t>Sustain the farmers market; add community garden.</t>
        </is>
      </c>
    </row>
    <row r="34" ht="30" customHeight="1">
      <c r="A34" s="143" t="inlineStr">
        <is>
          <t>NPD</t>
        </is>
      </c>
      <c r="B34" s="143" t="inlineStr">
        <is>
          <t>Credit</t>
        </is>
      </c>
      <c r="C34" s="144" t="inlineStr">
        <is>
          <t>Tree-Lined &amp; Shaded Streetscapes</t>
        </is>
      </c>
      <c r="D34" s="143" t="n">
        <v>2</v>
      </c>
      <c r="E34" s="143" t="n">
        <v>1</v>
      </c>
      <c r="F34" s="143" t="n">
        <v>2</v>
      </c>
      <c r="G34" s="148" t="inlineStr">
        <is>
          <t>Partial</t>
        </is>
      </c>
      <c r="H34" s="152" t="inlineStr">
        <is>
          <t>2 City program</t>
        </is>
      </c>
      <c r="I34" s="147" t="inlineStr">
        <is>
          <t>Year 2</t>
        </is>
      </c>
      <c r="J34" s="144" t="inlineStr">
        <is>
          <t>Environmental Svcs</t>
        </is>
      </c>
      <c r="K34" s="143" t="inlineStr">
        <is>
          <t>$$</t>
        </is>
      </c>
      <c r="L34" s="144" t="inlineStr">
        <is>
          <t>Deploy Shady Street Tree program + giveaways; canopy inventory.</t>
        </is>
      </c>
    </row>
    <row r="35" ht="30" customHeight="1">
      <c r="A35" s="143" t="inlineStr">
        <is>
          <t>NPD</t>
        </is>
      </c>
      <c r="B35" s="143" t="inlineStr">
        <is>
          <t>Credit</t>
        </is>
      </c>
      <c r="C35" s="144" t="inlineStr">
        <is>
          <t>Neighborhood Schools</t>
        </is>
      </c>
      <c r="D35" s="143" t="n">
        <v>1</v>
      </c>
      <c r="E35" s="143" t="n">
        <v>1</v>
      </c>
      <c r="F35" s="143" t="n">
        <v>1</v>
      </c>
      <c r="G35" s="145" t="inlineStr">
        <is>
          <t>Met</t>
        </is>
      </c>
      <c r="H35" s="146" t="inlineStr">
        <is>
          <t>1 In hand</t>
        </is>
      </c>
      <c r="I35" s="147" t="inlineStr">
        <is>
          <t>Year 1</t>
        </is>
      </c>
      <c r="J35" s="144" t="inlineStr">
        <is>
          <t>Planning</t>
        </is>
      </c>
      <c r="K35" s="143" t="inlineStr">
        <is>
          <t>$</t>
        </is>
      </c>
      <c r="L35" s="144" t="inlineStr">
        <is>
          <t>Document walk access to St. Ambrose / Deerfield schools.</t>
        </is>
      </c>
    </row>
    <row r="36" ht="30" customHeight="1">
      <c r="A36" s="143" t="inlineStr">
        <is>
          <t>GIB</t>
        </is>
      </c>
      <c r="B36" s="143" t="inlineStr">
        <is>
          <t>Prereq</t>
        </is>
      </c>
      <c r="C36" s="144" t="inlineStr">
        <is>
          <t>Certified Green Building</t>
        </is>
      </c>
      <c r="D36" s="143" t="inlineStr">
        <is>
          <t>Req</t>
        </is>
      </c>
      <c r="E36" s="143" t="inlineStr"/>
      <c r="F36" s="143" t="inlineStr"/>
      <c r="G36" s="153" t="inlineStr">
        <is>
          <t>Not met</t>
        </is>
      </c>
      <c r="H36" s="154" t="inlineStr">
        <is>
          <t>4 Redevelopment</t>
        </is>
      </c>
      <c r="I36" s="147" t="inlineStr">
        <is>
          <t>Ongoing</t>
        </is>
      </c>
      <c r="J36" s="144" t="inlineStr">
        <is>
          <t>Commission/Building</t>
        </is>
      </c>
      <c r="K36" s="143" t="inlineStr">
        <is>
          <t>policy</t>
        </is>
      </c>
      <c r="L36" s="144" t="inlineStr">
        <is>
          <t>Require &gt;=1 green-certified building on new construction/major reno.</t>
        </is>
      </c>
    </row>
    <row r="37" ht="30" customHeight="1">
      <c r="A37" s="143" t="inlineStr">
        <is>
          <t>GIB</t>
        </is>
      </c>
      <c r="B37" s="143" t="inlineStr">
        <is>
          <t>Prereq</t>
        </is>
      </c>
      <c r="C37" s="144" t="inlineStr">
        <is>
          <t>Minimum Building Energy Performance</t>
        </is>
      </c>
      <c r="D37" s="143" t="inlineStr">
        <is>
          <t>Req</t>
        </is>
      </c>
      <c r="E37" s="143" t="inlineStr"/>
      <c r="F37" s="143" t="inlineStr"/>
      <c r="G37" s="153" t="inlineStr">
        <is>
          <t>Not met</t>
        </is>
      </c>
      <c r="H37" s="154" t="inlineStr">
        <is>
          <t>4 Redevelopment</t>
        </is>
      </c>
      <c r="I37" s="147" t="inlineStr">
        <is>
          <t>Ongoing</t>
        </is>
      </c>
      <c r="J37" s="144" t="inlineStr">
        <is>
          <t>Building Dept.</t>
        </is>
      </c>
      <c r="K37" s="143" t="inlineStr">
        <is>
          <t>policy</t>
        </is>
      </c>
      <c r="L37" s="144" t="inlineStr">
        <is>
          <t>Energy-code compliance + retrofit incentives; document.</t>
        </is>
      </c>
    </row>
    <row r="38" ht="30" customHeight="1">
      <c r="A38" s="143" t="inlineStr">
        <is>
          <t>GIB</t>
        </is>
      </c>
      <c r="B38" s="143" t="inlineStr">
        <is>
          <t>Prereq</t>
        </is>
      </c>
      <c r="C38" s="144" t="inlineStr">
        <is>
          <t>Indoor Water Use Reduction</t>
        </is>
      </c>
      <c r="D38" s="143" t="inlineStr">
        <is>
          <t>Req</t>
        </is>
      </c>
      <c r="E38" s="143" t="inlineStr"/>
      <c r="F38" s="143" t="inlineStr"/>
      <c r="G38" s="148" t="inlineStr">
        <is>
          <t>Unknown</t>
        </is>
      </c>
      <c r="H38" s="154" t="inlineStr">
        <is>
          <t>4 Redevelopment</t>
        </is>
      </c>
      <c r="I38" s="147" t="inlineStr">
        <is>
          <t>Ongoing</t>
        </is>
      </c>
      <c r="J38" s="144" t="inlineStr">
        <is>
          <t>Building Dept.</t>
        </is>
      </c>
      <c r="K38" s="143" t="inlineStr">
        <is>
          <t>policy</t>
        </is>
      </c>
      <c r="L38" s="144" t="inlineStr">
        <is>
          <t>Low-flow fixture standards; document.</t>
        </is>
      </c>
    </row>
    <row r="39" ht="30" customHeight="1">
      <c r="A39" s="143" t="inlineStr">
        <is>
          <t>GIB</t>
        </is>
      </c>
      <c r="B39" s="143" t="inlineStr">
        <is>
          <t>Prereq</t>
        </is>
      </c>
      <c r="C39" s="144" t="inlineStr">
        <is>
          <t>Construction Activity Pollution Prevention</t>
        </is>
      </c>
      <c r="D39" s="143" t="inlineStr">
        <is>
          <t>Req</t>
        </is>
      </c>
      <c r="E39" s="143" t="inlineStr"/>
      <c r="F39" s="143" t="inlineStr"/>
      <c r="G39" s="151" t="inlineStr">
        <is>
          <t>N/A now</t>
        </is>
      </c>
      <c r="H39" s="154" t="inlineStr">
        <is>
          <t>4 Redevelopment</t>
        </is>
      </c>
      <c r="I39" s="147" t="inlineStr">
        <is>
          <t>Ongoing</t>
        </is>
      </c>
      <c r="J39" s="144" t="inlineStr">
        <is>
          <t>Engineering</t>
        </is>
      </c>
      <c r="K39" s="143" t="inlineStr">
        <is>
          <t>policy</t>
        </is>
      </c>
      <c r="L39" s="144" t="inlineStr">
        <is>
          <t>SWPPP/erosion control on future projects.</t>
        </is>
      </c>
    </row>
    <row r="40" ht="30" customHeight="1">
      <c r="A40" s="143" t="inlineStr">
        <is>
          <t>GIB</t>
        </is>
      </c>
      <c r="B40" s="143" t="inlineStr">
        <is>
          <t>Credit</t>
        </is>
      </c>
      <c r="C40" s="144" t="inlineStr">
        <is>
          <t>Certified Green Buildings</t>
        </is>
      </c>
      <c r="D40" s="143" t="n">
        <v>5</v>
      </c>
      <c r="E40" s="143" t="n">
        <v>0</v>
      </c>
      <c r="F40" s="143" t="n">
        <v>0</v>
      </c>
      <c r="G40" s="153" t="inlineStr">
        <is>
          <t>Needs redevelopment</t>
        </is>
      </c>
      <c r="H40" s="154" t="inlineStr">
        <is>
          <t>4 Redevelopment</t>
        </is>
      </c>
      <c r="I40" s="147" t="inlineStr">
        <is>
          <t>Ongoing</t>
        </is>
      </c>
      <c r="J40" s="144" t="inlineStr">
        <is>
          <t>Commission/Building</t>
        </is>
      </c>
      <c r="K40" s="143" t="inlineStr">
        <is>
          <t>policy</t>
        </is>
      </c>
      <c r="L40" s="144" t="inlineStr">
        <is>
          <t>Incentivize/require green certification for redevelopment.</t>
        </is>
      </c>
    </row>
    <row r="41" ht="30" customHeight="1">
      <c r="A41" s="143" t="inlineStr">
        <is>
          <t>GIB</t>
        </is>
      </c>
      <c r="B41" s="143" t="inlineStr">
        <is>
          <t>Credit</t>
        </is>
      </c>
      <c r="C41" s="144" t="inlineStr">
        <is>
          <t>Optimize Building Energy Performance</t>
        </is>
      </c>
      <c r="D41" s="143" t="n">
        <v>2</v>
      </c>
      <c r="E41" s="143" t="n">
        <v>0</v>
      </c>
      <c r="F41" s="143" t="n">
        <v>0</v>
      </c>
      <c r="G41" s="153" t="inlineStr">
        <is>
          <t>Needs redevelopment</t>
        </is>
      </c>
      <c r="H41" s="154" t="inlineStr">
        <is>
          <t>4 Redevelopment</t>
        </is>
      </c>
      <c r="I41" s="147" t="inlineStr">
        <is>
          <t>Ongoing</t>
        </is>
      </c>
      <c r="J41" s="144" t="inlineStr">
        <is>
          <t>Building Dept.</t>
        </is>
      </c>
      <c r="K41" s="143" t="inlineStr">
        <is>
          <t>policy</t>
        </is>
      </c>
      <c r="L41" s="144" t="inlineStr">
        <is>
          <t>Efficiency retrofits; high-performance envelope.</t>
        </is>
      </c>
    </row>
    <row r="42" ht="30" customHeight="1">
      <c r="A42" s="143" t="inlineStr">
        <is>
          <t>GIB</t>
        </is>
      </c>
      <c r="B42" s="143" t="inlineStr">
        <is>
          <t>Credit</t>
        </is>
      </c>
      <c r="C42" s="144" t="inlineStr">
        <is>
          <t>Indoor Water Use Reduction</t>
        </is>
      </c>
      <c r="D42" s="143" t="n">
        <v>1</v>
      </c>
      <c r="E42" s="143" t="n">
        <v>0</v>
      </c>
      <c r="F42" s="143" t="n">
        <v>0</v>
      </c>
      <c r="G42" s="153" t="inlineStr">
        <is>
          <t>Needs redevelopment</t>
        </is>
      </c>
      <c r="H42" s="154" t="inlineStr">
        <is>
          <t>4 Redevelopment</t>
        </is>
      </c>
      <c r="I42" s="147" t="inlineStr">
        <is>
          <t>Ongoing</t>
        </is>
      </c>
      <c r="J42" s="144" t="inlineStr">
        <is>
          <t>Building Dept.</t>
        </is>
      </c>
      <c r="K42" s="143" t="inlineStr">
        <is>
          <t>policy</t>
        </is>
      </c>
      <c r="L42" s="144" t="inlineStr">
        <is>
          <t>Low-flow retrofit program.</t>
        </is>
      </c>
    </row>
    <row r="43" ht="30" customHeight="1">
      <c r="A43" s="143" t="inlineStr">
        <is>
          <t>GIB</t>
        </is>
      </c>
      <c r="B43" s="143" t="inlineStr">
        <is>
          <t>Credit</t>
        </is>
      </c>
      <c r="C43" s="144" t="inlineStr">
        <is>
          <t>Outdoor Water Use Reduction</t>
        </is>
      </c>
      <c r="D43" s="143" t="n">
        <v>2</v>
      </c>
      <c r="E43" s="143" t="n">
        <v>0</v>
      </c>
      <c r="F43" s="143" t="n">
        <v>2</v>
      </c>
      <c r="G43" s="148" t="inlineStr">
        <is>
          <t>Partial</t>
        </is>
      </c>
      <c r="H43" s="152" t="inlineStr">
        <is>
          <t>2 City program</t>
        </is>
      </c>
      <c r="I43" s="147" t="inlineStr">
        <is>
          <t>Year 2</t>
        </is>
      </c>
      <c r="J43" s="144" t="inlineStr">
        <is>
          <t>Cove Civic Assoc. + UF/IFAS</t>
        </is>
      </c>
      <c r="K43" s="143" t="inlineStr">
        <is>
          <t>$</t>
        </is>
      </c>
      <c r="L43" s="144" t="inlineStr">
        <is>
          <t>Enroll in Broward NatureScape / Florida-Friendly Landscaping.</t>
        </is>
      </c>
    </row>
    <row r="44" ht="30" customHeight="1">
      <c r="A44" s="143" t="inlineStr">
        <is>
          <t>GIB</t>
        </is>
      </c>
      <c r="B44" s="143" t="inlineStr">
        <is>
          <t>Credit</t>
        </is>
      </c>
      <c r="C44" s="144" t="inlineStr">
        <is>
          <t>Building Reuse</t>
        </is>
      </c>
      <c r="D44" s="143" t="n">
        <v>1</v>
      </c>
      <c r="E44" s="143" t="n">
        <v>1</v>
      </c>
      <c r="F44" s="143" t="n">
        <v>1</v>
      </c>
      <c r="G44" s="145" t="inlineStr">
        <is>
          <t>Met</t>
        </is>
      </c>
      <c r="H44" s="146" t="inlineStr">
        <is>
          <t>1 In hand</t>
        </is>
      </c>
      <c r="I44" s="147" t="inlineStr">
        <is>
          <t>Year 1</t>
        </is>
      </c>
      <c r="J44" s="144" t="inlineStr">
        <is>
          <t>Planning/Building</t>
        </is>
      </c>
      <c r="K44" s="143" t="inlineStr">
        <is>
          <t>$</t>
        </is>
      </c>
      <c r="L44" s="144" t="inlineStr">
        <is>
          <t>Reuse-over-teardown preference.</t>
        </is>
      </c>
    </row>
    <row r="45" ht="30" customHeight="1">
      <c r="A45" s="143" t="inlineStr">
        <is>
          <t>GIB</t>
        </is>
      </c>
      <c r="B45" s="143" t="inlineStr">
        <is>
          <t>Credit</t>
        </is>
      </c>
      <c r="C45" s="144" t="inlineStr">
        <is>
          <t>Historic Resource Preservation / Adaptive Reuse</t>
        </is>
      </c>
      <c r="D45" s="143" t="n">
        <v>2</v>
      </c>
      <c r="E45" s="143" t="n">
        <v>0</v>
      </c>
      <c r="F45" s="143" t="n">
        <v>1</v>
      </c>
      <c r="G45" s="148" t="inlineStr">
        <is>
          <t>Partial</t>
        </is>
      </c>
      <c r="H45" s="149" t="inlineStr">
        <is>
          <t>3 Capital/analysis</t>
        </is>
      </c>
      <c r="I45" s="147" t="inlineStr">
        <is>
          <t>Year 3</t>
        </is>
      </c>
      <c r="J45" s="144" t="inlineStr">
        <is>
          <t>Planning + Historical Society</t>
        </is>
      </c>
      <c r="K45" s="143" t="inlineStr">
        <is>
          <t>$$</t>
        </is>
      </c>
      <c r="L45" s="144" t="inlineStr">
        <is>
          <t>Leverage Butler House; consider local designation.</t>
        </is>
      </c>
    </row>
    <row r="46" ht="30" customHeight="1">
      <c r="A46" s="143" t="inlineStr">
        <is>
          <t>GIB</t>
        </is>
      </c>
      <c r="B46" s="143" t="inlineStr">
        <is>
          <t>Credit</t>
        </is>
      </c>
      <c r="C46" s="144" t="inlineStr">
        <is>
          <t>Minimized Site Disturbance</t>
        </is>
      </c>
      <c r="D46" s="143" t="n">
        <v>1</v>
      </c>
      <c r="E46" s="143" t="n">
        <v>0</v>
      </c>
      <c r="F46" s="143" t="n">
        <v>0</v>
      </c>
      <c r="G46" s="151" t="inlineStr">
        <is>
          <t>N/A</t>
        </is>
      </c>
      <c r="H46" s="150" t="inlineStr">
        <is>
          <t>N/A</t>
        </is>
      </c>
      <c r="I46" s="147" t="inlineStr">
        <is>
          <t>—</t>
        </is>
      </c>
      <c r="J46" s="144" t="inlineStr">
        <is>
          <t>—</t>
        </is>
      </c>
      <c r="K46" s="143" t="inlineStr">
        <is>
          <t>—</t>
        </is>
      </c>
      <c r="L46" s="144" t="inlineStr">
        <is>
          <t>Built-out; applies to infill only.</t>
        </is>
      </c>
    </row>
    <row r="47" ht="30" customHeight="1">
      <c r="A47" s="143" t="inlineStr">
        <is>
          <t>GIB</t>
        </is>
      </c>
      <c r="B47" s="143" t="inlineStr">
        <is>
          <t>Credit</t>
        </is>
      </c>
      <c r="C47" s="144" t="inlineStr">
        <is>
          <t>Rainwater Management</t>
        </is>
      </c>
      <c r="D47" s="143" t="n">
        <v>4</v>
      </c>
      <c r="E47" s="143" t="n">
        <v>0</v>
      </c>
      <c r="F47" s="143" t="n">
        <v>1</v>
      </c>
      <c r="G47" s="148" t="inlineStr">
        <is>
          <t>Partial</t>
        </is>
      </c>
      <c r="H47" s="149" t="inlineStr">
        <is>
          <t>3 Capital/analysis</t>
        </is>
      </c>
      <c r="I47" s="147" t="inlineStr">
        <is>
          <t>Year 3</t>
        </is>
      </c>
      <c r="J47" s="144" t="inlineStr">
        <is>
          <t>Engineering/Stormwater</t>
        </is>
      </c>
      <c r="K47" s="143" t="inlineStr">
        <is>
          <t>$$$</t>
        </is>
      </c>
      <c r="L47" s="144" t="inlineStr">
        <is>
          <t>Green stormwater at retail lot &amp; ROW; leverage FEMA CRS.</t>
        </is>
      </c>
    </row>
    <row r="48" ht="30" customHeight="1">
      <c r="A48" s="143" t="inlineStr">
        <is>
          <t>GIB</t>
        </is>
      </c>
      <c r="B48" s="143" t="inlineStr">
        <is>
          <t>Credit</t>
        </is>
      </c>
      <c r="C48" s="144" t="inlineStr">
        <is>
          <t>Heat Island Reduction</t>
        </is>
      </c>
      <c r="D48" s="143" t="n">
        <v>1</v>
      </c>
      <c r="E48" s="143" t="n">
        <v>0</v>
      </c>
      <c r="F48" s="143" t="n">
        <v>1</v>
      </c>
      <c r="G48" s="148" t="inlineStr">
        <is>
          <t>Partial</t>
        </is>
      </c>
      <c r="H48" s="152" t="inlineStr">
        <is>
          <t>2 City program</t>
        </is>
      </c>
      <c r="I48" s="147" t="inlineStr">
        <is>
          <t>Year 2</t>
        </is>
      </c>
      <c r="J48" s="144" t="inlineStr">
        <is>
          <t>Environmental Svcs</t>
        </is>
      </c>
      <c r="K48" s="143" t="inlineStr">
        <is>
          <t>$$</t>
        </is>
      </c>
      <c r="L48" s="144" t="inlineStr">
        <is>
          <t>Shade trees + cool/permeable surfaces at the lot.</t>
        </is>
      </c>
    </row>
    <row r="49" ht="30" customHeight="1">
      <c r="A49" s="143" t="inlineStr">
        <is>
          <t>GIB</t>
        </is>
      </c>
      <c r="B49" s="143" t="inlineStr">
        <is>
          <t>Credit</t>
        </is>
      </c>
      <c r="C49" s="144" t="inlineStr">
        <is>
          <t>Solar Orientation</t>
        </is>
      </c>
      <c r="D49" s="143" t="n">
        <v>1</v>
      </c>
      <c r="E49" s="143" t="n">
        <v>0</v>
      </c>
      <c r="F49" s="143" t="n">
        <v>0</v>
      </c>
      <c r="G49" s="151" t="inlineStr">
        <is>
          <t>N/A</t>
        </is>
      </c>
      <c r="H49" s="150" t="inlineStr">
        <is>
          <t>N/A</t>
        </is>
      </c>
      <c r="I49" s="147" t="inlineStr">
        <is>
          <t>—</t>
        </is>
      </c>
      <c r="J49" s="144" t="inlineStr">
        <is>
          <t>—</t>
        </is>
      </c>
      <c r="K49" s="143" t="inlineStr">
        <is>
          <t>—</t>
        </is>
      </c>
      <c r="L49" s="144" t="inlineStr">
        <is>
          <t>Applies to new layout only.</t>
        </is>
      </c>
    </row>
    <row r="50" ht="30" customHeight="1">
      <c r="A50" s="143" t="inlineStr">
        <is>
          <t>GIB</t>
        </is>
      </c>
      <c r="B50" s="143" t="inlineStr">
        <is>
          <t>Credit</t>
        </is>
      </c>
      <c r="C50" s="144" t="inlineStr">
        <is>
          <t>Renewable Energy Production</t>
        </is>
      </c>
      <c r="D50" s="143" t="n">
        <v>3</v>
      </c>
      <c r="E50" s="143" t="n">
        <v>0</v>
      </c>
      <c r="F50" s="143" t="n">
        <v>0</v>
      </c>
      <c r="G50" s="153" t="inlineStr">
        <is>
          <t>Needs redevelopment</t>
        </is>
      </c>
      <c r="H50" s="154" t="inlineStr">
        <is>
          <t>4 Redevelopment</t>
        </is>
      </c>
      <c r="I50" s="147" t="inlineStr">
        <is>
          <t>Ongoing</t>
        </is>
      </c>
      <c r="J50" s="144" t="inlineStr">
        <is>
          <t>Building/residents</t>
        </is>
      </c>
      <c r="K50" s="143" t="inlineStr">
        <is>
          <t>$$$</t>
        </is>
      </c>
      <c r="L50" s="144" t="inlineStr">
        <is>
          <t>Rooftop/community solar program.</t>
        </is>
      </c>
    </row>
    <row r="51" ht="30" customHeight="1">
      <c r="A51" s="143" t="inlineStr">
        <is>
          <t>GIB</t>
        </is>
      </c>
      <c r="B51" s="143" t="inlineStr">
        <is>
          <t>Credit</t>
        </is>
      </c>
      <c r="C51" s="144" t="inlineStr">
        <is>
          <t>District Heating and Cooling</t>
        </is>
      </c>
      <c r="D51" s="143" t="n">
        <v>2</v>
      </c>
      <c r="E51" s="143" t="n">
        <v>0</v>
      </c>
      <c r="F51" s="143" t="n">
        <v>0</v>
      </c>
      <c r="G51" s="151" t="inlineStr">
        <is>
          <t>N/A</t>
        </is>
      </c>
      <c r="H51" s="150" t="inlineStr">
        <is>
          <t>N/A</t>
        </is>
      </c>
      <c r="I51" s="147" t="inlineStr">
        <is>
          <t>—</t>
        </is>
      </c>
      <c r="J51" s="144" t="inlineStr">
        <is>
          <t>—</t>
        </is>
      </c>
      <c r="K51" s="143" t="inlineStr">
        <is>
          <t>—</t>
        </is>
      </c>
      <c r="L51" s="144" t="inlineStr">
        <is>
          <t>Not viable at this scale.</t>
        </is>
      </c>
    </row>
    <row r="52" ht="30" customHeight="1">
      <c r="A52" s="143" t="inlineStr">
        <is>
          <t>GIB</t>
        </is>
      </c>
      <c r="B52" s="143" t="inlineStr">
        <is>
          <t>Credit</t>
        </is>
      </c>
      <c r="C52" s="144" t="inlineStr">
        <is>
          <t>Infrastructure Energy Efficiency</t>
        </is>
      </c>
      <c r="D52" s="143" t="n">
        <v>1</v>
      </c>
      <c r="E52" s="143" t="n">
        <v>0</v>
      </c>
      <c r="F52" s="143" t="n">
        <v>0</v>
      </c>
      <c r="G52" s="148" t="inlineStr">
        <is>
          <t>Partial</t>
        </is>
      </c>
      <c r="H52" s="149" t="inlineStr">
        <is>
          <t>3 Capital/analysis</t>
        </is>
      </c>
      <c r="I52" s="147" t="inlineStr">
        <is>
          <t>Ongoing</t>
        </is>
      </c>
      <c r="J52" s="144" t="inlineStr">
        <is>
          <t>Public Works</t>
        </is>
      </c>
      <c r="K52" s="143" t="inlineStr">
        <is>
          <t>$$</t>
        </is>
      </c>
      <c r="L52" s="144" t="inlineStr">
        <is>
          <t>LED streetlights; efficient stormwater pumps.</t>
        </is>
      </c>
    </row>
    <row r="53" ht="30" customHeight="1">
      <c r="A53" s="143" t="inlineStr">
        <is>
          <t>GIB</t>
        </is>
      </c>
      <c r="B53" s="143" t="inlineStr">
        <is>
          <t>Credit</t>
        </is>
      </c>
      <c r="C53" s="144" t="inlineStr">
        <is>
          <t>Wastewater Management</t>
        </is>
      </c>
      <c r="D53" s="143" t="n">
        <v>2</v>
      </c>
      <c r="E53" s="143" t="n">
        <v>0</v>
      </c>
      <c r="F53" s="143" t="n">
        <v>0</v>
      </c>
      <c r="G53" s="148" t="inlineStr">
        <is>
          <t>Weak</t>
        </is>
      </c>
      <c r="H53" s="154" t="inlineStr">
        <is>
          <t>4 Redevelopment</t>
        </is>
      </c>
      <c r="I53" s="147" t="inlineStr">
        <is>
          <t>Ongoing</t>
        </is>
      </c>
      <c r="J53" s="144" t="inlineStr">
        <is>
          <t>Utilities</t>
        </is>
      </c>
      <c r="K53" s="143" t="inlineStr">
        <is>
          <t>$$$</t>
        </is>
      </c>
      <c r="L53" s="144" t="inlineStr">
        <is>
          <t>Greywater/reuse; nutrient reduction to protect ICW.</t>
        </is>
      </c>
    </row>
    <row r="54" ht="30" customHeight="1">
      <c r="A54" s="143" t="inlineStr">
        <is>
          <t>GIB</t>
        </is>
      </c>
      <c r="B54" s="143" t="inlineStr">
        <is>
          <t>Credit</t>
        </is>
      </c>
      <c r="C54" s="144" t="inlineStr">
        <is>
          <t>Recycled and Reused Infrastructure</t>
        </is>
      </c>
      <c r="D54" s="143" t="n">
        <v>1</v>
      </c>
      <c r="E54" s="143" t="n">
        <v>0</v>
      </c>
      <c r="F54" s="143" t="n">
        <v>0</v>
      </c>
      <c r="G54" s="153" t="inlineStr">
        <is>
          <t>Not met</t>
        </is>
      </c>
      <c r="H54" s="149" t="inlineStr">
        <is>
          <t>3 Capital/analysis</t>
        </is>
      </c>
      <c r="I54" s="147" t="inlineStr">
        <is>
          <t>Ongoing</t>
        </is>
      </c>
      <c r="J54" s="144" t="inlineStr">
        <is>
          <t>Public Works</t>
        </is>
      </c>
      <c r="K54" s="143" t="inlineStr">
        <is>
          <t>$$</t>
        </is>
      </c>
      <c r="L54" s="144" t="inlineStr">
        <is>
          <t>Reuse road base/materials in ROW projects.</t>
        </is>
      </c>
    </row>
    <row r="55" ht="30" customHeight="1">
      <c r="A55" s="143" t="inlineStr">
        <is>
          <t>GIB</t>
        </is>
      </c>
      <c r="B55" s="143" t="inlineStr">
        <is>
          <t>Credit</t>
        </is>
      </c>
      <c r="C55" s="144" t="inlineStr">
        <is>
          <t>Solid Waste Management</t>
        </is>
      </c>
      <c r="D55" s="143" t="n">
        <v>1</v>
      </c>
      <c r="E55" s="143" t="n">
        <v>1</v>
      </c>
      <c r="F55" s="143" t="n">
        <v>1</v>
      </c>
      <c r="G55" s="145" t="inlineStr">
        <is>
          <t>Met</t>
        </is>
      </c>
      <c r="H55" s="146" t="inlineStr">
        <is>
          <t>1 In hand</t>
        </is>
      </c>
      <c r="I55" s="147" t="inlineStr">
        <is>
          <t>Year 1</t>
        </is>
      </c>
      <c r="J55" s="144" t="inlineStr">
        <is>
          <t>City</t>
        </is>
      </c>
      <c r="K55" s="143" t="inlineStr">
        <is>
          <t>$</t>
        </is>
      </c>
      <c r="L55" s="144" t="inlineStr">
        <is>
          <t>Maintain recycling; add construction-waste diversion.</t>
        </is>
      </c>
    </row>
    <row r="56" ht="30" customHeight="1">
      <c r="A56" s="143" t="inlineStr">
        <is>
          <t>GIB</t>
        </is>
      </c>
      <c r="B56" s="143" t="inlineStr">
        <is>
          <t>Credit</t>
        </is>
      </c>
      <c r="C56" s="144" t="inlineStr">
        <is>
          <t>Light Pollution Reduction</t>
        </is>
      </c>
      <c r="D56" s="143" t="n">
        <v>1</v>
      </c>
      <c r="E56" s="143" t="n">
        <v>0</v>
      </c>
      <c r="F56" s="143" t="n">
        <v>1</v>
      </c>
      <c r="G56" s="148" t="inlineStr">
        <is>
          <t>Partial</t>
        </is>
      </c>
      <c r="H56" s="146" t="inlineStr">
        <is>
          <t>1 In hand</t>
        </is>
      </c>
      <c r="I56" s="147" t="inlineStr">
        <is>
          <t>Year 1</t>
        </is>
      </c>
      <c r="J56" s="144" t="inlineStr">
        <is>
          <t>Public Works/Code</t>
        </is>
      </c>
      <c r="K56" s="143" t="inlineStr">
        <is>
          <t>$$</t>
        </is>
      </c>
      <c r="L56" s="144" t="inlineStr">
        <is>
          <t>Extend sea-turtle/dark-sky lighting standard inland.</t>
        </is>
      </c>
    </row>
    <row r="57" ht="30" customHeight="1">
      <c r="A57" s="143" t="inlineStr">
        <is>
          <t>ID</t>
        </is>
      </c>
      <c r="B57" s="143" t="inlineStr">
        <is>
          <t>Credit</t>
        </is>
      </c>
      <c r="C57" s="144" t="inlineStr">
        <is>
          <t>Innovation</t>
        </is>
      </c>
      <c r="D57" s="143" t="n">
        <v>5</v>
      </c>
      <c r="E57" s="143" t="n">
        <v>0</v>
      </c>
      <c r="F57" s="143" t="n">
        <v>0</v>
      </c>
      <c r="G57" s="153" t="inlineStr">
        <is>
          <t>Needs redevelopment</t>
        </is>
      </c>
      <c r="H57" s="154" t="inlineStr">
        <is>
          <t>4 Redevelopment</t>
        </is>
      </c>
      <c r="I57" s="147" t="inlineStr">
        <is>
          <t>Ongoing</t>
        </is>
      </c>
      <c r="J57" s="144" t="inlineStr">
        <is>
          <t>Project team</t>
        </is>
      </c>
      <c r="K57" s="143" t="inlineStr">
        <is>
          <t>policy</t>
        </is>
      </c>
      <c r="L57" s="144" t="inlineStr">
        <is>
          <t>Pilot exemplary strategies (resilience / living shoreline).</t>
        </is>
      </c>
    </row>
    <row r="58" ht="30" customHeight="1">
      <c r="A58" s="143" t="inlineStr">
        <is>
          <t>ID</t>
        </is>
      </c>
      <c r="B58" s="143" t="inlineStr">
        <is>
          <t>Credit</t>
        </is>
      </c>
      <c r="C58" s="144" t="inlineStr">
        <is>
          <t>LEED Accredited Professional</t>
        </is>
      </c>
      <c r="D58" s="143" t="n">
        <v>1</v>
      </c>
      <c r="E58" s="143" t="n">
        <v>0</v>
      </c>
      <c r="F58" s="143" t="n">
        <v>0</v>
      </c>
      <c r="G58" s="153" t="inlineStr">
        <is>
          <t>Needs redevelopment</t>
        </is>
      </c>
      <c r="H58" s="154" t="inlineStr">
        <is>
          <t>4 Redevelopment</t>
        </is>
      </c>
      <c r="I58" s="147" t="inlineStr">
        <is>
          <t>Ongoing</t>
        </is>
      </c>
      <c r="J58" s="144" t="inlineStr">
        <is>
          <t>Project team</t>
        </is>
      </c>
      <c r="K58" s="143" t="inlineStr">
        <is>
          <t>$$</t>
        </is>
      </c>
      <c r="L58" s="144" t="inlineStr">
        <is>
          <t>Engage a LEED AP on any redevelopment.</t>
        </is>
      </c>
    </row>
    <row r="59" ht="30" customHeight="1">
      <c r="A59" s="143" t="inlineStr">
        <is>
          <t>RP</t>
        </is>
      </c>
      <c r="B59" s="143" t="inlineStr">
        <is>
          <t>Credit</t>
        </is>
      </c>
      <c r="C59" s="144" t="inlineStr">
        <is>
          <t>Regional Priority (x4, Region Defined)</t>
        </is>
      </c>
      <c r="D59" s="143" t="n">
        <v>4</v>
      </c>
      <c r="E59" s="143" t="n">
        <v>0</v>
      </c>
      <c r="F59" s="143" t="n">
        <v>1</v>
      </c>
      <c r="G59" s="148" t="inlineStr">
        <is>
          <t>Partial</t>
        </is>
      </c>
      <c r="H59" s="149" t="inlineStr">
        <is>
          <t>3 Capital/analysis</t>
        </is>
      </c>
      <c r="I59" s="147" t="inlineStr">
        <is>
          <t>Ongoing</t>
        </is>
      </c>
      <c r="J59" s="144" t="inlineStr">
        <is>
          <t>Planning</t>
        </is>
      </c>
      <c r="K59" s="143" t="inlineStr">
        <is>
          <t>—</t>
        </is>
      </c>
      <c r="L59" s="144" t="inlineStr">
        <is>
          <t>Pursue FL RP credits (rainwater/heat/water) once underlying earned.</t>
        </is>
      </c>
    </row>
    <row r="61">
      <c r="C61" s="155" t="inlineStr">
        <is>
          <t>SUMMARY</t>
        </is>
      </c>
    </row>
    <row r="62">
      <c r="C62" s="156" t="inlineStr">
        <is>
          <t>Category</t>
        </is>
      </c>
      <c r="D62" s="156" t="inlineStr">
        <is>
          <t>Max</t>
        </is>
      </c>
      <c r="E62" s="156" t="inlineStr">
        <is>
          <t>Now</t>
        </is>
      </c>
      <c r="F62" s="156" t="inlineStr">
        <is>
          <t>Achiev.</t>
        </is>
      </c>
    </row>
    <row r="63">
      <c r="C63" s="157" t="inlineStr">
        <is>
          <t>Smart Location &amp; Linkage</t>
        </is>
      </c>
      <c r="D63" s="143" t="n">
        <v>28</v>
      </c>
      <c r="E63" s="143" t="n">
        <v>7</v>
      </c>
      <c r="F63" s="143" t="n">
        <v>14</v>
      </c>
    </row>
    <row r="64">
      <c r="C64" s="157" t="inlineStr">
        <is>
          <t>Neighborhood Pattern &amp; Design</t>
        </is>
      </c>
      <c r="D64" s="143" t="n">
        <v>41</v>
      </c>
      <c r="E64" s="143" t="n">
        <v>11</v>
      </c>
      <c r="F64" s="143" t="n">
        <v>16</v>
      </c>
    </row>
    <row r="65">
      <c r="C65" s="157" t="inlineStr">
        <is>
          <t>Green Infrastructure &amp; Buildings</t>
        </is>
      </c>
      <c r="D65" s="143" t="n">
        <v>31</v>
      </c>
      <c r="E65" s="143" t="n">
        <v>2</v>
      </c>
      <c r="F65" s="143" t="n">
        <v>8</v>
      </c>
    </row>
    <row r="66">
      <c r="C66" s="157" t="inlineStr">
        <is>
          <t>Innovation &amp; Design Process</t>
        </is>
      </c>
      <c r="D66" s="143" t="n">
        <v>6</v>
      </c>
      <c r="E66" s="143" t="n">
        <v>0</v>
      </c>
      <c r="F66" s="143" t="n">
        <v>0</v>
      </c>
    </row>
    <row r="67">
      <c r="C67" s="157" t="inlineStr">
        <is>
          <t>Regional Priority</t>
        </is>
      </c>
      <c r="D67" s="143" t="n">
        <v>4</v>
      </c>
      <c r="E67" s="143" t="n">
        <v>0</v>
      </c>
      <c r="F67" s="143" t="n">
        <v>1</v>
      </c>
    </row>
    <row r="68">
      <c r="C68" s="158" t="inlineStr">
        <is>
          <t>TOTAL</t>
        </is>
      </c>
      <c r="D68" s="159" t="n">
        <v>110</v>
      </c>
      <c r="E68" s="159" t="n">
        <v>20</v>
      </c>
      <c r="F68" s="159" t="n">
        <v>39</v>
      </c>
    </row>
    <row r="70">
      <c r="C70" s="140" t="inlineStr">
        <is>
          <t>Now (as-is): ~20 pts  |  Achievable without rezoning (Tiers 1-3): ~39 pts  |  Max: 110  |  Certified 40-49 / Silver 50-59 / Gold 60-79 / Platinum 80+.</t>
        </is>
      </c>
    </row>
    <row r="71">
      <c r="C71" s="140" t="inlineStr">
        <is>
          <t>The ~39-pt 'Achievable' column is the improvement ceiling with NO rezoning/new buildings; the Action Plan tab sequences ~33 of it across Year 1-3.</t>
        </is>
      </c>
    </row>
    <row r="72">
      <c r="C72" s="140" t="inlineStr">
        <is>
          <t>Tier 4 (red) = only reachable through redevelopment / rezoning the US-1 &amp; Hillsboro edges + a green-building requirement - the path from ~39 toward Certified.</t>
        </is>
      </c>
    </row>
    <row r="73">
      <c r="C73" s="140" t="inlineStr">
        <is>
          <t>LEED-ND rates NEW development; this is an interpretive read of an existing district for planning use. Boundary = official Cove Waterfront District study area (KMZ).</t>
        </is>
      </c>
    </row>
  </sheetData>
  <autoFilter ref="A3:L59"/>
  <mergeCells count="6">
    <mergeCell ref="C71:L71"/>
    <mergeCell ref="A2:L2"/>
    <mergeCell ref="C70:L70"/>
    <mergeCell ref="C73:L73"/>
    <mergeCell ref="A1:L1"/>
    <mergeCell ref="C72:L7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8" customWidth="1" min="1" max="1"/>
    <col width="34" customWidth="1" min="2" max="2"/>
    <col width="6" customWidth="1" min="3" max="3"/>
    <col width="30" customWidth="1" min="4" max="4"/>
    <col width="10" customWidth="1" min="5" max="5"/>
    <col width="42" customWidth="1" min="6" max="6"/>
  </cols>
  <sheetData>
    <row r="1" ht="26" customHeight="1">
      <c r="A1" s="100" t="inlineStr">
        <is>
          <t>The Cove - LEED-ND Integration Action Plan (Year 1-3) with Credits Earned</t>
        </is>
      </c>
    </row>
    <row r="2" ht="26" customHeight="1">
      <c r="A2" s="101" t="inlineStr">
        <is>
          <t>Action</t>
        </is>
      </c>
      <c r="B2" s="101" t="inlineStr">
        <is>
          <t>LEED-ND credit(s) earned</t>
        </is>
      </c>
      <c r="C2" s="102" t="inlineStr">
        <is>
          <t>Pts</t>
        </is>
      </c>
      <c r="D2" s="101" t="inlineStr">
        <is>
          <t>Lead / Owner</t>
        </is>
      </c>
      <c r="E2" s="102" t="inlineStr">
        <is>
          <t>Cost</t>
        </is>
      </c>
      <c r="F2" s="101" t="inlineStr">
        <is>
          <t>Neighborhood benefit</t>
        </is>
      </c>
    </row>
    <row r="3">
      <c r="A3" s="119" t="inlineStr">
        <is>
          <t>Phased plan to graft LEED-ND value into The Cove as-is. Cost key: $ = staff time/&lt;$5k | $$ = cost-share/study/$5-50k | $$$ = capital $50k+ | policy = process, not $$.</t>
        </is>
      </c>
    </row>
    <row r="5" ht="22" customHeight="1">
      <c r="A5" s="120" t="inlineStr">
        <is>
          <t>YEAR 1  -  DOCUMENT &amp; QUICK WINS  (mostly free; claim what's already true)</t>
        </is>
      </c>
      <c r="B5" s="138" t="n"/>
      <c r="C5" s="138" t="n"/>
      <c r="D5" s="138" t="n"/>
      <c r="E5" s="138" t="n"/>
      <c r="F5" s="139" t="n"/>
    </row>
    <row r="6" ht="44" customHeight="1">
      <c r="A6" s="121" t="inlineStr">
        <is>
          <t>Compile a neighborhood 'asset dossier' (parks, pier, farmers market, schools, bus stops, recycling)</t>
        </is>
      </c>
      <c r="B6" s="123" t="inlineStr">
        <is>
          <t>Civic Space; Recreation; Local Food; Schools; Transit Facilities; Solid Waste</t>
        </is>
      </c>
      <c r="C6" s="122" t="n">
        <v>6</v>
      </c>
      <c r="D6" s="123" t="inlineStr">
        <is>
          <t>City Planning + Cove Civic Assoc.</t>
        </is>
      </c>
      <c r="E6" s="122" t="inlineStr">
        <is>
          <t>$</t>
        </is>
      </c>
      <c r="F6" s="123" t="inlineStr">
        <is>
          <t>Claims 6 credits already true; produces a grant-ready asset map.</t>
        </is>
      </c>
    </row>
    <row r="7" ht="44" customHeight="1">
      <c r="A7" s="121" t="inlineStr">
        <is>
          <t>Adopt a 'reuse-over-teardown' preference for existing homes</t>
        </is>
      </c>
      <c r="B7" s="123" t="inlineStr">
        <is>
          <t>Building Reuse</t>
        </is>
      </c>
      <c r="C7" s="122" t="n">
        <v>1</v>
      </c>
      <c r="D7" s="123" t="inlineStr">
        <is>
          <t>Planning / Building Dept.</t>
        </is>
      </c>
      <c r="E7" s="122" t="inlineStr">
        <is>
          <t>$</t>
        </is>
      </c>
      <c r="F7" s="123" t="inlineStr">
        <is>
          <t>Preserves neighborhood character &amp; embodied carbon.</t>
        </is>
      </c>
    </row>
    <row r="8" ht="44" customHeight="1">
      <c r="A8" s="121" t="inlineStr">
        <is>
          <t>Formalize a resident engagement process (regular charrettes) with the Cove Civic Assoc.</t>
        </is>
      </c>
      <c r="B8" s="123" t="inlineStr">
        <is>
          <t>Community Outreach &amp; Involvement</t>
        </is>
      </c>
      <c r="C8" s="122" t="n">
        <v>2</v>
      </c>
      <c r="D8" s="123" t="inlineStr">
        <is>
          <t>Cove Civic Assoc. + Planning</t>
        </is>
      </c>
      <c r="E8" s="122" t="inlineStr">
        <is>
          <t>$</t>
        </is>
      </c>
      <c r="F8" s="123" t="inlineStr">
        <is>
          <t>Residents get a standing seat at planning.</t>
        </is>
      </c>
    </row>
    <row r="9" ht="44" customHeight="1">
      <c r="A9" s="121" t="inlineStr">
        <is>
          <t>Extend the sea-turtle / dark-sky lighting standard inland; begin fixture swaps</t>
        </is>
      </c>
      <c r="B9" s="123" t="inlineStr">
        <is>
          <t>Light Pollution Reduction</t>
        </is>
      </c>
      <c r="C9" s="122" t="n">
        <v>1</v>
      </c>
      <c r="D9" s="123" t="inlineStr">
        <is>
          <t>Public Works / Code Enforcement</t>
        </is>
      </c>
      <c r="E9" s="122" t="inlineStr">
        <is>
          <t>$$</t>
        </is>
      </c>
      <c r="F9" s="123" t="inlineStr">
        <is>
          <t>Safer, wildlife-friendly nights (city ordinance already exists).</t>
        </is>
      </c>
    </row>
    <row r="10" ht="44" customHeight="1">
      <c r="A10" s="121" t="inlineStr">
        <is>
          <t>Kick off street-tree planting via Deerfield's Shady Street Tree program + Arbor Day giveaways</t>
        </is>
      </c>
      <c r="B10" s="123" t="inlineStr">
        <is>
          <t>(starts Tree-Lined &amp; Heat Island - credited Yr 2)</t>
        </is>
      </c>
      <c r="C10" s="122" t="n">
        <v>0</v>
      </c>
      <c r="D10" s="123" t="inlineStr">
        <is>
          <t>Environmental Services + residents</t>
        </is>
      </c>
      <c r="E10" s="122" t="inlineStr">
        <is>
          <t>$$</t>
        </is>
      </c>
      <c r="F10" s="123" t="inlineStr">
        <is>
          <t>Shade &amp; cooling underway at cost-share pricing.</t>
        </is>
      </c>
    </row>
    <row r="11" ht="44" customHeight="1">
      <c r="A11" s="121" t="inlineStr">
        <is>
          <t>Enroll the neighborhood in Broward NatureScape / Florida-Friendly Landscaping</t>
        </is>
      </c>
      <c r="B11" s="123" t="inlineStr">
        <is>
          <t>(starts Outdoor Water - credited Yr 2)</t>
        </is>
      </c>
      <c r="C11" s="122" t="n">
        <v>0</v>
      </c>
      <c r="D11" s="123" t="inlineStr">
        <is>
          <t>Cove Civic Assoc. + UF/IFAS Broward</t>
        </is>
      </c>
      <c r="E11" s="122" t="inlineStr">
        <is>
          <t>$</t>
        </is>
      </c>
      <c r="F11" s="123" t="inlineStr">
        <is>
          <t>Water savings &amp; cleaner canal runoff begin.</t>
        </is>
      </c>
    </row>
    <row r="12">
      <c r="A12" s="112" t="inlineStr">
        <is>
          <t>Year 1 subtotal</t>
        </is>
      </c>
      <c r="B12" s="137" t="inlineStr">
        <is>
          <t>credits earned this year</t>
        </is>
      </c>
      <c r="C12" s="102" t="n">
        <v>10</v>
      </c>
      <c r="D12" s="111" t="n"/>
      <c r="E12" s="111" t="n"/>
      <c r="F12" s="111" t="n"/>
    </row>
    <row r="14" ht="22" customHeight="1">
      <c r="A14" s="124" t="inlineStr">
        <is>
          <t>YEAR 2  -  PROGRAMS MATURE + FIRST ANALYSES  (low-moderate cost)</t>
        </is>
      </c>
      <c r="B14" s="138" t="n"/>
      <c r="C14" s="138" t="n"/>
      <c r="D14" s="138" t="n"/>
      <c r="E14" s="138" t="n"/>
      <c r="F14" s="139" t="n"/>
    </row>
    <row r="15" ht="44" customHeight="1">
      <c r="A15" s="125" t="inlineStr">
        <is>
          <t>Reach street-tree canopy / shading targets (continue the program)</t>
        </is>
      </c>
      <c r="B15" s="127" t="inlineStr">
        <is>
          <t>Tree-Lined &amp; Shaded Streetscapes; Heat Island Reduction</t>
        </is>
      </c>
      <c r="C15" s="126" t="n">
        <v>3</v>
      </c>
      <c r="D15" s="127" t="inlineStr">
        <is>
          <t>Environmental Services</t>
        </is>
      </c>
      <c r="E15" s="126" t="inlineStr">
        <is>
          <t>$$</t>
        </is>
      </c>
      <c r="F15" s="127" t="inlineStr">
        <is>
          <t>Cooler, shadier, more walkable streets.</t>
        </is>
      </c>
    </row>
    <row r="16" ht="44" customHeight="1">
      <c r="A16" s="125" t="inlineStr">
        <is>
          <t>Achieve NatureScape Silver/Gold recognition (native + smart irrigation)</t>
        </is>
      </c>
      <c r="B16" s="127" t="inlineStr">
        <is>
          <t>Outdoor Water Use Reduction</t>
        </is>
      </c>
      <c r="C16" s="126" t="n">
        <v>2</v>
      </c>
      <c r="D16" s="127" t="inlineStr">
        <is>
          <t>Cove Civic Assoc. + UF/IFAS</t>
        </is>
      </c>
      <c r="E16" s="126" t="inlineStr">
        <is>
          <t>$</t>
        </is>
      </c>
      <c r="F16" s="127" t="inlineStr">
        <is>
          <t>Lower water bills; less fertilizer into the ICW.</t>
        </is>
      </c>
    </row>
    <row r="17" ht="44" customHeight="1">
      <c r="A17" s="125" t="inlineStr">
        <is>
          <t>Install bike racks + first bike-lane/greenway links (Cove node -&gt; beach &amp; park)</t>
        </is>
      </c>
      <c r="B17" s="127" t="inlineStr">
        <is>
          <t>Bicycle Facilities</t>
        </is>
      </c>
      <c r="C17" s="126" t="n">
        <v>2</v>
      </c>
      <c r="D17" s="127" t="inlineStr">
        <is>
          <t>City + Broward MPO</t>
        </is>
      </c>
      <c r="E17" s="126" t="inlineStr">
        <is>
          <t>$$</t>
        </is>
      </c>
      <c r="F17" s="127" t="inlineStr">
        <is>
          <t>Safe biking to shops, park, beach.</t>
        </is>
      </c>
    </row>
    <row r="18" ht="44" customHeight="1">
      <c r="A18" s="125" t="inlineStr">
        <is>
          <t>Commission a connectivity/adjacency + jobs-proximity study</t>
        </is>
      </c>
      <c r="B18" s="127" t="inlineStr">
        <is>
          <t>Preferred Locations; Housing &amp; Jobs Proximity</t>
        </is>
      </c>
      <c r="C18" s="126" t="n">
        <v>7</v>
      </c>
      <c r="D18" s="127" t="inlineStr">
        <is>
          <t>Planning + consultant</t>
        </is>
      </c>
      <c r="E18" s="126" t="inlineStr">
        <is>
          <t>$$</t>
        </is>
      </c>
      <c r="F18" s="127" t="inlineStr">
        <is>
          <t>Formalizes the 'smart location' story; grant-ready.</t>
        </is>
      </c>
    </row>
    <row r="19" ht="44" customHeight="1">
      <c r="A19" s="125" t="inlineStr">
        <is>
          <t>Begin BCT service advocacy + shelter design</t>
        </is>
      </c>
      <c r="B19" s="127" t="inlineStr">
        <is>
          <t>(starts Access to Transit - credited Yr 3)</t>
        </is>
      </c>
      <c r="C19" s="126" t="n">
        <v>0</v>
      </c>
      <c r="D19" s="127" t="inlineStr">
        <is>
          <t>City + Broward County Transit</t>
        </is>
      </c>
      <c r="E19" s="126" t="inlineStr">
        <is>
          <t>$</t>
        </is>
      </c>
      <c r="F19" s="127" t="inlineStr">
        <is>
          <t>Builds the pipeline to better bus service.</t>
        </is>
      </c>
    </row>
    <row r="20" ht="44" customHeight="1">
      <c r="A20" s="125" t="inlineStr">
        <is>
          <t>Sidewalk-gap audit + priority crossing design</t>
        </is>
      </c>
      <c r="B20" s="127" t="inlineStr">
        <is>
          <t>(starts Walkable Streets - credited Yr 3)</t>
        </is>
      </c>
      <c r="C20" s="126" t="n">
        <v>0</v>
      </c>
      <c r="D20" s="127" t="inlineStr">
        <is>
          <t>Engineering / Public Works</t>
        </is>
      </c>
      <c r="E20" s="126" t="inlineStr">
        <is>
          <t>$$</t>
        </is>
      </c>
      <c r="F20" s="127" t="inlineStr">
        <is>
          <t>A prioritized walk-safety plan.</t>
        </is>
      </c>
    </row>
    <row r="21">
      <c r="A21" s="112" t="inlineStr">
        <is>
          <t>Year 2 subtotal</t>
        </is>
      </c>
      <c r="B21" s="137" t="inlineStr">
        <is>
          <t>credits earned this year</t>
        </is>
      </c>
      <c r="C21" s="102" t="n">
        <v>14</v>
      </c>
      <c r="D21" s="111" t="n"/>
      <c r="E21" s="111" t="n"/>
      <c r="F21" s="111" t="n"/>
    </row>
    <row r="23" ht="22" customHeight="1">
      <c r="A23" s="128" t="inlineStr">
        <is>
          <t>YEAR 3  -  CAPITAL PROJECTS &amp; GREEN INFRASTRUCTURE  (budget required; still NO rezoning)</t>
        </is>
      </c>
      <c r="B23" s="138" t="n"/>
      <c r="C23" s="138" t="n"/>
      <c r="D23" s="138" t="n"/>
      <c r="E23" s="138" t="n"/>
      <c r="F23" s="139" t="n"/>
    </row>
    <row r="24" ht="44" customHeight="1">
      <c r="A24" s="129" t="inlineStr">
        <is>
          <t>Build sidewalk / crossing / traffic-calming improvements</t>
        </is>
      </c>
      <c r="B24" s="131" t="inlineStr">
        <is>
          <t>Walkable Streets</t>
        </is>
      </c>
      <c r="C24" s="130" t="n">
        <v>4</v>
      </c>
      <c r="D24" s="131" t="inlineStr">
        <is>
          <t>Public Works / Engineering</t>
        </is>
      </c>
      <c r="E24" s="130" t="inlineStr">
        <is>
          <t>$$$</t>
        </is>
      </c>
      <c r="F24" s="131" t="inlineStr">
        <is>
          <t>Safer everyday walking on the grid &amp; corridors.</t>
        </is>
      </c>
    </row>
    <row r="25" ht="44" customHeight="1">
      <c r="A25" s="129" t="inlineStr">
        <is>
          <t>Green stormwater retrofit at the shopping-center lot &amp; ROW (bioswales, permeable paving)</t>
        </is>
      </c>
      <c r="B25" s="131" t="inlineStr">
        <is>
          <t>Rainwater Management</t>
        </is>
      </c>
      <c r="C25" s="130" t="n">
        <v>1</v>
      </c>
      <c r="D25" s="131" t="inlineStr">
        <is>
          <t>Engineering / Stormwater</t>
        </is>
      </c>
      <c r="E25" s="130" t="inlineStr">
        <is>
          <t>$$$</t>
        </is>
      </c>
      <c r="F25" s="131" t="inlineStr">
        <is>
          <t>Less flooding, cleaner canal/ICW water; logs for FEMA CRS.</t>
        </is>
      </c>
    </row>
    <row r="26" ht="44" customHeight="1">
      <c r="A26" s="129" t="inlineStr">
        <is>
          <t>Deliver higher BCT frequency + upgraded shelters</t>
        </is>
      </c>
      <c r="B26" s="131" t="inlineStr">
        <is>
          <t>Access to Quality Transit</t>
        </is>
      </c>
      <c r="C26" s="130" t="n">
        <v>3</v>
      </c>
      <c r="D26" s="131" t="inlineStr">
        <is>
          <t>Broward County Transit + City</t>
        </is>
      </c>
      <c r="E26" s="130" t="inlineStr">
        <is>
          <t>$$$</t>
        </is>
      </c>
      <c r="F26" s="131" t="inlineStr">
        <is>
          <t>A real car-optional mobility option.</t>
        </is>
      </c>
    </row>
    <row r="27" ht="44" customHeight="1">
      <c r="A27" s="129" t="inlineStr">
        <is>
          <t>Pursue Butler House / a local historic designation</t>
        </is>
      </c>
      <c r="B27" s="131" t="inlineStr">
        <is>
          <t>Historic Resource Preservation</t>
        </is>
      </c>
      <c r="C27" s="130" t="n">
        <v>1</v>
      </c>
      <c r="D27" s="131" t="inlineStr">
        <is>
          <t>Planning + Deerfield Historical Society</t>
        </is>
      </c>
      <c r="E27" s="130" t="inlineStr">
        <is>
          <t>$$</t>
        </is>
      </c>
      <c r="F27" s="131" t="inlineStr">
        <is>
          <t>Protects heritage; opens preservation grants.</t>
        </is>
      </c>
    </row>
    <row r="28">
      <c r="A28" s="112" t="inlineStr">
        <is>
          <t>Year 3 subtotal</t>
        </is>
      </c>
      <c r="B28" s="137" t="inlineStr">
        <is>
          <t>credits earned this year</t>
        </is>
      </c>
      <c r="C28" s="102" t="n">
        <v>9</v>
      </c>
      <c r="D28" s="111" t="n"/>
      <c r="E28" s="111" t="n"/>
      <c r="F28" s="111" t="n"/>
    </row>
    <row r="30" ht="22" customHeight="1">
      <c r="A30" s="132" t="inlineStr">
        <is>
          <t>ONGOING / FUTURE  -  TIER 4 POLICY TRACK  (not counted below - this is the path PAST ~33 toward Certified)</t>
        </is>
      </c>
      <c r="B30" s="138" t="n"/>
      <c r="C30" s="138" t="n"/>
      <c r="D30" s="138" t="n"/>
      <c r="E30" s="138" t="n"/>
      <c r="F30" s="139" t="n"/>
    </row>
    <row r="31" ht="44" customHeight="1">
      <c r="A31" s="133" t="inlineStr">
        <is>
          <t>US-1 &amp; Hillsboro EDGE rezoning / mixed-use + higher-density study</t>
        </is>
      </c>
      <c r="B31" s="135" t="inlineStr">
        <is>
          <t>Compact Development; Housing Types &amp; Affordability; Mixed-Use</t>
        </is>
      </c>
      <c r="C31" s="134" t="inlineStr">
        <is>
          <t>~17</t>
        </is>
      </c>
      <c r="D31" s="135" t="inlineStr">
        <is>
          <t>Planning + CRA + City Commission</t>
        </is>
      </c>
      <c r="E31" s="134" t="inlineStr">
        <is>
          <t>policy/$$</t>
        </is>
      </c>
      <c r="F31" s="135" t="inlineStr">
        <is>
          <t>Biggest point block AND biggest change - a deliberate policy decision.</t>
        </is>
      </c>
    </row>
    <row r="32" ht="44" customHeight="1">
      <c r="A32" s="133" t="inlineStr">
        <is>
          <t>Green-building requirement + retrofit incentives for new construction</t>
        </is>
      </c>
      <c r="B32" s="135" t="inlineStr">
        <is>
          <t>Certified Green Buildings; Energy; Renewables</t>
        </is>
      </c>
      <c r="C32" s="134" t="inlineStr">
        <is>
          <t>~12</t>
        </is>
      </c>
      <c r="D32" s="135" t="inlineStr">
        <is>
          <t>City Commission / Building Dept.</t>
        </is>
      </c>
      <c r="E32" s="134" t="inlineStr">
        <is>
          <t>policy</t>
        </is>
      </c>
      <c r="F32" s="135" t="inlineStr">
        <is>
          <t>Unlocks the GIB prerequisites needed for actual certification.</t>
        </is>
      </c>
    </row>
    <row r="34" ht="26" customHeight="1">
      <c r="A34" s="136" t="inlineStr">
        <is>
          <t>TOTAL INTEGRATED WITH NO REZONING / NO NEW BUILDINGS:  ~33 LEED-ND points over 3 years</t>
        </is>
      </c>
      <c r="B34" s="138" t="n"/>
      <c r="C34" s="138" t="n"/>
      <c r="D34" s="138" t="n"/>
      <c r="E34" s="138" t="n"/>
      <c r="F34" s="139" t="n"/>
    </row>
    <row r="35">
      <c r="A35" s="119" t="inlineStr">
        <is>
          <t>CUMULATIVE (no rezoning, no new buildings):  end of Yr 1 ~10 pts  -&gt;  end of Yr 2 ~24  -&gt;  end of Yr 3 ~33 pts of LEED-ND value integrated.</t>
        </is>
      </c>
    </row>
    <row r="36">
      <c r="A36" s="119" t="inlineStr">
        <is>
          <t>Every action is a real improvement (shade, water, stormwater, walk/bike, wildlife lighting, public waterfront) - the credits are the scorecard, not the goal.</t>
        </is>
      </c>
    </row>
    <row r="37">
      <c r="A37" s="119" t="inlineStr">
        <is>
          <t>To cross from ~33 into Certified (40-49) / Silver: pursue the Tier-4 policy track (edge rezoning + green-building requirement) as a separate Commission/CRA decision.</t>
        </is>
      </c>
    </row>
    <row r="38">
      <c r="A38" s="119" t="inlineStr">
        <is>
          <t>Points are interpretive estimates; confirm specifics with Deerfield Beach Planning &amp; Zoning / GIS and Environmental Services before adopting.</t>
        </is>
      </c>
    </row>
  </sheetData>
  <mergeCells count="11">
    <mergeCell ref="A38:F38"/>
    <mergeCell ref="A36:F36"/>
    <mergeCell ref="A14:F14"/>
    <mergeCell ref="A1:F1"/>
    <mergeCell ref="A23:F23"/>
    <mergeCell ref="A5:F5"/>
    <mergeCell ref="A37:F37"/>
    <mergeCell ref="A34:F34"/>
    <mergeCell ref="A35:F35"/>
    <mergeCell ref="A3:F3"/>
    <mergeCell ref="A30:F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8" customWidth="1" min="2" max="2"/>
    <col width="54" customWidth="1" min="3" max="3"/>
    <col width="44" customWidth="1" min="4" max="4"/>
  </cols>
  <sheetData>
    <row r="1" ht="26" customHeight="1">
      <c r="A1" s="100" t="inlineStr">
        <is>
          <t>The Cove - Integrating LEED-ND As-Is: What We Can Qualify For (no certification required)</t>
        </is>
      </c>
    </row>
    <row r="2" ht="26" customHeight="1">
      <c r="A2" s="101" t="inlineStr">
        <is>
          <t>LEED-ND Credit</t>
        </is>
      </c>
      <c r="B2" s="102" t="inlineStr">
        <is>
          <t>Pts</t>
        </is>
      </c>
      <c r="C2" s="101" t="inlineStr">
        <is>
          <t>How to integrate into The Cove (as-is)</t>
        </is>
      </c>
      <c r="D2" s="101" t="inlineStr">
        <is>
          <t>Why it improves the neighborhood</t>
        </is>
      </c>
    </row>
    <row r="3">
      <c r="A3" s="119" t="inlineStr">
        <is>
          <t>The question: not 'how do we get certified' but 'which LEED-ND ideas can we graft onto The Cove as-is to improve it - and what do we qualify for?'</t>
        </is>
      </c>
    </row>
    <row r="5" ht="22" customHeight="1">
      <c r="A5" s="120" t="inlineStr">
        <is>
          <t>TIER 1  -  ALREADY QUALIFY / JUST DOCUMENT IT  (essentially in hand today)</t>
        </is>
      </c>
      <c r="B5" s="138" t="n"/>
      <c r="C5" s="138" t="n"/>
      <c r="D5" s="139" t="n"/>
    </row>
    <row r="6" ht="42" customHeight="1">
      <c r="A6" s="121" t="inlineStr">
        <is>
          <t>Access to Civic &amp; Public Space</t>
        </is>
      </c>
      <c r="B6" s="122" t="n">
        <v>1</v>
      </c>
      <c r="C6" s="123" t="inlineStr">
        <is>
          <t>Document Sullivan Park promenade + public waterfront access.</t>
        </is>
      </c>
      <c r="D6" s="123" t="inlineStr">
        <is>
          <t>Protects &amp; showcases public waterfront - the neighborhood's signature asset.</t>
        </is>
      </c>
    </row>
    <row r="7" ht="42" customHeight="1">
      <c r="A7" s="121" t="inlineStr">
        <is>
          <t>Access to Recreation Facilities</t>
        </is>
      </c>
      <c r="B7" s="122" t="n">
        <v>1</v>
      </c>
      <c r="C7" s="123" t="inlineStr">
        <is>
          <t>Document walk/bike access to Sullivan Park, the pier, the beach, Deerfield Island shuttle.</t>
        </is>
      </c>
      <c r="D7" s="123" t="inlineStr">
        <is>
          <t>Confirms The Cove as a recreation-rich district.</t>
        </is>
      </c>
    </row>
    <row r="8" ht="42" customHeight="1">
      <c r="A8" s="121" t="inlineStr">
        <is>
          <t>Local Food Production</t>
        </is>
      </c>
      <c r="B8" s="122" t="n">
        <v>1</v>
      </c>
      <c r="C8" s="123" t="inlineStr">
        <is>
          <t>Recognize the Cove / Butler House farmers market; add a community-garden plot.</t>
        </is>
      </c>
      <c r="D8" s="123" t="inlineStr">
        <is>
          <t>Local food + a recurring community gathering.</t>
        </is>
      </c>
    </row>
    <row r="9" ht="42" customHeight="1">
      <c r="A9" s="121" t="inlineStr">
        <is>
          <t>Neighborhood Schools</t>
        </is>
      </c>
      <c r="B9" s="122" t="n">
        <v>1</v>
      </c>
      <c r="C9" s="123" t="inlineStr">
        <is>
          <t>Document walkable access to St. Ambrose + Deerfield schools.</t>
        </is>
      </c>
      <c r="D9" s="123" t="inlineStr">
        <is>
          <t>Supports walk-to-school &amp; family retention.</t>
        </is>
      </c>
    </row>
    <row r="10" ht="42" customHeight="1">
      <c r="A10" s="121" t="inlineStr">
        <is>
          <t>Transit Facilities</t>
        </is>
      </c>
      <c r="B10" s="122" t="n">
        <v>1</v>
      </c>
      <c r="C10" s="123" t="inlineStr">
        <is>
          <t>Inventory BCT stops/shelters on US-1 &amp; Hillsboro; add benches/real-time signs.</t>
        </is>
      </c>
      <c r="D10" s="123" t="inlineStr">
        <is>
          <t>Makes the bus a real option at the edges.</t>
        </is>
      </c>
    </row>
    <row r="11" ht="42" customHeight="1">
      <c r="A11" s="121" t="inlineStr">
        <is>
          <t>Building Reuse</t>
        </is>
      </c>
      <c r="B11" s="122" t="n">
        <v>1</v>
      </c>
      <c r="C11" s="123" t="inlineStr">
        <is>
          <t>Adopt a 'reuse-over-teardown' preference for existing homes.</t>
        </is>
      </c>
      <c r="D11" s="123" t="inlineStr">
        <is>
          <t>Keeps neighborhood character &amp; embodied carbon.</t>
        </is>
      </c>
    </row>
    <row r="12" ht="42" customHeight="1">
      <c r="A12" s="121" t="inlineStr">
        <is>
          <t>Solid Waste Management</t>
        </is>
      </c>
      <c r="B12" s="122" t="n">
        <v>1</v>
      </c>
      <c r="C12" s="123" t="inlineStr">
        <is>
          <t>Document the city curbside recycling program; add construction-waste diversion.</t>
        </is>
      </c>
      <c r="D12" s="123" t="inlineStr">
        <is>
          <t>Cleaner waste stream, little cost.</t>
        </is>
      </c>
    </row>
    <row r="13" ht="42" customHeight="1">
      <c r="A13" s="121" t="inlineStr">
        <is>
          <t>Light Pollution Reduction</t>
        </is>
      </c>
      <c r="B13" s="122" t="n">
        <v>1</v>
      </c>
      <c r="C13" s="123" t="inlineStr">
        <is>
          <t>Deerfield ALREADY enforces a sea-turtle/coastal lighting ordinance (Broward Beach Lighting Mgmt Plan) - extend fixture standards inland.</t>
        </is>
      </c>
      <c r="D13" s="123" t="inlineStr">
        <is>
          <t>Dark-sky, wildlife-friendly, safer streets.</t>
        </is>
      </c>
    </row>
    <row r="14" ht="42" customHeight="1">
      <c r="A14" s="121" t="inlineStr">
        <is>
          <t>Community Outreach &amp; Involvement</t>
        </is>
      </c>
      <c r="B14" s="122" t="n">
        <v>2</v>
      </c>
      <c r="C14" s="123" t="inlineStr">
        <is>
          <t>Formalize a charrette/engagement process with the active Cove Civic Association.</t>
        </is>
      </c>
      <c r="D14" s="123" t="inlineStr">
        <is>
          <t>Gives residents a real seat at planning.</t>
        </is>
      </c>
    </row>
    <row r="15">
      <c r="A15" s="112" t="inlineStr">
        <is>
          <t>Subtotal - Tier 1 (in hand / document)</t>
        </is>
      </c>
      <c r="B15" s="102" t="n">
        <v>10</v>
      </c>
      <c r="C15" s="111" t="n"/>
      <c r="D15" s="111" t="n"/>
    </row>
    <row r="17" ht="22" customHeight="1">
      <c r="A17" s="124" t="inlineStr">
        <is>
          <t>TIER 2  -  PLUG INTO A PROGRAM THE CITY/COUNTY ALREADY RUNS  (low cost, high benefit)</t>
        </is>
      </c>
      <c r="B17" s="138" t="n"/>
      <c r="C17" s="138" t="n"/>
      <c r="D17" s="139" t="n"/>
    </row>
    <row r="18" ht="42" customHeight="1">
      <c r="A18" s="125" t="inlineStr">
        <is>
          <t>Tree-Lined &amp; Shaded Streetscapes</t>
        </is>
      </c>
      <c r="B18" s="126" t="n">
        <v>2</v>
      </c>
      <c r="C18" s="127" t="inlineStr">
        <is>
          <t>Deploy Deerfield's 'Shady Street Tree' cost-share + free tree giveaways + $50-100 rebates, street by street.</t>
        </is>
      </c>
      <c r="D18" s="127" t="inlineStr">
        <is>
          <t>Shade, cooler walks, curb appeal, stormwater help.</t>
        </is>
      </c>
    </row>
    <row r="19" ht="42" customHeight="1">
      <c r="A19" s="125" t="inlineStr">
        <is>
          <t>Outdoor Water Use Reduction</t>
        </is>
      </c>
      <c r="B19" s="126" t="n">
        <v>2</v>
      </c>
      <c r="C19" s="127" t="inlineStr">
        <is>
          <t>Enroll The Cove in Broward NatureScape / Florida-Friendly Landscaping (Silver/Gold); native + smart irrigation.</t>
        </is>
      </c>
      <c r="D19" s="127" t="inlineStr">
        <is>
          <t>Lower water bills; less fertilizer/runoff into the canals.</t>
        </is>
      </c>
    </row>
    <row r="20" ht="42" customHeight="1">
      <c r="A20" s="125" t="inlineStr">
        <is>
          <t>Heat Island Reduction</t>
        </is>
      </c>
      <c r="B20" s="126" t="n">
        <v>1</v>
      </c>
      <c r="C20" s="127" t="inlineStr">
        <is>
          <t>Pair the tree canopy with light/permeable surfaces at the shopping-center lot &amp; rights-of-way.</t>
        </is>
      </c>
      <c r="D20" s="127" t="inlineStr">
        <is>
          <t>Cooler, more comfortable public realm.</t>
        </is>
      </c>
    </row>
    <row r="21" ht="42" customHeight="1">
      <c r="A21" s="125" t="inlineStr">
        <is>
          <t>Bicycle Facilities</t>
        </is>
      </c>
      <c r="B21" s="126" t="n">
        <v>2</v>
      </c>
      <c r="C21" s="127" t="inlineStr">
        <is>
          <t>Add bike racks at the Cove node + connect to the county bike/greenway network toward the beach.</t>
        </is>
      </c>
      <c r="D21" s="127" t="inlineStr">
        <is>
          <t>Safer biking to shops, park, beach.</t>
        </is>
      </c>
    </row>
    <row r="22">
      <c r="A22" s="112" t="inlineStr">
        <is>
          <t>Subtotal - Tier 2 (existing programs)</t>
        </is>
      </c>
      <c r="B22" s="102" t="n">
        <v>7</v>
      </c>
      <c r="C22" s="111" t="n"/>
      <c r="D22" s="111" t="n"/>
    </row>
    <row r="24" ht="22" customHeight="1">
      <c r="A24" s="128" t="inlineStr">
        <is>
          <t>TIER 3  -  A CAPITAL / STREETSCAPE PROJECT OR ANALYSIS  (budget yes, rezoning NO)</t>
        </is>
      </c>
      <c r="B24" s="138" t="n"/>
      <c r="C24" s="138" t="n"/>
      <c r="D24" s="139" t="n"/>
    </row>
    <row r="25" ht="42" customHeight="1">
      <c r="A25" s="129" t="inlineStr">
        <is>
          <t>Preferred Locations</t>
        </is>
      </c>
      <c r="B25" s="130" t="n">
        <v>7</v>
      </c>
      <c r="C25" s="131" t="inlineStr">
        <is>
          <t>Already a qualifying infill location - commission the connectivity/adjacency analysis to claim it.</t>
        </is>
      </c>
      <c r="D25" s="131" t="inlineStr">
        <is>
          <t>Formalizes The Cove's 'smart location' story for grants.</t>
        </is>
      </c>
    </row>
    <row r="26" ht="42" customHeight="1">
      <c r="A26" s="129" t="inlineStr">
        <is>
          <t>Walkable Streets</t>
        </is>
      </c>
      <c r="B26" s="130" t="n">
        <v>4</v>
      </c>
      <c r="C26" s="131" t="inlineStr">
        <is>
          <t>Sidewalk gap-fill, marked crossings, traffic calming, street trees on the grid + corridors.</t>
        </is>
      </c>
      <c r="D26" s="131" t="inlineStr">
        <is>
          <t>Safer, more walkable everyday streets.</t>
        </is>
      </c>
    </row>
    <row r="27" ht="42" customHeight="1">
      <c r="A27" s="129" t="inlineStr">
        <is>
          <t>Access to Quality Transit</t>
        </is>
      </c>
      <c r="B27" s="130" t="n">
        <v>3</v>
      </c>
      <c r="C27" s="131" t="inlineStr">
        <is>
          <t>Advocate higher BCT frequency on US-1/Hillsboro; upgrade shelters; document service.</t>
        </is>
      </c>
      <c r="D27" s="131" t="inlineStr">
        <is>
          <t>Better mobility without a car.</t>
        </is>
      </c>
    </row>
    <row r="28" ht="42" customHeight="1">
      <c r="A28" s="129" t="inlineStr">
        <is>
          <t>Housing &amp; Jobs Proximity</t>
        </is>
      </c>
      <c r="B28" s="130" t="n">
        <v>2</v>
      </c>
      <c r="C28" s="131" t="inlineStr">
        <is>
          <t>Document jobs within 1/2 mile (Cove retail + Hillsboro corridor).</t>
        </is>
      </c>
      <c r="D28" s="131" t="inlineStr">
        <is>
          <t>Confirms a real live-work balance.</t>
        </is>
      </c>
    </row>
    <row r="29" ht="42" customHeight="1">
      <c r="A29" s="129" t="inlineStr">
        <is>
          <t>Rainwater Management</t>
        </is>
      </c>
      <c r="B29" s="130" t="n">
        <v>1</v>
      </c>
      <c r="C29" s="131" t="inlineStr">
        <is>
          <t>Green stormwater (bioswales, permeable paving) at the retail lot &amp; ROW; build on the city's FEMA-CRS floodplain program.</t>
        </is>
      </c>
      <c r="D29" s="131" t="inlineStr">
        <is>
          <t>Less flooding + cleaner canal/ICW water.</t>
        </is>
      </c>
    </row>
    <row r="30" ht="42" customHeight="1">
      <c r="A30" s="129" t="inlineStr">
        <is>
          <t>Historic Resource Preservation</t>
        </is>
      </c>
      <c r="B30" s="130" t="n">
        <v>1</v>
      </c>
      <c r="C30" s="131" t="inlineStr">
        <is>
          <t>Leverage the Butler House / consider a local historic designation.</t>
        </is>
      </c>
      <c r="D30" s="131" t="inlineStr">
        <is>
          <t>Protects heritage; opens preservation grants.</t>
        </is>
      </c>
    </row>
    <row r="31">
      <c r="A31" s="112" t="inlineStr">
        <is>
          <t>Subtotal - Tier 3 (capital / analysis)</t>
        </is>
      </c>
      <c r="B31" s="102" t="n">
        <v>18</v>
      </c>
      <c r="C31" s="111" t="n"/>
      <c r="D31" s="111" t="n"/>
    </row>
    <row r="33" ht="22" customHeight="1">
      <c r="A33" s="132" t="inlineStr">
        <is>
          <t>TIER 4  -  ONLY WITH REDEVELOPMENT / NEW BUILDINGS  (not now - this is where certification really lives)</t>
        </is>
      </c>
      <c r="B33" s="138" t="n"/>
      <c r="C33" s="138" t="n"/>
      <c r="D33" s="139" t="n"/>
    </row>
    <row r="34" ht="42" customHeight="1">
      <c r="A34" s="133" t="inlineStr">
        <is>
          <t>Compact Development / Housing Types / Mixed-Use</t>
        </is>
      </c>
      <c r="B34" s="134" t="n">
        <v>17</v>
      </c>
      <c r="C34" s="135" t="inlineStr">
        <is>
          <t>Would require rezoning the US-1 &amp; Hillsboro EDGES for mixed-use + higher density.</t>
        </is>
      </c>
      <c r="D34" s="135" t="inlineStr">
        <is>
          <t>Biggest point block AND biggest change - a separate policy decision.</t>
        </is>
      </c>
    </row>
    <row r="35" ht="42" customHeight="1">
      <c r="A35" s="133" t="inlineStr">
        <is>
          <t>Certified Green Buildings / Energy / Renewables</t>
        </is>
      </c>
      <c r="B35" s="134" t="n">
        <v>12</v>
      </c>
      <c r="C35" s="135" t="inlineStr">
        <is>
          <t>Would require a green-building requirement + retrofits on new construction.</t>
        </is>
      </c>
      <c r="D35" s="135" t="inlineStr">
        <is>
          <t>Unlocks the GIB prerequisites over time.</t>
        </is>
      </c>
    </row>
    <row r="36" ht="42" customHeight="1">
      <c r="A36" s="133" t="inlineStr">
        <is>
          <t>Reduced Parking / TDM</t>
        </is>
      </c>
      <c r="B36" s="134" t="inlineStr">
        <is>
          <t>3+</t>
        </is>
      </c>
      <c r="C36" s="135" t="inlineStr">
        <is>
          <t>Tied to redevelopment of the shopping-center site.</t>
        </is>
      </c>
      <c r="D36" s="135" t="inlineStr">
        <is>
          <t>Only makes sense with a redevelopment project.</t>
        </is>
      </c>
    </row>
    <row r="37">
      <c r="A37" s="112" t="inlineStr">
        <is>
          <t>Subtotal - Tier 4 (needs redevelopment - informational)</t>
        </is>
      </c>
      <c r="B37" s="102" t="n">
        <v>29</v>
      </c>
      <c r="C37" s="111" t="n"/>
      <c r="D37" s="111" t="n"/>
    </row>
    <row r="39" ht="30" customHeight="1">
      <c r="A39" s="136" t="inlineStr">
        <is>
          <t>ACHIEVABLE WITH NO REZONING / NO NEW BUILDINGS (Tiers 1-3):  ~30 points  |  Tier 1 (~10) is essentially in hand now</t>
        </is>
      </c>
      <c r="B39" s="138" t="n"/>
      <c r="C39" s="138" t="n"/>
      <c r="D39" s="139" t="n"/>
    </row>
    <row r="40">
      <c r="A40" s="119" t="inlineStr">
        <is>
          <t>BOTTOM LINE: with NO rezoning and NO new buildings, The Cove can realistically integrate/qualify for ~30 points of LEED-ND strategies -</t>
        </is>
      </c>
    </row>
    <row r="41">
      <c r="A41" s="119" t="inlineStr">
        <is>
          <t xml:space="preserve">   Tier 1 (~10) is essentially in hand today; Tiers 2-3 add ~20 more through existing city/county programs and streetscape projects.</t>
        </is>
      </c>
    </row>
    <row r="42">
      <c r="A42" s="119" t="inlineStr">
        <is>
          <t xml:space="preserve">   Every one of these is a genuine neighborhood improvement (shade, water, stormwater, walk/bike, wildlife lighting, public waterfront) - the points are a bonus, not the goal.</t>
        </is>
      </c>
    </row>
    <row r="43">
      <c r="A43" s="119" t="inlineStr">
        <is>
          <t xml:space="preserve">   The jump PAST ~30 toward Certified (40) is Tier 4 - a deliberate redevelopment/rezoning choice for the US-1 &amp; Hillsboro edges, not an as-is improvement.</t>
        </is>
      </c>
    </row>
    <row r="44">
      <c r="A44" s="119" t="inlineStr">
        <is>
          <t>Local programs referenced: Deerfield Beach Tree Programs (Shady Street Tree, giveaways, rebates); Broward NatureScape / Florida-Friendly Landscaping; Deerfield sea-turtle lighting ordinance; FEMA Community Rating System (city participant).</t>
        </is>
      </c>
    </row>
  </sheetData>
  <mergeCells count="12">
    <mergeCell ref="A1:D1"/>
    <mergeCell ref="A40:D40"/>
    <mergeCell ref="A5:D5"/>
    <mergeCell ref="A17:D17"/>
    <mergeCell ref="A3:D3"/>
    <mergeCell ref="A39:D39"/>
    <mergeCell ref="A43:D43"/>
    <mergeCell ref="A24:D24"/>
    <mergeCell ref="A33:D33"/>
    <mergeCell ref="A41:D41"/>
    <mergeCell ref="A42:D42"/>
    <mergeCell ref="A44:D4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44" customWidth="1" min="2" max="2"/>
    <col width="7" customWidth="1" min="3" max="3"/>
    <col width="9" customWidth="1" min="4" max="4"/>
    <col width="10" customWidth="1" min="5" max="5"/>
    <col width="13" customWidth="1" min="6" max="6"/>
    <col width="72" customWidth="1" min="7" max="7"/>
  </cols>
  <sheetData>
    <row r="1" ht="24" customHeight="1">
      <c r="A1" s="100" t="inlineStr">
        <is>
          <t>The Cove, Deerfield Beach FL - LEED-ND Scored As-Is + Actions to Improve</t>
        </is>
      </c>
    </row>
    <row r="2" ht="28" customHeight="1">
      <c r="A2" s="101" t="inlineStr">
        <is>
          <t>Type</t>
        </is>
      </c>
      <c r="B2" s="101" t="inlineStr">
        <is>
          <t>Credit / Prerequisite</t>
        </is>
      </c>
      <c r="C2" s="102" t="inlineStr">
        <is>
          <t>Max</t>
        </is>
      </c>
      <c r="D2" s="102" t="inlineStr">
        <is>
          <t>Now</t>
        </is>
      </c>
      <c r="E2" s="102" t="inlineStr">
        <is>
          <t>Potential</t>
        </is>
      </c>
      <c r="F2" s="102" t="inlineStr">
        <is>
          <t>Status</t>
        </is>
      </c>
      <c r="G2" s="101" t="inlineStr">
        <is>
          <t>What to do to bring it up to speed</t>
        </is>
      </c>
    </row>
    <row r="3">
      <c r="A3" s="103" t="inlineStr">
        <is>
          <t>SMART LOCATION &amp; LINKAGE (max 28)</t>
        </is>
      </c>
    </row>
    <row r="4" ht="30" customHeight="1">
      <c r="A4" s="104" t="inlineStr">
        <is>
          <t>Prereq</t>
        </is>
      </c>
      <c r="B4" s="105" t="inlineStr">
        <is>
          <t>Smart Location</t>
        </is>
      </c>
      <c r="C4" s="106" t="inlineStr">
        <is>
          <t>Req</t>
        </is>
      </c>
      <c r="D4" s="106" t="inlineStr"/>
      <c r="E4" s="106" t="inlineStr"/>
      <c r="F4" s="107" t="inlineStr">
        <is>
          <t>Met</t>
        </is>
      </c>
      <c r="G4" s="105" t="inlineStr">
        <is>
          <t>Infill site already qualifies. Maintain; document adjacency/connectivity.</t>
        </is>
      </c>
    </row>
    <row r="5" ht="30" customHeight="1">
      <c r="A5" s="104" t="inlineStr">
        <is>
          <t>Prereq</t>
        </is>
      </c>
      <c r="B5" s="105" t="inlineStr">
        <is>
          <t>Imperiled Species &amp; Ecological Communities</t>
        </is>
      </c>
      <c r="C5" s="106" t="inlineStr">
        <is>
          <t>Req</t>
        </is>
      </c>
      <c r="D5" s="106" t="inlineStr"/>
      <c r="E5" s="106" t="inlineStr"/>
      <c r="F5" s="108" t="inlineStr">
        <is>
          <t>Met (verify)</t>
        </is>
      </c>
      <c r="G5" s="105" t="inlineStr">
        <is>
          <t>Pull FWC/USFWS records to confirm no listed-species habitat; keep documentation.</t>
        </is>
      </c>
    </row>
    <row r="6" ht="30" customHeight="1">
      <c r="A6" s="104" t="inlineStr">
        <is>
          <t>Prereq</t>
        </is>
      </c>
      <c r="B6" s="105" t="inlineStr">
        <is>
          <t>Wetland &amp; Water Body Conservation</t>
        </is>
      </c>
      <c r="C6" s="106" t="inlineStr">
        <is>
          <t>Req</t>
        </is>
      </c>
      <c r="D6" s="106" t="inlineStr"/>
      <c r="E6" s="106" t="inlineStr"/>
      <c r="F6" s="109" t="inlineStr">
        <is>
          <t>At risk</t>
        </is>
      </c>
      <c r="G6" s="105" t="inlineStr">
        <is>
          <t>Built to seawalls, no buffers. Add living shorelines / vegetated canal buffers where feasible; document existing condition.</t>
        </is>
      </c>
    </row>
    <row r="7" ht="30" customHeight="1">
      <c r="A7" s="104" t="inlineStr">
        <is>
          <t>Prereq</t>
        </is>
      </c>
      <c r="B7" s="105" t="inlineStr">
        <is>
          <t>Agricultural Land Conservation</t>
        </is>
      </c>
      <c r="C7" s="106" t="inlineStr">
        <is>
          <t>Req</t>
        </is>
      </c>
      <c r="D7" s="106" t="inlineStr"/>
      <c r="E7" s="106" t="inlineStr"/>
      <c r="F7" s="108" t="inlineStr">
        <is>
          <t>N/A</t>
        </is>
      </c>
      <c r="G7" s="105" t="inlineStr">
        <is>
          <t>No farmland - no action.</t>
        </is>
      </c>
    </row>
    <row r="8" ht="30" customHeight="1">
      <c r="A8" s="104" t="inlineStr">
        <is>
          <t>Prereq</t>
        </is>
      </c>
      <c r="B8" s="105" t="inlineStr">
        <is>
          <t>Floodplain Avoidance</t>
        </is>
      </c>
      <c r="C8" s="106" t="inlineStr">
        <is>
          <t>Req</t>
        </is>
      </c>
      <c r="D8" s="106" t="inlineStr"/>
      <c r="E8" s="106" t="inlineStr"/>
      <c r="F8" s="109" t="inlineStr">
        <is>
          <t>At risk</t>
        </is>
      </c>
      <c r="G8" s="105" t="inlineStr">
        <is>
          <t>Largely FEMA Zone AE. Qualify via the previously-developed/infill path; adopt freeboard + flood-resilient construction standards.</t>
        </is>
      </c>
    </row>
    <row r="9" ht="30" customHeight="1">
      <c r="A9" s="104" t="inlineStr">
        <is>
          <t>Credit</t>
        </is>
      </c>
      <c r="B9" s="105" t="inlineStr">
        <is>
          <t>Preferred Locations</t>
        </is>
      </c>
      <c r="C9" s="106" t="n">
        <v>10</v>
      </c>
      <c r="D9" s="106" t="n">
        <v>5</v>
      </c>
      <c r="E9" s="106" t="n">
        <v>7</v>
      </c>
      <c r="F9" s="109" t="inlineStr">
        <is>
          <t>Partial</t>
        </is>
      </c>
      <c r="G9" s="105" t="inlineStr">
        <is>
          <t>Document intersection density &amp; adjacency; add east-side street/ped connections to raise the score.</t>
        </is>
      </c>
    </row>
    <row r="10" ht="30" customHeight="1">
      <c r="A10" s="104" t="inlineStr">
        <is>
          <t>Credit</t>
        </is>
      </c>
      <c r="B10" s="105" t="inlineStr">
        <is>
          <t>Brownfield Remediation</t>
        </is>
      </c>
      <c r="C10" s="106" t="n">
        <v>2</v>
      </c>
      <c r="D10" s="106" t="n">
        <v>0</v>
      </c>
      <c r="E10" s="106" t="n">
        <v>0</v>
      </c>
      <c r="F10" s="108" t="inlineStr">
        <is>
          <t>N/A</t>
        </is>
      </c>
      <c r="G10" s="105" t="inlineStr">
        <is>
          <t>No known brownfield; only pursue if a contaminated parcel is identified &amp; cleaned.</t>
        </is>
      </c>
    </row>
    <row r="11" ht="30" customHeight="1">
      <c r="A11" s="104" t="inlineStr">
        <is>
          <t>Credit</t>
        </is>
      </c>
      <c r="B11" s="105" t="inlineStr">
        <is>
          <t>Access to Quality Transit</t>
        </is>
      </c>
      <c r="C11" s="106" t="n">
        <v>7</v>
      </c>
      <c r="D11" s="106" t="n">
        <v>1</v>
      </c>
      <c r="E11" s="106" t="n">
        <v>3</v>
      </c>
      <c r="F11" s="109" t="inlineStr">
        <is>
          <t>Partial</t>
        </is>
      </c>
      <c r="G11" s="105" t="inlineStr">
        <is>
          <t>Partner with Broward County Transit for higher bus frequency on US-1/Hillsboro; add sheltered stops; document service levels.</t>
        </is>
      </c>
    </row>
    <row r="12" ht="30" customHeight="1">
      <c r="A12" s="104" t="inlineStr">
        <is>
          <t>Credit</t>
        </is>
      </c>
      <c r="B12" s="105" t="inlineStr">
        <is>
          <t>Bicycle Facilities</t>
        </is>
      </c>
      <c r="C12" s="106" t="n">
        <v>2</v>
      </c>
      <c r="D12" s="106" t="n">
        <v>0</v>
      </c>
      <c r="E12" s="106" t="n">
        <v>1</v>
      </c>
      <c r="F12" s="109" t="inlineStr">
        <is>
          <t>Partial</t>
        </is>
      </c>
      <c r="G12" s="105" t="inlineStr">
        <is>
          <t>Add bike lanes + racks linking the Cove node, beach and A1A; connect to the county bike network.</t>
        </is>
      </c>
    </row>
    <row r="13" ht="30" customHeight="1">
      <c r="A13" s="104" t="inlineStr">
        <is>
          <t>Credit</t>
        </is>
      </c>
      <c r="B13" s="105" t="inlineStr">
        <is>
          <t>Housing and Jobs Proximity</t>
        </is>
      </c>
      <c r="C13" s="106" t="n">
        <v>3</v>
      </c>
      <c r="D13" s="106" t="n">
        <v>1</v>
      </c>
      <c r="E13" s="106" t="n">
        <v>2</v>
      </c>
      <c r="F13" s="109" t="inlineStr">
        <is>
          <t>Partial</t>
        </is>
      </c>
      <c r="G13" s="105" t="inlineStr">
        <is>
          <t>Document jobs within 1/2 mile (Cove retail + Hillsboro corridor); add jobs through mixed-use edge redevelopment.</t>
        </is>
      </c>
    </row>
    <row r="14" ht="30" customHeight="1">
      <c r="A14" s="104" t="inlineStr">
        <is>
          <t>Credit</t>
        </is>
      </c>
      <c r="B14" s="105" t="inlineStr">
        <is>
          <t>Steep Slope Protection</t>
        </is>
      </c>
      <c r="C14" s="106" t="n">
        <v>1</v>
      </c>
      <c r="D14" s="106" t="n">
        <v>0</v>
      </c>
      <c r="E14" s="106" t="n">
        <v>0</v>
      </c>
      <c r="F14" s="108" t="inlineStr">
        <is>
          <t>N/A</t>
        </is>
      </c>
      <c r="G14" s="105" t="inlineStr">
        <is>
          <t>Flat coastal site - not achievable.</t>
        </is>
      </c>
    </row>
    <row r="15" ht="30" customHeight="1">
      <c r="A15" s="104" t="inlineStr">
        <is>
          <t>Credit</t>
        </is>
      </c>
      <c r="B15" s="105" t="inlineStr">
        <is>
          <t>Site Design for Habitat/Water Body</t>
        </is>
      </c>
      <c r="C15" s="106" t="n">
        <v>1</v>
      </c>
      <c r="D15" s="106" t="n">
        <v>0</v>
      </c>
      <c r="E15" s="106" t="n">
        <v>0</v>
      </c>
      <c r="F15" s="110" t="inlineStr">
        <is>
          <t>Not met</t>
        </is>
      </c>
      <c r="G15" s="105" t="inlineStr">
        <is>
          <t>Add native shoreline planting / habitat features along canals &amp; the ICW to pursue.</t>
        </is>
      </c>
    </row>
    <row r="16" ht="30" customHeight="1">
      <c r="A16" s="104" t="inlineStr">
        <is>
          <t>Credit</t>
        </is>
      </c>
      <c r="B16" s="105" t="inlineStr">
        <is>
          <t>Restoration of Habitat/Wetlands</t>
        </is>
      </c>
      <c r="C16" s="106" t="n">
        <v>1</v>
      </c>
      <c r="D16" s="106" t="n">
        <v>0</v>
      </c>
      <c r="E16" s="106" t="n">
        <v>0</v>
      </c>
      <c r="F16" s="110" t="inlineStr">
        <is>
          <t>Not met</t>
        </is>
      </c>
      <c r="G16" s="105" t="inlineStr">
        <is>
          <t>Restore a mangrove/native edge segment (e.g., near Sullivan Park) to earn.</t>
        </is>
      </c>
    </row>
    <row r="17" ht="30" customHeight="1">
      <c r="A17" s="104" t="inlineStr">
        <is>
          <t>Credit</t>
        </is>
      </c>
      <c r="B17" s="105" t="inlineStr">
        <is>
          <t>Long-Term Conservation Management</t>
        </is>
      </c>
      <c r="C17" s="106" t="n">
        <v>1</v>
      </c>
      <c r="D17" s="106" t="n">
        <v>0</v>
      </c>
      <c r="E17" s="106" t="n">
        <v>0</v>
      </c>
      <c r="F17" s="110" t="inlineStr">
        <is>
          <t>Not met</t>
        </is>
      </c>
      <c r="G17" s="105" t="inlineStr">
        <is>
          <t>Adopt a written long-term management plan for any restored habitat.</t>
        </is>
      </c>
    </row>
    <row r="18">
      <c r="A18" s="111" t="n"/>
      <c r="B18" s="112" t="inlineStr">
        <is>
          <t>Subtotal - Smart Location &amp; Linkage</t>
        </is>
      </c>
      <c r="C18" s="102" t="n">
        <v>28</v>
      </c>
      <c r="D18" s="102" t="n">
        <v>7</v>
      </c>
      <c r="E18" s="102" t="n">
        <v>13</v>
      </c>
      <c r="F18" s="111" t="n"/>
      <c r="G18" s="111" t="n"/>
    </row>
    <row r="19">
      <c r="A19" s="103" t="inlineStr">
        <is>
          <t>NEIGHBORHOOD PATTERN &amp; DESIGN (max 41)</t>
        </is>
      </c>
    </row>
    <row r="20" ht="30" customHeight="1">
      <c r="A20" s="104" t="inlineStr">
        <is>
          <t>Prereq</t>
        </is>
      </c>
      <c r="B20" s="105" t="inlineStr">
        <is>
          <t>Walkable Streets</t>
        </is>
      </c>
      <c r="C20" s="106" t="inlineStr">
        <is>
          <t>Req</t>
        </is>
      </c>
      <c r="D20" s="106" t="inlineStr"/>
      <c r="E20" s="106" t="inlineStr"/>
      <c r="F20" s="109" t="inlineStr">
        <is>
          <t>Partial</t>
        </is>
      </c>
      <c r="G20" s="105" t="inlineStr">
        <is>
          <t>Sidewalk-gap audit; fill missing segments; require building entries to face the street on corridors.</t>
        </is>
      </c>
    </row>
    <row r="21" ht="30" customHeight="1">
      <c r="A21" s="104" t="inlineStr">
        <is>
          <t>Prereq</t>
        </is>
      </c>
      <c r="B21" s="105" t="inlineStr">
        <is>
          <t>Compact Development</t>
        </is>
      </c>
      <c r="C21" s="106" t="inlineStr">
        <is>
          <t>Req</t>
        </is>
      </c>
      <c r="D21" s="106" t="inlineStr"/>
      <c r="E21" s="106" t="inlineStr"/>
      <c r="F21" s="109" t="inlineStr">
        <is>
          <t>At risk</t>
        </is>
      </c>
      <c r="G21" s="105" t="inlineStr">
        <is>
          <t>Single-family density is below the minimum. Raise allowed net density on US-1 &amp; Hillsboro edges to satisfy the prereq.</t>
        </is>
      </c>
    </row>
    <row r="22" ht="30" customHeight="1">
      <c r="A22" s="104" t="inlineStr">
        <is>
          <t>Prereq</t>
        </is>
      </c>
      <c r="B22" s="105" t="inlineStr">
        <is>
          <t>Connected &amp; Open Community</t>
        </is>
      </c>
      <c r="C22" s="106" t="inlineStr">
        <is>
          <t>Req</t>
        </is>
      </c>
      <c r="D22" s="106" t="inlineStr"/>
      <c r="E22" s="106" t="inlineStr"/>
      <c r="F22" s="109" t="inlineStr">
        <is>
          <t>At risk</t>
        </is>
      </c>
      <c r="G22" s="105" t="inlineStr">
        <is>
          <t>Improve intersection density; add pedestrian cut-throughs between finger-canal streets; keep streets public.</t>
        </is>
      </c>
    </row>
    <row r="23" ht="30" customHeight="1">
      <c r="A23" s="104" t="inlineStr">
        <is>
          <t>Credit</t>
        </is>
      </c>
      <c r="B23" s="105" t="inlineStr">
        <is>
          <t>Walkable Streets</t>
        </is>
      </c>
      <c r="C23" s="106" t="n">
        <v>9</v>
      </c>
      <c r="D23" s="106" t="n">
        <v>3</v>
      </c>
      <c r="E23" s="106" t="n">
        <v>5</v>
      </c>
      <c r="F23" s="109" t="inlineStr">
        <is>
          <t>Partial</t>
        </is>
      </c>
      <c r="G23" s="105" t="inlineStr">
        <is>
          <t>Continuous sidewalks, street trees, on-street parking, and facade/entry standards along US-1 &amp; Hillsboro.</t>
        </is>
      </c>
    </row>
    <row r="24" ht="30" customHeight="1">
      <c r="A24" s="104" t="inlineStr">
        <is>
          <t>Credit</t>
        </is>
      </c>
      <c r="B24" s="105" t="inlineStr">
        <is>
          <t>Compact Development</t>
        </is>
      </c>
      <c r="C24" s="106" t="n">
        <v>6</v>
      </c>
      <c r="D24" s="106" t="n">
        <v>0</v>
      </c>
      <c r="E24" s="106" t="n">
        <v>1</v>
      </c>
      <c r="F24" s="109" t="inlineStr">
        <is>
          <t>Weak</t>
        </is>
      </c>
      <c r="G24" s="105" t="inlineStr">
        <is>
          <t>Allow mixed-use / multifamily infill on the two arterial edges to lift net residential density.</t>
        </is>
      </c>
    </row>
    <row r="25" ht="30" customHeight="1">
      <c r="A25" s="104" t="inlineStr">
        <is>
          <t>Credit</t>
        </is>
      </c>
      <c r="B25" s="105" t="inlineStr">
        <is>
          <t>Mixed-Use Neighborhoods</t>
        </is>
      </c>
      <c r="C25" s="106" t="n">
        <v>4</v>
      </c>
      <c r="D25" s="106" t="n">
        <v>1</v>
      </c>
      <c r="E25" s="106" t="n">
        <v>2</v>
      </c>
      <c r="F25" s="109" t="inlineStr">
        <is>
          <t>Partial</t>
        </is>
      </c>
      <c r="G25" s="105" t="inlineStr">
        <is>
          <t>Encourage ground-floor retail + housing at the Cove node and along US-1; broaden the use mix within walking distance.</t>
        </is>
      </c>
    </row>
    <row r="26" ht="30" customHeight="1">
      <c r="A26" s="104" t="inlineStr">
        <is>
          <t>Credit</t>
        </is>
      </c>
      <c r="B26" s="105" t="inlineStr">
        <is>
          <t>Housing Types and Affordability</t>
        </is>
      </c>
      <c r="C26" s="106" t="n">
        <v>7</v>
      </c>
      <c r="D26" s="106" t="n">
        <v>0</v>
      </c>
      <c r="E26" s="106" t="n">
        <v>1</v>
      </c>
      <c r="F26" s="109" t="inlineStr">
        <is>
          <t>Weak</t>
        </is>
      </c>
      <c r="G26" s="105" t="inlineStr">
        <is>
          <t>Add housing types (townhome/duplex/ADU/apartment) and income-restricted units on corridor infill.</t>
        </is>
      </c>
    </row>
    <row r="27" ht="30" customHeight="1">
      <c r="A27" s="104" t="inlineStr">
        <is>
          <t>Credit</t>
        </is>
      </c>
      <c r="B27" s="105" t="inlineStr">
        <is>
          <t>Reduced Parking Footprint</t>
        </is>
      </c>
      <c r="C27" s="106" t="n">
        <v>1</v>
      </c>
      <c r="D27" s="106" t="n">
        <v>0</v>
      </c>
      <c r="E27" s="106" t="n">
        <v>0</v>
      </c>
      <c r="F27" s="110" t="inlineStr">
        <is>
          <t>Not met</t>
        </is>
      </c>
      <c r="G27" s="105" t="inlineStr">
        <is>
          <t>Shared/structured parking + reduced minimums at the shopping center; convert some surface lot.</t>
        </is>
      </c>
    </row>
    <row r="28" ht="30" customHeight="1">
      <c r="A28" s="104" t="inlineStr">
        <is>
          <t>Credit</t>
        </is>
      </c>
      <c r="B28" s="105" t="inlineStr">
        <is>
          <t>Connected and Open Community</t>
        </is>
      </c>
      <c r="C28" s="106" t="n">
        <v>2</v>
      </c>
      <c r="D28" s="106" t="n">
        <v>0</v>
      </c>
      <c r="E28" s="106" t="n">
        <v>1</v>
      </c>
      <c r="F28" s="109" t="inlineStr">
        <is>
          <t>Partial</t>
        </is>
      </c>
      <c r="G28" s="105" t="inlineStr">
        <is>
          <t>Add ped/bike connections; ensure new streets are public and through-connected.</t>
        </is>
      </c>
    </row>
    <row r="29" ht="30" customHeight="1">
      <c r="A29" s="104" t="inlineStr">
        <is>
          <t>Credit</t>
        </is>
      </c>
      <c r="B29" s="105" t="inlineStr">
        <is>
          <t>Transit Facilities</t>
        </is>
      </c>
      <c r="C29" s="106" t="n">
        <v>1</v>
      </c>
      <c r="D29" s="106" t="n">
        <v>1</v>
      </c>
      <c r="E29" s="106" t="n">
        <v>1</v>
      </c>
      <c r="F29" s="107" t="inlineStr">
        <is>
          <t>Met</t>
        </is>
      </c>
      <c r="G29" s="105" t="inlineStr">
        <is>
          <t>Maintain shelters/benches at stops; add real-time arrival info.</t>
        </is>
      </c>
    </row>
    <row r="30" ht="30" customHeight="1">
      <c r="A30" s="104" t="inlineStr">
        <is>
          <t>Credit</t>
        </is>
      </c>
      <c r="B30" s="105" t="inlineStr">
        <is>
          <t>Transportation Demand Management</t>
        </is>
      </c>
      <c r="C30" s="106" t="n">
        <v>2</v>
      </c>
      <c r="D30" s="106" t="n">
        <v>0</v>
      </c>
      <c r="E30" s="106" t="n">
        <v>0</v>
      </c>
      <c r="F30" s="110" t="inlineStr">
        <is>
          <t>Not met</t>
        </is>
      </c>
      <c r="G30" s="105" t="inlineStr">
        <is>
          <t>Launch a TDM program (transit passes, bike share, carpool) anchored at the retail node.</t>
        </is>
      </c>
    </row>
    <row r="31" ht="30" customHeight="1">
      <c r="A31" s="104" t="inlineStr">
        <is>
          <t>Credit</t>
        </is>
      </c>
      <c r="B31" s="105" t="inlineStr">
        <is>
          <t>Access to Civic &amp; Public Space</t>
        </is>
      </c>
      <c r="C31" s="106" t="n">
        <v>1</v>
      </c>
      <c r="D31" s="106" t="n">
        <v>1</v>
      </c>
      <c r="E31" s="106" t="n">
        <v>1</v>
      </c>
      <c r="F31" s="107" t="inlineStr">
        <is>
          <t>Met</t>
        </is>
      </c>
      <c r="G31" s="105" t="inlineStr">
        <is>
          <t>Maintain Sullivan Park promenade and public waterfront access.</t>
        </is>
      </c>
    </row>
    <row r="32" ht="30" customHeight="1">
      <c r="A32" s="104" t="inlineStr">
        <is>
          <t>Credit</t>
        </is>
      </c>
      <c r="B32" s="105" t="inlineStr">
        <is>
          <t>Access to Recreation Facilities</t>
        </is>
      </c>
      <c r="C32" s="106" t="n">
        <v>1</v>
      </c>
      <c r="D32" s="106" t="n">
        <v>1</v>
      </c>
      <c r="E32" s="106" t="n">
        <v>1</v>
      </c>
      <c r="F32" s="107" t="inlineStr">
        <is>
          <t>Met</t>
        </is>
      </c>
      <c r="G32" s="105" t="inlineStr">
        <is>
          <t>Maintain access to parks, pier, beach and Deerfield Island Park.</t>
        </is>
      </c>
    </row>
    <row r="33" ht="30" customHeight="1">
      <c r="A33" s="104" t="inlineStr">
        <is>
          <t>Credit</t>
        </is>
      </c>
      <c r="B33" s="105" t="inlineStr">
        <is>
          <t>Visitability and Universal Design</t>
        </is>
      </c>
      <c r="C33" s="106" t="n">
        <v>1</v>
      </c>
      <c r="D33" s="106" t="n">
        <v>0</v>
      </c>
      <c r="E33" s="106" t="n">
        <v>0</v>
      </c>
      <c r="F33" s="110" t="inlineStr">
        <is>
          <t>Not met</t>
        </is>
      </c>
      <c r="G33" s="105" t="inlineStr">
        <is>
          <t>Adopt visitability standards (zero-step entry, wider doors) for new/renovated homes.</t>
        </is>
      </c>
    </row>
    <row r="34" ht="30" customHeight="1">
      <c r="A34" s="104" t="inlineStr">
        <is>
          <t>Credit</t>
        </is>
      </c>
      <c r="B34" s="105" t="inlineStr">
        <is>
          <t>Community Outreach and Involvement</t>
        </is>
      </c>
      <c r="C34" s="106" t="n">
        <v>2</v>
      </c>
      <c r="D34" s="106" t="n">
        <v>1</v>
      </c>
      <c r="E34" s="106" t="n">
        <v>2</v>
      </c>
      <c r="F34" s="109" t="inlineStr">
        <is>
          <t>Partial</t>
        </is>
      </c>
      <c r="G34" s="105" t="inlineStr">
        <is>
          <t>Formalize a charrette/engagement process with the Cove Civic Association and document it.</t>
        </is>
      </c>
    </row>
    <row r="35" ht="30" customHeight="1">
      <c r="A35" s="104" t="inlineStr">
        <is>
          <t>Credit</t>
        </is>
      </c>
      <c r="B35" s="105" t="inlineStr">
        <is>
          <t>Local Food Production</t>
        </is>
      </c>
      <c r="C35" s="106" t="n">
        <v>1</v>
      </c>
      <c r="D35" s="106" t="n">
        <v>1</v>
      </c>
      <c r="E35" s="106" t="n">
        <v>1</v>
      </c>
      <c r="F35" s="107" t="inlineStr">
        <is>
          <t>Met</t>
        </is>
      </c>
      <c r="G35" s="105" t="inlineStr">
        <is>
          <t>Sustain the farmers market; add community-garden space.</t>
        </is>
      </c>
    </row>
    <row r="36" ht="30" customHeight="1">
      <c r="A36" s="104" t="inlineStr">
        <is>
          <t>Credit</t>
        </is>
      </c>
      <c r="B36" s="105" t="inlineStr">
        <is>
          <t>Tree-Lined and Shaded Streetscapes</t>
        </is>
      </c>
      <c r="C36" s="106" t="n">
        <v>2</v>
      </c>
      <c r="D36" s="106" t="n">
        <v>1</v>
      </c>
      <c r="E36" s="106" t="n">
        <v>2</v>
      </c>
      <c r="F36" s="109" t="inlineStr">
        <is>
          <t>Partial</t>
        </is>
      </c>
      <c r="G36" s="105" t="inlineStr">
        <is>
          <t>Canopy inventory + street-tree planting program to meet the shading thresholds.</t>
        </is>
      </c>
    </row>
    <row r="37" ht="30" customHeight="1">
      <c r="A37" s="104" t="inlineStr">
        <is>
          <t>Credit</t>
        </is>
      </c>
      <c r="B37" s="105" t="inlineStr">
        <is>
          <t>Neighborhood Schools</t>
        </is>
      </c>
      <c r="C37" s="106" t="n">
        <v>1</v>
      </c>
      <c r="D37" s="106" t="n">
        <v>1</v>
      </c>
      <c r="E37" s="106" t="n">
        <v>1</v>
      </c>
      <c r="F37" s="107" t="inlineStr">
        <is>
          <t>Met</t>
        </is>
      </c>
      <c r="G37" s="105" t="inlineStr">
        <is>
          <t>Maintain walkable access to St. Ambrose / Deerfield schools; add safe-routes-to-school.</t>
        </is>
      </c>
    </row>
    <row r="38">
      <c r="A38" s="111" t="n"/>
      <c r="B38" s="112" t="inlineStr">
        <is>
          <t>Subtotal - Neighborhood Pattern &amp; Design</t>
        </is>
      </c>
      <c r="C38" s="102" t="n">
        <v>41</v>
      </c>
      <c r="D38" s="102" t="n">
        <v>11</v>
      </c>
      <c r="E38" s="102" t="n">
        <v>19</v>
      </c>
      <c r="F38" s="111" t="n"/>
      <c r="G38" s="111" t="n"/>
    </row>
    <row r="39">
      <c r="A39" s="103" t="inlineStr">
        <is>
          <t>GREEN INFRASTRUCTURE &amp; BUILDINGS (max 31)</t>
        </is>
      </c>
    </row>
    <row r="40" ht="30" customHeight="1">
      <c r="A40" s="104" t="inlineStr">
        <is>
          <t>Prereq</t>
        </is>
      </c>
      <c r="B40" s="105" t="inlineStr">
        <is>
          <t>Certified Green Building</t>
        </is>
      </c>
      <c r="C40" s="106" t="inlineStr">
        <is>
          <t>Req</t>
        </is>
      </c>
      <c r="D40" s="106" t="inlineStr"/>
      <c r="E40" s="106" t="inlineStr"/>
      <c r="F40" s="110" t="inlineStr">
        <is>
          <t>Not met</t>
        </is>
      </c>
      <c r="G40" s="105" t="inlineStr">
        <is>
          <t>DECISIVE GAP. Require &gt;=1 green-certified building (LEED/FGBC) in any new construction or major renovation.</t>
        </is>
      </c>
    </row>
    <row r="41" ht="30" customHeight="1">
      <c r="A41" s="104" t="inlineStr">
        <is>
          <t>Prereq</t>
        </is>
      </c>
      <c r="B41" s="105" t="inlineStr">
        <is>
          <t>Minimum Building Energy Performance</t>
        </is>
      </c>
      <c r="C41" s="106" t="inlineStr">
        <is>
          <t>Req</t>
        </is>
      </c>
      <c r="D41" s="106" t="inlineStr"/>
      <c r="E41" s="106" t="inlineStr"/>
      <c r="F41" s="110" t="inlineStr">
        <is>
          <t>Not met</t>
        </is>
      </c>
      <c r="G41" s="105" t="inlineStr">
        <is>
          <t>Existing 1956 stock. Require energy-code compliance + retrofit incentives; document on new/renovated buildings.</t>
        </is>
      </c>
    </row>
    <row r="42" ht="30" customHeight="1">
      <c r="A42" s="104" t="inlineStr">
        <is>
          <t>Prereq</t>
        </is>
      </c>
      <c r="B42" s="105" t="inlineStr">
        <is>
          <t>Indoor Water Use Reduction</t>
        </is>
      </c>
      <c r="C42" s="106" t="inlineStr">
        <is>
          <t>Req</t>
        </is>
      </c>
      <c r="D42" s="106" t="inlineStr"/>
      <c r="E42" s="106" t="inlineStr"/>
      <c r="F42" s="108" t="inlineStr">
        <is>
          <t>Unknown</t>
        </is>
      </c>
      <c r="G42" s="105" t="inlineStr">
        <is>
          <t>Adopt low-flow fixture standards for renovations/new build; document.</t>
        </is>
      </c>
    </row>
    <row r="43" ht="30" customHeight="1">
      <c r="A43" s="104" t="inlineStr">
        <is>
          <t>Prereq</t>
        </is>
      </c>
      <c r="B43" s="105" t="inlineStr">
        <is>
          <t>Construction Activity Pollution Prevention</t>
        </is>
      </c>
      <c r="C43" s="106" t="inlineStr">
        <is>
          <t>Req</t>
        </is>
      </c>
      <c r="D43" s="106" t="inlineStr"/>
      <c r="E43" s="106" t="inlineStr"/>
      <c r="F43" s="108" t="inlineStr">
        <is>
          <t>N/A now</t>
        </is>
      </c>
      <c r="G43" s="105" t="inlineStr">
        <is>
          <t>Applies to active construction. Require SWPPP/erosion control on future projects.</t>
        </is>
      </c>
    </row>
    <row r="44" ht="30" customHeight="1">
      <c r="A44" s="104" t="inlineStr">
        <is>
          <t>Credit</t>
        </is>
      </c>
      <c r="B44" s="105" t="inlineStr">
        <is>
          <t>Certified Green Buildings</t>
        </is>
      </c>
      <c r="C44" s="106" t="n">
        <v>5</v>
      </c>
      <c r="D44" s="106" t="n">
        <v>0</v>
      </c>
      <c r="E44" s="106" t="n">
        <v>0</v>
      </c>
      <c r="F44" s="110" t="inlineStr">
        <is>
          <t>Not met</t>
        </is>
      </c>
      <c r="G44" s="105" t="inlineStr">
        <is>
          <t>Incentivize/require green certification for redevelopment (target the shopping-center &amp; corridor projects).</t>
        </is>
      </c>
    </row>
    <row r="45" ht="30" customHeight="1">
      <c r="A45" s="104" t="inlineStr">
        <is>
          <t>Credit</t>
        </is>
      </c>
      <c r="B45" s="105" t="inlineStr">
        <is>
          <t>Optimize Building Energy Performance</t>
        </is>
      </c>
      <c r="C45" s="106" t="n">
        <v>2</v>
      </c>
      <c r="D45" s="106" t="n">
        <v>0</v>
      </c>
      <c r="E45" s="106" t="n">
        <v>0</v>
      </c>
      <c r="F45" s="110" t="inlineStr">
        <is>
          <t>Not met</t>
        </is>
      </c>
      <c r="G45" s="105" t="inlineStr">
        <is>
          <t>Efficiency retrofits; solar-ready + high-performance envelope standards.</t>
        </is>
      </c>
    </row>
    <row r="46" ht="30" customHeight="1">
      <c r="A46" s="104" t="inlineStr">
        <is>
          <t>Credit</t>
        </is>
      </c>
      <c r="B46" s="105" t="inlineStr">
        <is>
          <t>Indoor Water Use Reduction</t>
        </is>
      </c>
      <c r="C46" s="106" t="n">
        <v>1</v>
      </c>
      <c r="D46" s="106" t="n">
        <v>0</v>
      </c>
      <c r="E46" s="106" t="n">
        <v>0</v>
      </c>
      <c r="F46" s="110" t="inlineStr">
        <is>
          <t>Not met</t>
        </is>
      </c>
      <c r="G46" s="105" t="inlineStr">
        <is>
          <t>Low-flow fixture retrofit program.</t>
        </is>
      </c>
    </row>
    <row r="47" ht="30" customHeight="1">
      <c r="A47" s="104" t="inlineStr">
        <is>
          <t>Credit</t>
        </is>
      </c>
      <c r="B47" s="105" t="inlineStr">
        <is>
          <t>Outdoor Water Use Reduction</t>
        </is>
      </c>
      <c r="C47" s="106" t="n">
        <v>2</v>
      </c>
      <c r="D47" s="106" t="n">
        <v>0</v>
      </c>
      <c r="E47" s="106" t="n">
        <v>0</v>
      </c>
      <c r="F47" s="109" t="inlineStr">
        <is>
          <t>Weak</t>
        </is>
      </c>
      <c r="G47" s="105" t="inlineStr">
        <is>
          <t>Florida-Friendly landscaping, smart irrigation, native/xeric plantings.</t>
        </is>
      </c>
    </row>
    <row r="48" ht="30" customHeight="1">
      <c r="A48" s="104" t="inlineStr">
        <is>
          <t>Credit</t>
        </is>
      </c>
      <c r="B48" s="105" t="inlineStr">
        <is>
          <t>Building Reuse</t>
        </is>
      </c>
      <c r="C48" s="106" t="n">
        <v>1</v>
      </c>
      <c r="D48" s="106" t="n">
        <v>1</v>
      </c>
      <c r="E48" s="106" t="n">
        <v>1</v>
      </c>
      <c r="F48" s="107" t="inlineStr">
        <is>
          <t>Met</t>
        </is>
      </c>
      <c r="G48" s="105" t="inlineStr">
        <is>
          <t>Continue adaptive reuse over teardown where practical.</t>
        </is>
      </c>
    </row>
    <row r="49" ht="30" customHeight="1">
      <c r="A49" s="104" t="inlineStr">
        <is>
          <t>Credit</t>
        </is>
      </c>
      <c r="B49" s="105" t="inlineStr">
        <is>
          <t>Historic Resource Preservation / Adaptive Reuse</t>
        </is>
      </c>
      <c r="C49" s="106" t="n">
        <v>2</v>
      </c>
      <c r="D49" s="106" t="n">
        <v>0</v>
      </c>
      <c r="E49" s="106" t="n">
        <v>1</v>
      </c>
      <c r="F49" s="109" t="inlineStr">
        <is>
          <t>Partial</t>
        </is>
      </c>
      <c r="G49" s="105" t="inlineStr">
        <is>
          <t>Leverage Butler House / any historic structures; consider local historic designation.</t>
        </is>
      </c>
    </row>
    <row r="50" ht="30" customHeight="1">
      <c r="A50" s="104" t="inlineStr">
        <is>
          <t>Credit</t>
        </is>
      </c>
      <c r="B50" s="105" t="inlineStr">
        <is>
          <t>Minimized Site Disturbance</t>
        </is>
      </c>
      <c r="C50" s="106" t="n">
        <v>1</v>
      </c>
      <c r="D50" s="106" t="n">
        <v>0</v>
      </c>
      <c r="E50" s="106" t="n">
        <v>0</v>
      </c>
      <c r="F50" s="108" t="inlineStr">
        <is>
          <t>N/A</t>
        </is>
      </c>
      <c r="G50" s="105" t="inlineStr">
        <is>
          <t>Built-out. Applies to infill - protect soils &amp; trees on new construction.</t>
        </is>
      </c>
    </row>
    <row r="51" ht="30" customHeight="1">
      <c r="A51" s="104" t="inlineStr">
        <is>
          <t>Credit</t>
        </is>
      </c>
      <c r="B51" s="105" t="inlineStr">
        <is>
          <t>Rainwater Management</t>
        </is>
      </c>
      <c r="C51" s="106" t="n">
        <v>4</v>
      </c>
      <c r="D51" s="106" t="n">
        <v>0</v>
      </c>
      <c r="E51" s="106" t="n">
        <v>1</v>
      </c>
      <c r="F51" s="109" t="inlineStr">
        <is>
          <t>Partial</t>
        </is>
      </c>
      <c r="G51" s="105" t="inlineStr">
        <is>
          <t>Green stormwater infrastructure (bioswales, permeable paving) at the retail lot &amp; ROW; cut canal nutrient loading.</t>
        </is>
      </c>
    </row>
    <row r="52" ht="30" customHeight="1">
      <c r="A52" s="104" t="inlineStr">
        <is>
          <t>Credit</t>
        </is>
      </c>
      <c r="B52" s="105" t="inlineStr">
        <is>
          <t>Heat Island Reduction</t>
        </is>
      </c>
      <c r="C52" s="106" t="n">
        <v>1</v>
      </c>
      <c r="D52" s="106" t="n">
        <v>0</v>
      </c>
      <c r="E52" s="106" t="n">
        <v>0</v>
      </c>
      <c r="F52" s="109" t="inlineStr">
        <is>
          <t>Weak</t>
        </is>
      </c>
      <c r="G52" s="105" t="inlineStr">
        <is>
          <t>Cool/permeable pavement, shade trees, reflective roofs at the shopping center.</t>
        </is>
      </c>
    </row>
    <row r="53" ht="30" customHeight="1">
      <c r="A53" s="104" t="inlineStr">
        <is>
          <t>Credit</t>
        </is>
      </c>
      <c r="B53" s="105" t="inlineStr">
        <is>
          <t>Solar Orientation</t>
        </is>
      </c>
      <c r="C53" s="106" t="n">
        <v>1</v>
      </c>
      <c r="D53" s="106" t="n">
        <v>0</v>
      </c>
      <c r="E53" s="106" t="n">
        <v>0</v>
      </c>
      <c r="F53" s="108" t="inlineStr">
        <is>
          <t>N/A</t>
        </is>
      </c>
      <c r="G53" s="105" t="inlineStr">
        <is>
          <t>Applies to new layout; adopt solar-ready orientation for infill.</t>
        </is>
      </c>
    </row>
    <row r="54" ht="30" customHeight="1">
      <c r="A54" s="104" t="inlineStr">
        <is>
          <t>Credit</t>
        </is>
      </c>
      <c r="B54" s="105" t="inlineStr">
        <is>
          <t>Renewable Energy Production</t>
        </is>
      </c>
      <c r="C54" s="106" t="n">
        <v>3</v>
      </c>
      <c r="D54" s="106" t="n">
        <v>0</v>
      </c>
      <c r="E54" s="106" t="n">
        <v>0</v>
      </c>
      <c r="F54" s="110" t="inlineStr">
        <is>
          <t>Not met</t>
        </is>
      </c>
      <c r="G54" s="105" t="inlineStr">
        <is>
          <t>Rooftop / community-solar program; solar on the shopping-center roof.</t>
        </is>
      </c>
    </row>
    <row r="55" ht="30" customHeight="1">
      <c r="A55" s="104" t="inlineStr">
        <is>
          <t>Credit</t>
        </is>
      </c>
      <c r="B55" s="105" t="inlineStr">
        <is>
          <t>District Heating and Cooling</t>
        </is>
      </c>
      <c r="C55" s="106" t="n">
        <v>2</v>
      </c>
      <c r="D55" s="106" t="n">
        <v>0</v>
      </c>
      <c r="E55" s="106" t="n">
        <v>0</v>
      </c>
      <c r="F55" s="110" t="inlineStr">
        <is>
          <t>Not met</t>
        </is>
      </c>
      <c r="G55" s="105" t="inlineStr">
        <is>
          <t>Not viable at this scale - skip.</t>
        </is>
      </c>
    </row>
    <row r="56" ht="30" customHeight="1">
      <c r="A56" s="104" t="inlineStr">
        <is>
          <t>Credit</t>
        </is>
      </c>
      <c r="B56" s="105" t="inlineStr">
        <is>
          <t>Infrastructure Energy Efficiency</t>
        </is>
      </c>
      <c r="C56" s="106" t="n">
        <v>1</v>
      </c>
      <c r="D56" s="106" t="n">
        <v>0</v>
      </c>
      <c r="E56" s="106" t="n">
        <v>0</v>
      </c>
      <c r="F56" s="110" t="inlineStr">
        <is>
          <t>Not met</t>
        </is>
      </c>
      <c r="G56" s="105" t="inlineStr">
        <is>
          <t>LED streetlights; efficient pumps on canal/stormwater infrastructure.</t>
        </is>
      </c>
    </row>
    <row r="57" ht="30" customHeight="1">
      <c r="A57" s="104" t="inlineStr">
        <is>
          <t>Credit</t>
        </is>
      </c>
      <c r="B57" s="105" t="inlineStr">
        <is>
          <t>Wastewater Management</t>
        </is>
      </c>
      <c r="C57" s="106" t="n">
        <v>2</v>
      </c>
      <c r="D57" s="106" t="n">
        <v>0</v>
      </c>
      <c r="E57" s="106" t="n">
        <v>0</v>
      </c>
      <c r="F57" s="109" t="inlineStr">
        <is>
          <t>Weak</t>
        </is>
      </c>
      <c r="G57" s="105" t="inlineStr">
        <is>
          <t>Explore greywater/reuse; nutrient reduction to protect the Intracoastal.</t>
        </is>
      </c>
    </row>
    <row r="58" ht="30" customHeight="1">
      <c r="A58" s="104" t="inlineStr">
        <is>
          <t>Credit</t>
        </is>
      </c>
      <c r="B58" s="105" t="inlineStr">
        <is>
          <t>Recycled and Reused Infrastructure</t>
        </is>
      </c>
      <c r="C58" s="106" t="n">
        <v>1</v>
      </c>
      <c r="D58" s="106" t="n">
        <v>0</v>
      </c>
      <c r="E58" s="106" t="n">
        <v>0</v>
      </c>
      <c r="F58" s="110" t="inlineStr">
        <is>
          <t>Not met</t>
        </is>
      </c>
      <c r="G58" s="105" t="inlineStr">
        <is>
          <t>Reuse road base/materials in future right-of-way projects.</t>
        </is>
      </c>
    </row>
    <row r="59" ht="30" customHeight="1">
      <c r="A59" s="104" t="inlineStr">
        <is>
          <t>Credit</t>
        </is>
      </c>
      <c r="B59" s="105" t="inlineStr">
        <is>
          <t>Solid Waste Management</t>
        </is>
      </c>
      <c r="C59" s="106" t="n">
        <v>1</v>
      </c>
      <c r="D59" s="106" t="n">
        <v>1</v>
      </c>
      <c r="E59" s="106" t="n">
        <v>1</v>
      </c>
      <c r="F59" s="107" t="inlineStr">
        <is>
          <t>Met</t>
        </is>
      </c>
      <c r="G59" s="105" t="inlineStr">
        <is>
          <t>Maintain curbside recycling; add construction-waste diversion.</t>
        </is>
      </c>
    </row>
    <row r="60" ht="30" customHeight="1">
      <c r="A60" s="104" t="inlineStr">
        <is>
          <t>Credit</t>
        </is>
      </c>
      <c r="B60" s="105" t="inlineStr">
        <is>
          <t>Light Pollution Reduction</t>
        </is>
      </c>
      <c r="C60" s="106" t="n">
        <v>1</v>
      </c>
      <c r="D60" s="106" t="n">
        <v>0</v>
      </c>
      <c r="E60" s="106" t="n">
        <v>1</v>
      </c>
      <c r="F60" s="109" t="inlineStr">
        <is>
          <t>Partial</t>
        </is>
      </c>
      <c r="G60" s="105" t="inlineStr">
        <is>
          <t>Dark-sky-compliant fixtures (important near the ICW / wildlife).</t>
        </is>
      </c>
    </row>
    <row r="61">
      <c r="A61" s="111" t="n"/>
      <c r="B61" s="112" t="inlineStr">
        <is>
          <t>Subtotal - Green Infrastructure &amp; Buildings</t>
        </is>
      </c>
      <c r="C61" s="102" t="n">
        <v>31</v>
      </c>
      <c r="D61" s="102" t="n">
        <v>2</v>
      </c>
      <c r="E61" s="102" t="n">
        <v>5</v>
      </c>
      <c r="F61" s="111" t="n"/>
      <c r="G61" s="111" t="n"/>
    </row>
    <row r="62">
      <c r="A62" s="103" t="inlineStr">
        <is>
          <t>INNOVATION &amp; DESIGN PROCESS (max 6)</t>
        </is>
      </c>
    </row>
    <row r="63" ht="30" customHeight="1">
      <c r="A63" s="104" t="inlineStr">
        <is>
          <t>Credit</t>
        </is>
      </c>
      <c r="B63" s="105" t="inlineStr">
        <is>
          <t>Innovation</t>
        </is>
      </c>
      <c r="C63" s="106" t="n">
        <v>5</v>
      </c>
      <c r="D63" s="106" t="n">
        <v>0</v>
      </c>
      <c r="E63" s="106" t="n">
        <v>0</v>
      </c>
      <c r="F63" s="110" t="inlineStr">
        <is>
          <t>Not met</t>
        </is>
      </c>
      <c r="G63" s="105" t="inlineStr">
        <is>
          <t>Pilot exemplary strategies (resilience / living shoreline / stormwater) for innovation points.</t>
        </is>
      </c>
    </row>
    <row r="64" ht="30" customHeight="1">
      <c r="A64" s="104" t="inlineStr">
        <is>
          <t>Credit</t>
        </is>
      </c>
      <c r="B64" s="105" t="inlineStr">
        <is>
          <t>LEED Accredited Professional</t>
        </is>
      </c>
      <c r="C64" s="106" t="n">
        <v>1</v>
      </c>
      <c r="D64" s="106" t="n">
        <v>0</v>
      </c>
      <c r="E64" s="106" t="n">
        <v>0</v>
      </c>
      <c r="F64" s="110" t="inlineStr">
        <is>
          <t>Not met</t>
        </is>
      </c>
      <c r="G64" s="105" t="inlineStr">
        <is>
          <t>Put a LEED AP on any redevelopment team.</t>
        </is>
      </c>
    </row>
    <row r="65">
      <c r="A65" s="111" t="n"/>
      <c r="B65" s="112" t="inlineStr">
        <is>
          <t>Subtotal - Innovation &amp; Design Process</t>
        </is>
      </c>
      <c r="C65" s="102" t="n">
        <v>6</v>
      </c>
      <c r="D65" s="102" t="n">
        <v>0</v>
      </c>
      <c r="E65" s="102" t="n">
        <v>0</v>
      </c>
      <c r="F65" s="111" t="n"/>
      <c r="G65" s="111" t="n"/>
    </row>
    <row r="66">
      <c r="A66" s="103" t="inlineStr">
        <is>
          <t>REGIONAL PRIORITY (max 4)</t>
        </is>
      </c>
    </row>
    <row r="67" ht="30" customHeight="1">
      <c r="A67" s="104" t="inlineStr">
        <is>
          <t>Credit</t>
        </is>
      </c>
      <c r="B67" s="105" t="inlineStr">
        <is>
          <t>Regional Priority (x4, Region Defined)</t>
        </is>
      </c>
      <c r="C67" s="106" t="n">
        <v>4</v>
      </c>
      <c r="D67" s="106" t="n">
        <v>0</v>
      </c>
      <c r="E67" s="106" t="n">
        <v>1</v>
      </c>
      <c r="F67" s="109" t="inlineStr">
        <is>
          <t>Partial</t>
        </is>
      </c>
      <c r="G67" s="105" t="inlineStr">
        <is>
          <t>Pursue Florida-relevant RP credits (rainwater / heat island / water) once the underlying credits are achieved.</t>
        </is>
      </c>
    </row>
    <row r="68">
      <c r="A68" s="111" t="n"/>
      <c r="B68" s="112" t="inlineStr">
        <is>
          <t>Subtotal - Regional Priority</t>
        </is>
      </c>
      <c r="C68" s="102" t="n">
        <v>4</v>
      </c>
      <c r="D68" s="102" t="n">
        <v>0</v>
      </c>
      <c r="E68" s="102" t="n">
        <v>1</v>
      </c>
      <c r="F68" s="111" t="n"/>
      <c r="G68" s="111" t="n"/>
    </row>
    <row r="69" ht="24" customHeight="1">
      <c r="A69" s="113" t="n"/>
      <c r="B69" s="114" t="inlineStr">
        <is>
          <t>PROJECT TOTAL (interpretive)</t>
        </is>
      </c>
      <c r="C69" s="115" t="n">
        <v>110</v>
      </c>
      <c r="D69" s="116" t="n">
        <v>20</v>
      </c>
      <c r="E69" s="116" t="n">
        <v>38</v>
      </c>
      <c r="F69" s="117" t="inlineStr">
        <is>
          <t>&lt; Certified</t>
        </is>
      </c>
      <c r="G69" s="118" t="inlineStr">
        <is>
          <t>Certified 40-49 | Silver 50-59 | Gold 60-79 | Platinum 80+</t>
        </is>
      </c>
    </row>
    <row r="70">
      <c r="A70" s="119" t="inlineStr">
        <is>
          <t>HOW IT SCORES NOW: ~20 points as-is  -&gt;  BELOW the 40-pt Certified floor.</t>
        </is>
      </c>
    </row>
    <row r="71">
      <c r="A71" s="119" t="inlineStr">
        <is>
          <t>CEILING FROM THE ACTIONS LISTED ABOVE (conservative): ~38 points - still just short of Certified.</t>
        </is>
      </c>
    </row>
    <row r="72">
      <c r="A72" s="119" t="inlineStr">
        <is>
          <t>PATH TO CERTIFIED (40-49) / SILVER: the big swings are STRUCTURAL - rezone the US-1 &amp; Hillsboro EDGES for</t>
        </is>
      </c>
    </row>
    <row r="73">
      <c r="A73" s="119" t="inlineStr">
        <is>
          <t xml:space="preserve">   mixed-use/higher density (Compact Development, Housing Types, Mixed-Use) and REQUIRE green building on new</t>
        </is>
      </c>
    </row>
    <row r="74">
      <c r="A74" s="119" t="inlineStr">
        <is>
          <t xml:space="preserve">   construction (unlocks the GIB prerequisites + Certified Green Buildings + Energy). Those moves add ~15-25 pts over time.</t>
        </is>
      </c>
    </row>
    <row r="75">
      <c r="A75" s="119" t="inlineStr">
        <is>
          <t>REMINDER: LEED-ND certifies NEW development projects; this is an interpretive read of an existing neighborhood for planning use.</t>
        </is>
      </c>
    </row>
  </sheetData>
  <mergeCells count="12">
    <mergeCell ref="A66:G66"/>
    <mergeCell ref="A1:G1"/>
    <mergeCell ref="A74:G74"/>
    <mergeCell ref="A70:G70"/>
    <mergeCell ref="A3:G3"/>
    <mergeCell ref="A39:G39"/>
    <mergeCell ref="A62:G62"/>
    <mergeCell ref="A72:G72"/>
    <mergeCell ref="A71:G71"/>
    <mergeCell ref="A73:G73"/>
    <mergeCell ref="A19:G19"/>
    <mergeCell ref="A75:G7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106"/>
  <sheetViews>
    <sheetView tabSelected="1" zoomScale="90" zoomScaleNormal="90" zoomScaleSheetLayoutView="80" zoomScalePageLayoutView="70" workbookViewId="0">
      <selection activeCell="G4" sqref="G4"/>
    </sheetView>
  </sheetViews>
  <sheetFormatPr baseColWidth="8" defaultRowHeight="14.25"/>
  <cols>
    <col width="3.42578125" customWidth="1" style="57" min="1" max="1"/>
    <col width="3.28515625" customWidth="1" style="57" min="2" max="2"/>
    <col width="2.85546875" customWidth="1" style="57" min="3" max="3"/>
    <col width="1.85546875" customWidth="1" style="57" min="4" max="4"/>
    <col width="7.28515625" customWidth="1" style="57" min="5" max="5"/>
    <col width="8" customWidth="1" style="57" min="6" max="6"/>
    <col width="40.85546875" customWidth="1" style="57" min="7" max="7"/>
    <col width="7.5703125" customWidth="1" style="65" min="8" max="8"/>
    <col width="1.7109375" customWidth="1" style="65" min="9" max="9"/>
    <col width="3.85546875" customWidth="1" style="62" min="10" max="10"/>
    <col width="3.28515625" customWidth="1" style="62" min="11" max="12"/>
    <col width="1.7109375" customWidth="1" style="62" min="13" max="13"/>
    <col width="6.42578125" customWidth="1" style="62" min="14" max="14"/>
    <col width="24.42578125" customWidth="1" style="62" min="15" max="15"/>
    <col width="23.140625" customWidth="1" style="62" min="16" max="16"/>
    <col width="7.140625" customWidth="1" style="62" min="17" max="17"/>
    <col width="8.85546875" customWidth="1" style="62" min="18" max="31"/>
    <col width="9.140625" customWidth="1" style="57" min="32" max="16384"/>
  </cols>
  <sheetData>
    <row r="1" ht="9.75" customFormat="1" customHeight="1" s="62">
      <c r="A1" s="4" t="n"/>
      <c r="B1" s="4" t="n"/>
      <c r="C1" s="6" t="n"/>
      <c r="D1" s="4" t="n"/>
      <c r="E1" s="4" t="n"/>
      <c r="F1" s="4" t="n"/>
      <c r="G1" s="4" t="n"/>
      <c r="H1" s="6" t="n"/>
      <c r="I1" s="6" t="n"/>
    </row>
    <row r="2" ht="18" customFormat="1" customHeight="1" s="62">
      <c r="A2" s="4" t="n"/>
      <c r="B2" s="4" t="n"/>
      <c r="C2" s="6" t="n"/>
      <c r="D2" s="4" t="n"/>
      <c r="E2" s="44" t="inlineStr">
        <is>
          <t>LEED v4 for Neighborhood Development Plan</t>
        </is>
      </c>
      <c r="F2" s="45" t="n"/>
      <c r="G2" s="29" t="n"/>
      <c r="H2" s="6" t="n"/>
      <c r="I2" s="6" t="n"/>
      <c r="K2" s="82" t="inlineStr">
        <is>
          <t>Project Name:</t>
        </is>
      </c>
    </row>
    <row r="3" ht="15" customFormat="1" customHeight="1" s="62">
      <c r="A3" s="32" t="n"/>
      <c r="B3" s="32" t="n"/>
      <c r="C3" s="32" t="n"/>
      <c r="D3" s="32" t="n"/>
      <c r="E3" s="83" t="inlineStr">
        <is>
          <t>Project Checklist</t>
        </is>
      </c>
      <c r="F3" s="29" t="n"/>
      <c r="G3" s="32" t="n"/>
      <c r="K3" s="62" t="inlineStr">
        <is>
          <t>Date:</t>
        </is>
      </c>
      <c r="L3" s="70" t="n"/>
      <c r="M3" s="70" t="n"/>
    </row>
    <row r="4" ht="12.75" customFormat="1" customHeight="1" s="62">
      <c r="A4" s="32" t="n"/>
      <c r="B4" s="32" t="n"/>
      <c r="C4" s="32" t="n"/>
      <c r="D4" s="32" t="n"/>
      <c r="E4" s="32" t="n"/>
      <c r="F4" s="32" t="n"/>
      <c r="G4" s="32" t="n"/>
      <c r="H4" s="24" t="n"/>
      <c r="I4" s="24" t="n"/>
      <c r="L4" s="51" t="n"/>
      <c r="M4" s="51" t="n"/>
    </row>
    <row r="5" ht="11.25" customFormat="1" customHeight="1" s="62">
      <c r="A5" s="28" t="n"/>
      <c r="B5" s="28" t="n"/>
      <c r="C5" s="24" t="n"/>
      <c r="D5" s="13" t="n"/>
      <c r="H5" s="24" t="n"/>
      <c r="I5" s="24" t="n"/>
    </row>
    <row r="6" customFormat="1" s="62">
      <c r="A6" s="23" t="inlineStr">
        <is>
          <t>Yes</t>
        </is>
      </c>
      <c r="B6" s="23" t="inlineStr">
        <is>
          <t>?</t>
        </is>
      </c>
      <c r="C6" s="23" t="inlineStr">
        <is>
          <t>No</t>
        </is>
      </c>
      <c r="D6" s="28" t="n"/>
      <c r="E6" s="28" t="n"/>
      <c r="F6" s="28" t="n"/>
      <c r="G6" s="28" t="n"/>
      <c r="H6" s="24" t="n"/>
      <c r="I6" s="24" t="n"/>
      <c r="J6" s="23" t="inlineStr">
        <is>
          <t>Yes</t>
        </is>
      </c>
      <c r="K6" s="23" t="inlineStr">
        <is>
          <t>?</t>
        </is>
      </c>
      <c r="L6" s="23" t="inlineStr">
        <is>
          <t>No</t>
        </is>
      </c>
    </row>
    <row r="7" ht="15.75" customHeight="1">
      <c r="A7" s="76">
        <f>SUM(A13:A21)</f>
        <v/>
      </c>
      <c r="B7" s="77">
        <f>SUM(B13:B21)</f>
        <v/>
      </c>
      <c r="C7" s="77">
        <f>SUM(C13:C21)</f>
        <v/>
      </c>
      <c r="D7" s="52" t="n"/>
      <c r="E7" s="68" t="inlineStr">
        <is>
          <t xml:space="preserve">Smart Location &amp; Linkage </t>
        </is>
      </c>
      <c r="F7" s="53" t="n"/>
      <c r="G7" s="54" t="n"/>
      <c r="H7" s="55">
        <f>SUM(H13:H21)</f>
        <v/>
      </c>
      <c r="I7" s="26" t="n"/>
      <c r="J7" s="76">
        <f>SUM(J12:J28)</f>
        <v/>
      </c>
      <c r="K7" s="76">
        <f>SUM(K12:K28)</f>
        <v/>
      </c>
      <c r="L7" s="76">
        <f>SUM(L12:L28)</f>
        <v/>
      </c>
      <c r="M7" s="52" t="n"/>
      <c r="N7" s="68" t="inlineStr">
        <is>
          <t>Green Infrastructure &amp; Buildings</t>
        </is>
      </c>
      <c r="O7" s="53" t="n"/>
      <c r="P7" s="54" t="n"/>
      <c r="Q7" s="55">
        <f>SUM(Q12:Q28)</f>
        <v/>
      </c>
    </row>
    <row r="8">
      <c r="A8" s="85" t="inlineStr">
        <is>
          <t>Y</t>
        </is>
      </c>
      <c r="B8" s="37" t="n"/>
      <c r="C8" s="46" t="n"/>
      <c r="D8" s="28" t="n"/>
      <c r="E8" s="94" t="inlineStr">
        <is>
          <t xml:space="preserve">Prereq </t>
        </is>
      </c>
      <c r="F8" s="34" t="inlineStr">
        <is>
          <t>Smart Location</t>
        </is>
      </c>
      <c r="G8" s="34" t="n"/>
      <c r="H8" s="35" t="inlineStr">
        <is>
          <t>Required</t>
        </is>
      </c>
      <c r="I8" s="35" t="n"/>
      <c r="J8" s="84" t="inlineStr">
        <is>
          <t>Y</t>
        </is>
      </c>
      <c r="K8" s="37" t="n"/>
      <c r="L8" s="46" t="n"/>
      <c r="M8" s="28" t="n"/>
      <c r="N8" s="94" t="inlineStr">
        <is>
          <t xml:space="preserve">Prereq </t>
        </is>
      </c>
      <c r="O8" s="34" t="inlineStr">
        <is>
          <t>Certified Green Building</t>
        </is>
      </c>
      <c r="P8" s="43" t="n"/>
      <c r="Q8" s="35" t="inlineStr">
        <is>
          <t>Required</t>
        </is>
      </c>
    </row>
    <row r="9">
      <c r="A9" s="85" t="inlineStr">
        <is>
          <t>Y</t>
        </is>
      </c>
      <c r="B9" s="37" t="n"/>
      <c r="C9" s="46" t="n"/>
      <c r="D9" s="28" t="n"/>
      <c r="E9" s="94" t="inlineStr">
        <is>
          <t xml:space="preserve">Prereq </t>
        </is>
      </c>
      <c r="F9" s="34" t="inlineStr">
        <is>
          <t xml:space="preserve">Imperiled Species and Ecological Communities </t>
        </is>
      </c>
      <c r="G9" s="34" t="n"/>
      <c r="H9" s="35" t="inlineStr">
        <is>
          <t>Required</t>
        </is>
      </c>
      <c r="I9" s="35" t="n"/>
      <c r="J9" s="84" t="inlineStr">
        <is>
          <t>Y</t>
        </is>
      </c>
      <c r="K9" s="37" t="n"/>
      <c r="L9" s="46" t="n"/>
      <c r="M9" s="28" t="n"/>
      <c r="N9" s="94" t="inlineStr">
        <is>
          <t xml:space="preserve">Prereq </t>
        </is>
      </c>
      <c r="O9" s="58" t="inlineStr">
        <is>
          <t>Minimum Building Energy Performance</t>
        </is>
      </c>
      <c r="P9" s="34" t="n"/>
      <c r="Q9" s="35" t="inlineStr">
        <is>
          <t>Required</t>
        </is>
      </c>
    </row>
    <row r="10">
      <c r="A10" s="85" t="inlineStr">
        <is>
          <t>Y</t>
        </is>
      </c>
      <c r="B10" s="37" t="n"/>
      <c r="C10" s="46" t="n"/>
      <c r="D10" s="28" t="n"/>
      <c r="E10" s="94" t="inlineStr">
        <is>
          <t xml:space="preserve">Prereq </t>
        </is>
      </c>
      <c r="F10" s="34" t="inlineStr">
        <is>
          <t>Wetland and Water Body Conservation</t>
        </is>
      </c>
      <c r="G10" s="34" t="n"/>
      <c r="H10" s="35" t="inlineStr">
        <is>
          <t>Required</t>
        </is>
      </c>
      <c r="I10" s="35" t="n"/>
      <c r="J10" s="84" t="inlineStr">
        <is>
          <t>Y</t>
        </is>
      </c>
      <c r="K10" s="37" t="n"/>
      <c r="L10" s="46" t="n"/>
      <c r="M10" s="28" t="n"/>
      <c r="N10" s="94" t="inlineStr">
        <is>
          <t xml:space="preserve">Prereq </t>
        </is>
      </c>
      <c r="O10" s="58" t="inlineStr">
        <is>
          <t>Indoor Water Use Reduction</t>
        </is>
      </c>
      <c r="P10" s="43" t="n"/>
      <c r="Q10" s="35" t="inlineStr">
        <is>
          <t>Required</t>
        </is>
      </c>
    </row>
    <row r="11">
      <c r="A11" s="85" t="inlineStr">
        <is>
          <t>Y</t>
        </is>
      </c>
      <c r="B11" s="37" t="n"/>
      <c r="C11" s="46" t="n"/>
      <c r="D11" s="28" t="n"/>
      <c r="E11" s="94" t="inlineStr">
        <is>
          <t xml:space="preserve">Prereq </t>
        </is>
      </c>
      <c r="F11" s="34" t="inlineStr">
        <is>
          <t>Agricultural Land Conservation</t>
        </is>
      </c>
      <c r="G11" s="34" t="n"/>
      <c r="H11" s="35" t="inlineStr">
        <is>
          <t>Required</t>
        </is>
      </c>
      <c r="I11" s="35" t="n"/>
      <c r="J11" s="84" t="inlineStr">
        <is>
          <t>Y</t>
        </is>
      </c>
      <c r="K11" s="37" t="n"/>
      <c r="L11" s="46" t="n"/>
      <c r="M11" s="28" t="n"/>
      <c r="N11" s="94" t="inlineStr">
        <is>
          <t xml:space="preserve">Prereq </t>
        </is>
      </c>
      <c r="O11" s="34" t="inlineStr">
        <is>
          <t>Construction Activity Pollution Prevention</t>
        </is>
      </c>
      <c r="P11" s="34" t="n"/>
      <c r="Q11" s="35" t="inlineStr">
        <is>
          <t>Required</t>
        </is>
      </c>
    </row>
    <row r="12">
      <c r="A12" s="85" t="inlineStr">
        <is>
          <t>Y</t>
        </is>
      </c>
      <c r="B12" s="37" t="n"/>
      <c r="C12" s="46" t="n"/>
      <c r="D12" s="28" t="n"/>
      <c r="E12" s="94" t="inlineStr">
        <is>
          <t xml:space="preserve">Prereq </t>
        </is>
      </c>
      <c r="F12" s="34" t="inlineStr">
        <is>
          <t>Floodplain Avoidance</t>
        </is>
      </c>
      <c r="G12" s="34" t="n"/>
      <c r="H12" s="35" t="inlineStr">
        <is>
          <t>Required</t>
        </is>
      </c>
      <c r="I12" s="35" t="n"/>
      <c r="J12" s="74" t="n"/>
      <c r="K12" s="47" t="n"/>
      <c r="L12" s="48" t="n"/>
      <c r="M12" s="28" t="n"/>
      <c r="N12" s="94" t="inlineStr">
        <is>
          <t xml:space="preserve">Credit </t>
        </is>
      </c>
      <c r="O12" s="34" t="inlineStr">
        <is>
          <t>Certified Green Buildings</t>
        </is>
      </c>
      <c r="P12" s="34" t="n"/>
      <c r="Q12" s="35" t="n">
        <v>5</v>
      </c>
    </row>
    <row r="13">
      <c r="A13" s="74" t="n"/>
      <c r="B13" s="47" t="n"/>
      <c r="C13" s="48" t="n"/>
      <c r="D13" s="28" t="n"/>
      <c r="E13" s="94" t="inlineStr">
        <is>
          <t xml:space="preserve">Credit </t>
        </is>
      </c>
      <c r="F13" s="34" t="inlineStr">
        <is>
          <t>Preferred Locations</t>
        </is>
      </c>
      <c r="G13" s="34" t="n"/>
      <c r="H13" s="35" t="n">
        <v>10</v>
      </c>
      <c r="I13" s="35" t="n"/>
      <c r="J13" s="74" t="n"/>
      <c r="K13" s="47" t="n"/>
      <c r="L13" s="48" t="n"/>
      <c r="M13" s="28" t="n"/>
      <c r="N13" s="94" t="inlineStr">
        <is>
          <t xml:space="preserve">Credit </t>
        </is>
      </c>
      <c r="O13" s="58" t="inlineStr">
        <is>
          <t>Optimize Building Energy Performance</t>
        </is>
      </c>
      <c r="P13" s="34" t="n"/>
      <c r="Q13" s="35" t="n">
        <v>2</v>
      </c>
    </row>
    <row r="14">
      <c r="A14" s="74" t="n"/>
      <c r="B14" s="47" t="n"/>
      <c r="C14" s="48" t="n"/>
      <c r="D14" s="28" t="n"/>
      <c r="E14" s="94" t="inlineStr">
        <is>
          <t xml:space="preserve">Credit </t>
        </is>
      </c>
      <c r="F14" s="34" t="inlineStr">
        <is>
          <t>Brownfield Remediation</t>
        </is>
      </c>
      <c r="G14" s="34" t="n"/>
      <c r="H14" s="35" t="n">
        <v>2</v>
      </c>
      <c r="I14" s="35" t="n"/>
      <c r="J14" s="74" t="n"/>
      <c r="K14" s="47" t="n"/>
      <c r="L14" s="48" t="n"/>
      <c r="M14" s="28" t="n"/>
      <c r="N14" s="94" t="inlineStr">
        <is>
          <t xml:space="preserve">Credit </t>
        </is>
      </c>
      <c r="O14" s="58" t="inlineStr">
        <is>
          <t>Indoor Water Use Reduction</t>
        </is>
      </c>
      <c r="P14" s="34" t="n"/>
      <c r="Q14" s="35" t="n">
        <v>1</v>
      </c>
    </row>
    <row r="15">
      <c r="A15" s="74" t="n"/>
      <c r="B15" s="47" t="n"/>
      <c r="C15" s="48" t="n"/>
      <c r="D15" s="28" t="n"/>
      <c r="E15" s="94" t="inlineStr">
        <is>
          <t xml:space="preserve">Credit </t>
        </is>
      </c>
      <c r="F15" s="34" t="inlineStr">
        <is>
          <t>Access to Quality Transit</t>
        </is>
      </c>
      <c r="G15" s="34" t="n"/>
      <c r="H15" s="35" t="n">
        <v>7</v>
      </c>
      <c r="I15" s="35" t="n"/>
      <c r="J15" s="74" t="n"/>
      <c r="K15" s="47" t="n"/>
      <c r="L15" s="48" t="n"/>
      <c r="M15" s="28" t="n"/>
      <c r="N15" s="94" t="inlineStr">
        <is>
          <t xml:space="preserve">Credit </t>
        </is>
      </c>
      <c r="O15" s="34" t="inlineStr">
        <is>
          <t>Outdoor Water Use Reduction</t>
        </is>
      </c>
      <c r="P15" s="34" t="n"/>
      <c r="Q15" s="35" t="n">
        <v>2</v>
      </c>
    </row>
    <row r="16">
      <c r="A16" s="74" t="n"/>
      <c r="B16" s="47" t="n"/>
      <c r="C16" s="48" t="n"/>
      <c r="D16" s="28" t="n"/>
      <c r="E16" s="94" t="inlineStr">
        <is>
          <t xml:space="preserve">Credit </t>
        </is>
      </c>
      <c r="F16" s="34" t="inlineStr">
        <is>
          <t xml:space="preserve">Bicycle Facilities </t>
        </is>
      </c>
      <c r="G16" s="34" t="n"/>
      <c r="H16" s="35" t="n">
        <v>2</v>
      </c>
      <c r="I16" s="35" t="n"/>
      <c r="J16" s="74" t="n"/>
      <c r="K16" s="47" t="n"/>
      <c r="L16" s="48" t="n"/>
      <c r="M16" s="28" t="n"/>
      <c r="N16" s="94" t="inlineStr">
        <is>
          <t xml:space="preserve">Credit </t>
        </is>
      </c>
      <c r="O16" s="34" t="inlineStr">
        <is>
          <t>Building Reuse</t>
        </is>
      </c>
      <c r="P16" s="34" t="n"/>
      <c r="Q16" s="35" t="n">
        <v>1</v>
      </c>
    </row>
    <row r="17">
      <c r="A17" s="74" t="n"/>
      <c r="B17" s="47" t="n"/>
      <c r="C17" s="48" t="n"/>
      <c r="D17" s="28" t="n"/>
      <c r="E17" s="94" t="inlineStr">
        <is>
          <t xml:space="preserve">Credit </t>
        </is>
      </c>
      <c r="F17" s="34" t="inlineStr">
        <is>
          <t>Housing and Jobs Proximity</t>
        </is>
      </c>
      <c r="G17" s="34" t="n"/>
      <c r="H17" s="35" t="n">
        <v>3</v>
      </c>
      <c r="I17" s="35" t="n"/>
      <c r="J17" s="74" t="n"/>
      <c r="K17" s="47" t="n"/>
      <c r="L17" s="48" t="n"/>
      <c r="M17" s="28" t="n"/>
      <c r="N17" s="94" t="inlineStr">
        <is>
          <t xml:space="preserve">Credit </t>
        </is>
      </c>
      <c r="O17" s="34" t="inlineStr">
        <is>
          <t>Historic Resource Preservation and Adaptive Reuse</t>
        </is>
      </c>
      <c r="P17" s="34" t="n"/>
      <c r="Q17" s="35" t="n">
        <v>2</v>
      </c>
    </row>
    <row r="18">
      <c r="A18" s="74" t="n"/>
      <c r="B18" s="47" t="n"/>
      <c r="C18" s="48" t="n"/>
      <c r="D18" s="28" t="n"/>
      <c r="E18" s="94" t="inlineStr">
        <is>
          <t xml:space="preserve">Credit </t>
        </is>
      </c>
      <c r="F18" s="34" t="inlineStr">
        <is>
          <t>Steep Slope Protection</t>
        </is>
      </c>
      <c r="G18" s="34" t="n"/>
      <c r="H18" s="35" t="n">
        <v>1</v>
      </c>
      <c r="I18" s="35" t="n"/>
      <c r="J18" s="74" t="n"/>
      <c r="K18" s="47" t="n"/>
      <c r="L18" s="48" t="n"/>
      <c r="M18" s="28" t="n"/>
      <c r="N18" s="94" t="inlineStr">
        <is>
          <t xml:space="preserve">Credit </t>
        </is>
      </c>
      <c r="O18" s="34" t="inlineStr">
        <is>
          <t>Minimized Site Disturbance</t>
        </is>
      </c>
      <c r="P18" s="34" t="n"/>
      <c r="Q18" s="35" t="n">
        <v>1</v>
      </c>
    </row>
    <row r="19">
      <c r="A19" s="74" t="n"/>
      <c r="B19" s="47" t="n"/>
      <c r="C19" s="48" t="n"/>
      <c r="D19" s="28" t="n"/>
      <c r="E19" s="94" t="inlineStr">
        <is>
          <t xml:space="preserve">Credit </t>
        </is>
      </c>
      <c r="F19" s="34" t="inlineStr">
        <is>
          <t>Site Design for Habitat or Wetland and Water Body Conservation</t>
        </is>
      </c>
      <c r="G19" s="34" t="n"/>
      <c r="H19" s="35" t="n">
        <v>1</v>
      </c>
      <c r="I19" s="35" t="n"/>
      <c r="J19" s="74" t="n"/>
      <c r="K19" s="47" t="n"/>
      <c r="L19" s="48" t="n"/>
      <c r="M19" s="28" t="n"/>
      <c r="N19" s="94" t="inlineStr">
        <is>
          <t xml:space="preserve">Credit </t>
        </is>
      </c>
      <c r="O19" s="34" t="inlineStr">
        <is>
          <t>Rainwater Management</t>
        </is>
      </c>
      <c r="P19" s="34" t="n"/>
      <c r="Q19" s="35" t="n">
        <v>4</v>
      </c>
    </row>
    <row r="20">
      <c r="A20" s="74" t="n"/>
      <c r="B20" s="47" t="n"/>
      <c r="C20" s="48" t="n"/>
      <c r="D20" s="28" t="n"/>
      <c r="E20" s="94" t="inlineStr">
        <is>
          <t xml:space="preserve">Credit </t>
        </is>
      </c>
      <c r="F20" s="34" t="inlineStr">
        <is>
          <t xml:space="preserve">Restoration of Habitat or Wetlands and Water Bodies </t>
        </is>
      </c>
      <c r="G20" s="34" t="n"/>
      <c r="H20" s="35" t="n">
        <v>1</v>
      </c>
      <c r="I20" s="35" t="n"/>
      <c r="J20" s="74" t="n"/>
      <c r="K20" s="47" t="n"/>
      <c r="L20" s="48" t="n"/>
      <c r="M20" s="28" t="n"/>
      <c r="N20" s="94" t="inlineStr">
        <is>
          <t xml:space="preserve">Credit </t>
        </is>
      </c>
      <c r="O20" s="34" t="inlineStr">
        <is>
          <t>Heat Island Reduction</t>
        </is>
      </c>
      <c r="P20" s="34" t="n"/>
      <c r="Q20" s="35" t="n">
        <v>1</v>
      </c>
    </row>
    <row r="21" ht="21" customFormat="1" customHeight="1" s="60">
      <c r="A21" s="75" t="n"/>
      <c r="B21" s="49" t="n"/>
      <c r="C21" s="50" t="n"/>
      <c r="D21" s="21" t="n"/>
      <c r="E21" s="94" t="inlineStr">
        <is>
          <t xml:space="preserve">Credit </t>
        </is>
      </c>
      <c r="F21" s="99" t="inlineStr">
        <is>
          <t>Long-Term Conservation Management of Habitat or Wetlands and Water Bodies</t>
        </is>
      </c>
      <c r="H21" s="22" t="n">
        <v>1</v>
      </c>
      <c r="I21" s="22" t="n"/>
      <c r="J21" s="74" t="n"/>
      <c r="K21" s="47" t="n"/>
      <c r="L21" s="48" t="n"/>
      <c r="M21" s="28" t="n"/>
      <c r="N21" s="94" t="inlineStr">
        <is>
          <t xml:space="preserve">Credit </t>
        </is>
      </c>
      <c r="O21" s="34" t="inlineStr">
        <is>
          <t>Solar Orientation</t>
        </is>
      </c>
      <c r="P21" s="34" t="n"/>
      <c r="Q21" s="35" t="n">
        <v>1</v>
      </c>
      <c r="R21" s="59" t="n"/>
      <c r="S21" s="59" t="n"/>
      <c r="T21" s="59" t="n"/>
      <c r="U21" s="59" t="n"/>
      <c r="V21" s="59" t="n"/>
      <c r="W21" s="59" t="n"/>
      <c r="X21" s="59" t="n"/>
      <c r="Y21" s="59" t="n"/>
      <c r="Z21" s="59" t="n"/>
      <c r="AA21" s="59" t="n"/>
      <c r="AB21" s="59" t="n"/>
      <c r="AC21" s="59" t="n"/>
      <c r="AD21" s="59" t="n"/>
      <c r="AE21" s="59" t="n"/>
    </row>
    <row r="22" customFormat="1" s="62">
      <c r="A22" s="23" t="n"/>
      <c r="B22" s="23" t="n"/>
      <c r="C22" s="23" t="n"/>
      <c r="D22" s="28" t="n"/>
      <c r="E22" s="28" t="n"/>
      <c r="F22" s="28" t="n"/>
      <c r="G22" s="28" t="n"/>
      <c r="H22" s="24" t="n"/>
      <c r="I22" s="24" t="n"/>
      <c r="J22" s="74" t="n"/>
      <c r="K22" s="47" t="n"/>
      <c r="L22" s="48" t="n"/>
      <c r="M22" s="28" t="n"/>
      <c r="N22" s="94" t="inlineStr">
        <is>
          <t xml:space="preserve">Credit </t>
        </is>
      </c>
      <c r="O22" s="58" t="inlineStr">
        <is>
          <t>Renewable Energy Production</t>
        </is>
      </c>
      <c r="P22" s="34" t="n"/>
      <c r="Q22" s="35" t="n">
        <v>3</v>
      </c>
    </row>
    <row r="23" ht="15.75" customHeight="1">
      <c r="A23" s="76">
        <f>SUM(A27:A41)</f>
        <v/>
      </c>
      <c r="B23" s="76">
        <f>SUM(B27:B41)</f>
        <v/>
      </c>
      <c r="C23" s="76">
        <f>SUM(C27:C41)</f>
        <v/>
      </c>
      <c r="D23" s="52" t="n"/>
      <c r="E23" s="68" t="inlineStr">
        <is>
          <t>Neighborhood Pattern &amp; Design</t>
        </is>
      </c>
      <c r="F23" s="53" t="n"/>
      <c r="G23" s="54" t="n"/>
      <c r="H23" s="55">
        <f>SUM(H27:H41)</f>
        <v/>
      </c>
      <c r="I23" s="26" t="n"/>
      <c r="J23" s="74" t="n"/>
      <c r="K23" s="47" t="n"/>
      <c r="L23" s="48" t="n"/>
      <c r="M23" s="28" t="n"/>
      <c r="N23" s="94" t="inlineStr">
        <is>
          <t xml:space="preserve">Credit </t>
        </is>
      </c>
      <c r="O23" s="34" t="inlineStr">
        <is>
          <t>District Heating and Cooling</t>
        </is>
      </c>
      <c r="P23" s="34" t="n"/>
      <c r="Q23" s="35" t="n">
        <v>2</v>
      </c>
    </row>
    <row r="24">
      <c r="A24" s="85" t="inlineStr">
        <is>
          <t>Y</t>
        </is>
      </c>
      <c r="B24" s="37" t="n"/>
      <c r="C24" s="46" t="n"/>
      <c r="D24" s="28" t="n"/>
      <c r="E24" s="94" t="inlineStr">
        <is>
          <t xml:space="preserve">Prereq </t>
        </is>
      </c>
      <c r="F24" s="34" t="inlineStr">
        <is>
          <t xml:space="preserve">Walkable Streets </t>
        </is>
      </c>
      <c r="G24" s="34" t="n"/>
      <c r="H24" s="35" t="inlineStr">
        <is>
          <t>Required</t>
        </is>
      </c>
      <c r="I24" s="35" t="n"/>
      <c r="J24" s="74" t="n"/>
      <c r="K24" s="47" t="n"/>
      <c r="L24" s="48" t="n"/>
      <c r="M24" s="28" t="n"/>
      <c r="N24" s="94" t="inlineStr">
        <is>
          <t xml:space="preserve">Credit </t>
        </is>
      </c>
      <c r="O24" s="34" t="inlineStr">
        <is>
          <t>Infrastructure Energy Efficiency</t>
        </is>
      </c>
      <c r="P24" s="34" t="n"/>
      <c r="Q24" s="35" t="n">
        <v>1</v>
      </c>
    </row>
    <row r="25">
      <c r="A25" s="85" t="inlineStr">
        <is>
          <t>Y</t>
        </is>
      </c>
      <c r="B25" s="37" t="n"/>
      <c r="C25" s="46" t="n"/>
      <c r="D25" s="28" t="n"/>
      <c r="E25" s="94" t="inlineStr">
        <is>
          <t xml:space="preserve">Prereq </t>
        </is>
      </c>
      <c r="F25" s="34" t="inlineStr">
        <is>
          <t xml:space="preserve">Compact Development </t>
        </is>
      </c>
      <c r="G25" s="34" t="n"/>
      <c r="H25" s="35" t="inlineStr">
        <is>
          <t>Required</t>
        </is>
      </c>
      <c r="I25" s="35" t="n"/>
      <c r="J25" s="74" t="n"/>
      <c r="K25" s="47" t="n"/>
      <c r="L25" s="48" t="n"/>
      <c r="M25" s="28" t="n"/>
      <c r="N25" s="94" t="inlineStr">
        <is>
          <t xml:space="preserve">Credit </t>
        </is>
      </c>
      <c r="O25" s="34" t="inlineStr">
        <is>
          <t>Wastewater Management</t>
        </is>
      </c>
      <c r="P25" s="34" t="n"/>
      <c r="Q25" s="35" t="n">
        <v>2</v>
      </c>
    </row>
    <row r="26">
      <c r="A26" s="85" t="inlineStr">
        <is>
          <t>Y</t>
        </is>
      </c>
      <c r="B26" s="37" t="n"/>
      <c r="C26" s="46" t="n"/>
      <c r="D26" s="28" t="n"/>
      <c r="E26" s="94" t="inlineStr">
        <is>
          <t xml:space="preserve">Prereq </t>
        </is>
      </c>
      <c r="F26" s="34" t="inlineStr">
        <is>
          <t>Connected and Open Community</t>
        </is>
      </c>
      <c r="G26" s="34" t="n"/>
      <c r="H26" s="35" t="inlineStr">
        <is>
          <t>Required</t>
        </is>
      </c>
      <c r="I26" s="35" t="n"/>
      <c r="J26" s="74" t="n"/>
      <c r="K26" s="47" t="n"/>
      <c r="L26" s="48" t="n"/>
      <c r="M26" s="28" t="n"/>
      <c r="N26" s="94" t="inlineStr">
        <is>
          <t xml:space="preserve">Credit </t>
        </is>
      </c>
      <c r="O26" s="34" t="inlineStr">
        <is>
          <t>Recycled and Reused Infrastructure</t>
        </is>
      </c>
      <c r="P26" s="34" t="n"/>
      <c r="Q26" s="35" t="n">
        <v>1</v>
      </c>
    </row>
    <row r="27">
      <c r="A27" s="74" t="n"/>
      <c r="B27" s="47" t="n"/>
      <c r="C27" s="48" t="n"/>
      <c r="D27" s="28" t="n"/>
      <c r="E27" s="94" t="inlineStr">
        <is>
          <t xml:space="preserve">Credit </t>
        </is>
      </c>
      <c r="F27" s="34" t="inlineStr">
        <is>
          <t xml:space="preserve">Walkable Streets </t>
        </is>
      </c>
      <c r="G27" s="34" t="n"/>
      <c r="H27" s="35" t="n">
        <v>9</v>
      </c>
      <c r="I27" s="35" t="n"/>
      <c r="J27" s="74" t="n"/>
      <c r="K27" s="47" t="n"/>
      <c r="L27" s="48" t="n"/>
      <c r="M27" s="28" t="n"/>
      <c r="N27" s="94" t="inlineStr">
        <is>
          <t xml:space="preserve">Credit </t>
        </is>
      </c>
      <c r="O27" s="34" t="inlineStr">
        <is>
          <t>Solid Waste Management</t>
        </is>
      </c>
      <c r="P27" s="34" t="n"/>
      <c r="Q27" s="35" t="n">
        <v>1</v>
      </c>
    </row>
    <row r="28">
      <c r="A28" s="74" t="n"/>
      <c r="B28" s="47" t="n"/>
      <c r="C28" s="48" t="n"/>
      <c r="D28" s="28" t="n"/>
      <c r="E28" s="94" t="inlineStr">
        <is>
          <t xml:space="preserve">Credit </t>
        </is>
      </c>
      <c r="F28" s="34" t="inlineStr">
        <is>
          <t xml:space="preserve">Compact Development  </t>
        </is>
      </c>
      <c r="G28" s="34" t="n"/>
      <c r="H28" s="35" t="n">
        <v>6</v>
      </c>
      <c r="I28" s="35" t="n"/>
      <c r="J28" s="74" t="n"/>
      <c r="K28" s="47" t="n"/>
      <c r="L28" s="48" t="n"/>
      <c r="M28" s="28" t="n"/>
      <c r="N28" s="94" t="inlineStr">
        <is>
          <t xml:space="preserve">Credit </t>
        </is>
      </c>
      <c r="O28" s="34" t="inlineStr">
        <is>
          <t>Light Pollution Reduction</t>
        </is>
      </c>
      <c r="P28" s="34" t="n"/>
      <c r="Q28" s="35" t="n">
        <v>1</v>
      </c>
    </row>
    <row r="29">
      <c r="A29" s="74" t="n"/>
      <c r="B29" s="47" t="n"/>
      <c r="C29" s="48" t="n"/>
      <c r="D29" s="28" t="n"/>
      <c r="E29" s="94" t="inlineStr">
        <is>
          <t xml:space="preserve">Credit </t>
        </is>
      </c>
      <c r="F29" s="34" t="inlineStr">
        <is>
          <t>Mixed-Use Neighborhoods</t>
        </is>
      </c>
      <c r="G29" s="34" t="n"/>
      <c r="H29" s="35" t="n">
        <v>4</v>
      </c>
      <c r="I29" s="35" t="n"/>
      <c r="J29" s="27" t="n"/>
      <c r="K29" s="27" t="n"/>
      <c r="L29" s="27" t="n"/>
      <c r="M29" s="28" t="n"/>
      <c r="N29" s="28" t="n"/>
      <c r="O29" s="28" t="n"/>
      <c r="P29" s="28" t="n"/>
      <c r="Q29" s="24" t="n"/>
    </row>
    <row r="30" ht="15.75" customHeight="1">
      <c r="A30" s="74" t="n"/>
      <c r="B30" s="47" t="n"/>
      <c r="C30" s="48" t="n"/>
      <c r="D30" s="28" t="n"/>
      <c r="E30" s="94" t="inlineStr">
        <is>
          <t xml:space="preserve">Credit </t>
        </is>
      </c>
      <c r="F30" s="34" t="inlineStr">
        <is>
          <t>Housing Types and Affordability</t>
        </is>
      </c>
      <c r="G30" s="34" t="n"/>
      <c r="H30" s="35" t="n">
        <v>7</v>
      </c>
      <c r="I30" s="35" t="n"/>
      <c r="J30" s="76">
        <f>SUM(J31:J33)</f>
        <v/>
      </c>
      <c r="K30" s="76">
        <f>SUM(K31:K33)</f>
        <v/>
      </c>
      <c r="L30" s="76">
        <f>SUM(L31:L33)</f>
        <v/>
      </c>
      <c r="M30" s="66" t="n"/>
      <c r="N30" s="69" t="inlineStr">
        <is>
          <t>Innovation &amp; Design Process</t>
        </is>
      </c>
      <c r="O30" s="66" t="n"/>
      <c r="P30" s="67" t="n"/>
      <c r="Q30" s="55">
        <f>SUM(Q31:Q32)</f>
        <v/>
      </c>
    </row>
    <row r="31">
      <c r="A31" s="74" t="n"/>
      <c r="B31" s="47" t="n"/>
      <c r="C31" s="48" t="n"/>
      <c r="D31" s="28" t="n"/>
      <c r="E31" s="94" t="inlineStr">
        <is>
          <t xml:space="preserve">Credit </t>
        </is>
      </c>
      <c r="F31" s="34" t="inlineStr">
        <is>
          <t xml:space="preserve">Reduced Parking Footprint </t>
        </is>
      </c>
      <c r="G31" s="34" t="n"/>
      <c r="H31" s="35" t="n">
        <v>1</v>
      </c>
      <c r="I31" s="35" t="n"/>
      <c r="J31" s="74" t="n"/>
      <c r="K31" s="47" t="n"/>
      <c r="L31" s="48" t="n"/>
      <c r="M31" s="28" t="n"/>
      <c r="N31" s="94" t="inlineStr">
        <is>
          <t xml:space="preserve">Credit </t>
        </is>
      </c>
      <c r="O31" s="17" t="inlineStr">
        <is>
          <t xml:space="preserve">Innovation  </t>
        </is>
      </c>
      <c r="P31" s="17" t="n"/>
      <c r="Q31" s="35" t="n">
        <v>5</v>
      </c>
    </row>
    <row r="32">
      <c r="A32" s="74" t="n"/>
      <c r="B32" s="47" t="n"/>
      <c r="C32" s="48" t="n"/>
      <c r="D32" s="28" t="n"/>
      <c r="E32" s="94" t="inlineStr">
        <is>
          <t xml:space="preserve">Credit </t>
        </is>
      </c>
      <c r="F32" s="34" t="inlineStr">
        <is>
          <t>Connected and Open Community</t>
        </is>
      </c>
      <c r="G32" s="34" t="n"/>
      <c r="H32" s="35" t="n">
        <v>2</v>
      </c>
      <c r="I32" s="35" t="n"/>
      <c r="J32" s="74" t="n"/>
      <c r="K32" s="47" t="n"/>
      <c r="L32" s="48" t="n"/>
      <c r="M32" s="28" t="n"/>
      <c r="N32" s="94" t="inlineStr">
        <is>
          <t xml:space="preserve">Credit </t>
        </is>
      </c>
      <c r="O32" s="17" t="inlineStr">
        <is>
          <t>LEED® Accredited Professional</t>
        </is>
      </c>
      <c r="P32" s="17" t="n"/>
      <c r="Q32" s="35" t="n">
        <v>1</v>
      </c>
    </row>
    <row r="33" ht="12.75" customHeight="1">
      <c r="A33" s="74" t="n"/>
      <c r="B33" s="47" t="n"/>
      <c r="C33" s="48" t="n"/>
      <c r="D33" s="28" t="n"/>
      <c r="E33" s="94" t="inlineStr">
        <is>
          <t xml:space="preserve">Credit </t>
        </is>
      </c>
      <c r="F33" s="34" t="inlineStr">
        <is>
          <t xml:space="preserve">Transit Facilities </t>
        </is>
      </c>
      <c r="G33" s="34" t="n"/>
      <c r="H33" s="35" t="n">
        <v>1</v>
      </c>
      <c r="I33" s="35" t="n"/>
      <c r="J33" s="27" t="n"/>
      <c r="K33" s="27" t="n"/>
      <c r="L33" s="27" t="n"/>
      <c r="Q33" s="64" t="n"/>
    </row>
    <row r="34" ht="15.75" customHeight="1">
      <c r="A34" s="74" t="n"/>
      <c r="B34" s="47" t="n"/>
      <c r="C34" s="48" t="n"/>
      <c r="D34" s="28" t="n"/>
      <c r="E34" s="94" t="inlineStr">
        <is>
          <t xml:space="preserve">Credit </t>
        </is>
      </c>
      <c r="F34" s="34" t="inlineStr">
        <is>
          <t>Transportation Demand Management</t>
        </is>
      </c>
      <c r="G34" s="34" t="n"/>
      <c r="H34" s="35" t="n">
        <v>2</v>
      </c>
      <c r="I34" s="35" t="n"/>
      <c r="J34" s="76">
        <f>SUM(J35:J38)</f>
        <v/>
      </c>
      <c r="K34" s="76">
        <f>SUM(K35:K38)</f>
        <v/>
      </c>
      <c r="L34" s="76">
        <f>SUM(L35:L38)</f>
        <v/>
      </c>
      <c r="M34" s="66" t="n"/>
      <c r="N34" s="69" t="inlineStr">
        <is>
          <t>Regional Priority Credits</t>
        </is>
      </c>
      <c r="O34" s="66" t="n"/>
      <c r="P34" s="67" t="n"/>
      <c r="Q34" s="55">
        <f>SUM(Q35:Q38)</f>
        <v/>
      </c>
    </row>
    <row r="35">
      <c r="A35" s="74" t="n"/>
      <c r="B35" s="47" t="n"/>
      <c r="C35" s="48" t="n"/>
      <c r="D35" s="28" t="n"/>
      <c r="E35" s="94" t="inlineStr">
        <is>
          <t xml:space="preserve">Credit </t>
        </is>
      </c>
      <c r="F35" s="34" t="inlineStr">
        <is>
          <t>Access to Civic &amp; Public Space</t>
        </is>
      </c>
      <c r="G35" s="34" t="n"/>
      <c r="H35" s="35" t="n">
        <v>1</v>
      </c>
      <c r="I35" s="35" t="n"/>
      <c r="J35" s="74" t="n"/>
      <c r="K35" s="47" t="n"/>
      <c r="L35" s="48" t="n"/>
      <c r="M35" s="28" t="n"/>
      <c r="N35" s="94" t="inlineStr">
        <is>
          <t xml:space="preserve">Credit </t>
        </is>
      </c>
      <c r="O35" s="17" t="inlineStr">
        <is>
          <t>Regional Priority Credit: Region Defined</t>
        </is>
      </c>
      <c r="P35" s="17" t="n"/>
      <c r="Q35" s="37" t="n">
        <v>1</v>
      </c>
    </row>
    <row r="36">
      <c r="A36" s="74" t="n"/>
      <c r="B36" s="47" t="n"/>
      <c r="C36" s="48" t="n"/>
      <c r="D36" s="28" t="n"/>
      <c r="E36" s="94" t="inlineStr">
        <is>
          <t xml:space="preserve">Credit </t>
        </is>
      </c>
      <c r="F36" s="34" t="inlineStr">
        <is>
          <t>Access to Recreation Facilities</t>
        </is>
      </c>
      <c r="G36" s="34" t="n"/>
      <c r="H36" s="35" t="n">
        <v>1</v>
      </c>
      <c r="I36" s="35" t="n"/>
      <c r="J36" s="74" t="n"/>
      <c r="K36" s="47" t="n"/>
      <c r="L36" s="48" t="n"/>
      <c r="M36" s="28" t="n"/>
      <c r="N36" s="94" t="inlineStr">
        <is>
          <t xml:space="preserve">Credit </t>
        </is>
      </c>
      <c r="O36" s="17" t="inlineStr">
        <is>
          <t>Regional Priority Credit: Region Defined</t>
        </is>
      </c>
      <c r="P36" s="17" t="n"/>
      <c r="Q36" s="37" t="n">
        <v>1</v>
      </c>
    </row>
    <row r="37">
      <c r="A37" s="74" t="n"/>
      <c r="B37" s="47" t="n"/>
      <c r="C37" s="48" t="n"/>
      <c r="D37" s="28" t="n"/>
      <c r="E37" s="94" t="inlineStr">
        <is>
          <t xml:space="preserve">Credit </t>
        </is>
      </c>
      <c r="F37" s="34" t="inlineStr">
        <is>
          <t>Visitability and Universal Design</t>
        </is>
      </c>
      <c r="G37" s="34" t="n"/>
      <c r="H37" s="35" t="n">
        <v>1</v>
      </c>
      <c r="I37" s="35" t="n"/>
      <c r="J37" s="74" t="n"/>
      <c r="K37" s="47" t="n"/>
      <c r="L37" s="48" t="n"/>
      <c r="M37" s="28" t="n"/>
      <c r="N37" s="94" t="inlineStr">
        <is>
          <t xml:space="preserve">Credit </t>
        </is>
      </c>
      <c r="O37" s="17" t="inlineStr">
        <is>
          <t>Regional Priority Credit: Region Defined</t>
        </is>
      </c>
      <c r="P37" s="17" t="n"/>
      <c r="Q37" s="37" t="n">
        <v>1</v>
      </c>
    </row>
    <row r="38">
      <c r="A38" s="74" t="n"/>
      <c r="B38" s="47" t="n"/>
      <c r="C38" s="48" t="n"/>
      <c r="D38" s="28" t="n"/>
      <c r="E38" s="94" t="inlineStr">
        <is>
          <t xml:space="preserve">Credit </t>
        </is>
      </c>
      <c r="F38" s="34" t="inlineStr">
        <is>
          <t xml:space="preserve">Community Outreach and Involvement </t>
        </is>
      </c>
      <c r="G38" s="34" t="n"/>
      <c r="H38" s="35" t="n">
        <v>2</v>
      </c>
      <c r="I38" s="35" t="n"/>
      <c r="J38" s="74" t="n"/>
      <c r="K38" s="47" t="n"/>
      <c r="L38" s="48" t="n"/>
      <c r="M38" s="28" t="n"/>
      <c r="N38" s="94" t="inlineStr">
        <is>
          <t xml:space="preserve">Credit </t>
        </is>
      </c>
      <c r="O38" s="17" t="inlineStr">
        <is>
          <t>Regional Priority Credit: Region Defined</t>
        </is>
      </c>
      <c r="P38" s="17" t="n"/>
      <c r="Q38" s="37" t="n">
        <v>1</v>
      </c>
    </row>
    <row r="39">
      <c r="A39" s="74" t="n"/>
      <c r="B39" s="47" t="n"/>
      <c r="C39" s="48" t="n"/>
      <c r="D39" s="28" t="n"/>
      <c r="E39" s="94" t="inlineStr">
        <is>
          <t xml:space="preserve">Credit </t>
        </is>
      </c>
      <c r="F39" s="34" t="inlineStr">
        <is>
          <t>Local Food Production</t>
        </is>
      </c>
      <c r="G39" s="34" t="n"/>
      <c r="H39" s="35" t="n">
        <v>1</v>
      </c>
      <c r="I39" s="35" t="n"/>
      <c r="J39" s="23" t="n"/>
      <c r="K39" s="23" t="n"/>
      <c r="L39" s="23" t="n"/>
      <c r="M39" s="28" t="n"/>
      <c r="N39" s="28" t="n"/>
      <c r="O39" s="28" t="n"/>
      <c r="P39" s="28" t="n"/>
      <c r="Q39" s="24" t="n"/>
    </row>
    <row r="40" ht="15.75" customHeight="1">
      <c r="A40" s="74" t="n"/>
      <c r="B40" s="47" t="n"/>
      <c r="C40" s="48" t="n"/>
      <c r="D40" s="28" t="n"/>
      <c r="E40" s="94" t="inlineStr">
        <is>
          <t xml:space="preserve">Credit </t>
        </is>
      </c>
      <c r="F40" s="34" t="inlineStr">
        <is>
          <t>Tree-Lined and Shaded Streetscapes</t>
        </is>
      </c>
      <c r="G40" s="34" t="n"/>
      <c r="H40" s="35" t="n">
        <v>2</v>
      </c>
      <c r="I40" s="35" t="n"/>
      <c r="J40" s="72">
        <f>SUM(A7, A23, J7, J30, J34)</f>
        <v/>
      </c>
      <c r="K40" s="71">
        <f>SUM(B7, B23, K7, K30, K34)</f>
        <v/>
      </c>
      <c r="L40" s="73">
        <f>SUM(C7, C23, L7, L30, L34)</f>
        <v/>
      </c>
      <c r="M40" s="78" t="n"/>
      <c r="N40" s="79" t="inlineStr">
        <is>
          <t>PROJECT TOTALS  (Certification estimates)</t>
        </is>
      </c>
      <c r="O40" s="78" t="n"/>
      <c r="P40" s="80" t="n"/>
      <c r="Q40" s="81">
        <f>SUM(Q34+Q30+Q7+H23+H7)</f>
        <v/>
      </c>
    </row>
    <row r="41">
      <c r="A41" s="74" t="n"/>
      <c r="B41" s="47" t="n"/>
      <c r="C41" s="48" t="n"/>
      <c r="D41" s="28" t="n"/>
      <c r="E41" s="94" t="inlineStr">
        <is>
          <t xml:space="preserve">Credit </t>
        </is>
      </c>
      <c r="F41" s="34" t="inlineStr">
        <is>
          <t>Neighborhood Schools</t>
        </is>
      </c>
      <c r="G41" s="34" t="n"/>
      <c r="H41" s="35" t="n">
        <v>1</v>
      </c>
      <c r="I41" s="35" t="n"/>
      <c r="J41" s="98" t="inlineStr">
        <is>
          <t>Certified:  40-49 points,  Silver:  50-59 points,  Gold:  60-79 points,  Platinum:  80+ points</t>
        </is>
      </c>
      <c r="L41" s="57" t="n"/>
      <c r="M41" s="39" t="n"/>
      <c r="N41" s="57" t="n"/>
      <c r="O41" s="1" t="n"/>
      <c r="P41" s="2" t="n"/>
      <c r="Q41" s="3" t="n"/>
    </row>
    <row r="42" customFormat="1" s="62">
      <c r="A42" s="27" t="n"/>
      <c r="B42" s="27" t="n"/>
      <c r="C42" s="27" t="n"/>
      <c r="D42" s="28" t="n"/>
      <c r="E42" s="28" t="n"/>
      <c r="F42" s="28" t="n"/>
      <c r="G42" s="28" t="n"/>
      <c r="H42" s="24" t="n"/>
      <c r="I42" s="24" t="n"/>
      <c r="J42" s="62" t="n"/>
      <c r="K42" s="62" t="n"/>
    </row>
    <row r="43" ht="15.75" customHeight="1">
      <c r="A43" s="29" t="n"/>
      <c r="B43" s="29" t="n"/>
      <c r="C43" s="29" t="n"/>
      <c r="D43" s="30" t="n"/>
      <c r="E43" s="31" t="n"/>
      <c r="F43" s="31" t="n"/>
      <c r="G43" s="32" t="n"/>
      <c r="H43" s="33" t="n"/>
      <c r="I43" s="33" t="n"/>
      <c r="J43" s="62" t="n"/>
      <c r="K43" s="62" t="n"/>
    </row>
    <row r="44">
      <c r="A44" s="24" t="n"/>
      <c r="B44" s="28" t="n"/>
      <c r="C44" s="25" t="n"/>
      <c r="D44" s="28" t="n"/>
      <c r="E44" s="34" t="n"/>
      <c r="F44" s="32" t="n"/>
      <c r="G44" s="29" t="n"/>
      <c r="H44" s="35" t="n"/>
      <c r="I44" s="35" t="n"/>
      <c r="J44" s="62" t="n"/>
      <c r="K44" s="62" t="n"/>
    </row>
    <row r="45">
      <c r="A45" s="24" t="n"/>
      <c r="B45" s="28" t="n"/>
      <c r="C45" s="25" t="n"/>
      <c r="D45" s="28" t="n"/>
      <c r="E45" s="34" t="n"/>
      <c r="F45" s="63" t="n"/>
      <c r="G45" s="32" t="n"/>
      <c r="H45" s="35" t="n"/>
      <c r="I45" s="35" t="n"/>
      <c r="J45" s="62" t="n"/>
      <c r="K45" s="62" t="n"/>
    </row>
    <row r="46">
      <c r="A46" s="24" t="n"/>
      <c r="B46" s="28" t="n"/>
      <c r="C46" s="25" t="n"/>
      <c r="D46" s="28" t="n"/>
      <c r="E46" s="34" t="n"/>
      <c r="F46" s="63" t="n"/>
      <c r="G46" s="29" t="n"/>
      <c r="H46" s="35" t="n"/>
      <c r="I46" s="35" t="n"/>
      <c r="J46" s="62" t="n"/>
      <c r="K46" s="62" t="n"/>
    </row>
    <row r="47">
      <c r="A47" s="24" t="n"/>
      <c r="B47" s="28" t="n"/>
      <c r="C47" s="25" t="n"/>
      <c r="D47" s="28" t="n"/>
      <c r="E47" s="34" t="n"/>
      <c r="F47" s="32" t="n"/>
      <c r="G47" s="32" t="n"/>
      <c r="H47" s="35" t="n"/>
      <c r="I47" s="35" t="n"/>
      <c r="J47" s="62" t="n"/>
      <c r="K47" s="62" t="n"/>
    </row>
    <row r="48">
      <c r="A48" s="24" t="n"/>
      <c r="B48" s="24" t="n"/>
      <c r="C48" s="24" t="n"/>
      <c r="D48" s="28" t="n"/>
      <c r="E48" s="34" t="n"/>
      <c r="F48" s="32" t="n"/>
      <c r="G48" s="32" t="n"/>
      <c r="H48" s="35" t="n"/>
      <c r="I48" s="35" t="n"/>
      <c r="J48" s="62" t="n"/>
      <c r="K48" s="62" t="n"/>
    </row>
    <row r="49">
      <c r="A49" s="24" t="n"/>
      <c r="B49" s="24" t="n"/>
      <c r="C49" s="24" t="n"/>
      <c r="D49" s="28" t="n"/>
      <c r="E49" s="34" t="n"/>
      <c r="F49" s="63" t="n"/>
      <c r="G49" s="32" t="n"/>
      <c r="H49" s="35" t="n"/>
      <c r="I49" s="35" t="n"/>
      <c r="J49" s="62" t="n"/>
      <c r="K49" s="62" t="n"/>
    </row>
    <row r="50">
      <c r="A50" s="24" t="n"/>
      <c r="B50" s="24" t="n"/>
      <c r="C50" s="24" t="n"/>
      <c r="D50" s="28" t="n"/>
      <c r="E50" s="34" t="n"/>
      <c r="F50" s="63" t="n"/>
      <c r="G50" s="32" t="n"/>
      <c r="H50" s="35" t="n"/>
      <c r="I50" s="35" t="n"/>
      <c r="J50" s="62" t="n"/>
      <c r="K50" s="62" t="n"/>
    </row>
    <row r="51">
      <c r="A51" s="24" t="n"/>
      <c r="B51" s="24" t="n"/>
      <c r="C51" s="24" t="n"/>
      <c r="D51" s="28" t="n"/>
      <c r="E51" s="34" t="n"/>
      <c r="F51" s="32" t="n"/>
      <c r="G51" s="32" t="n"/>
      <c r="H51" s="35" t="n"/>
      <c r="I51" s="35" t="n"/>
      <c r="J51" s="62" t="n"/>
      <c r="K51" s="62" t="n"/>
    </row>
    <row r="52">
      <c r="A52" s="24" t="n"/>
      <c r="B52" s="24" t="n"/>
      <c r="C52" s="24" t="n"/>
      <c r="D52" s="28" t="n"/>
      <c r="E52" s="34" t="n"/>
      <c r="F52" s="32" t="n"/>
      <c r="G52" s="32" t="n"/>
      <c r="H52" s="35" t="n"/>
      <c r="I52" s="35" t="n"/>
      <c r="J52" s="62" t="n"/>
      <c r="K52" s="62" t="n"/>
    </row>
    <row r="53">
      <c r="A53" s="24" t="n"/>
      <c r="B53" s="24" t="n"/>
      <c r="C53" s="24" t="n"/>
      <c r="D53" s="28" t="n"/>
      <c r="E53" s="34" t="n"/>
      <c r="F53" s="32" t="n"/>
      <c r="G53" s="32" t="n"/>
      <c r="H53" s="35" t="n"/>
      <c r="I53" s="35" t="n"/>
      <c r="J53" s="62" t="n"/>
      <c r="K53" s="62" t="n"/>
    </row>
    <row r="54">
      <c r="A54" s="24" t="n"/>
      <c r="B54" s="24" t="n"/>
      <c r="C54" s="24" t="n"/>
      <c r="D54" s="28" t="n"/>
      <c r="E54" s="34" t="n"/>
      <c r="F54" s="32" t="n"/>
      <c r="G54" s="32" t="n"/>
      <c r="H54" s="35" t="n"/>
      <c r="I54" s="35" t="n"/>
      <c r="J54" s="62" t="n"/>
      <c r="K54" s="62" t="n"/>
    </row>
    <row r="55">
      <c r="A55" s="24" t="n"/>
      <c r="B55" s="24" t="n"/>
      <c r="C55" s="24" t="n"/>
      <c r="D55" s="28" t="n"/>
      <c r="E55" s="34" t="n"/>
      <c r="F55" s="32" t="n"/>
      <c r="G55" s="32" t="n"/>
      <c r="H55" s="35" t="n"/>
      <c r="I55" s="35" t="n"/>
      <c r="J55" s="62" t="n"/>
      <c r="K55" s="62" t="n"/>
    </row>
    <row r="56">
      <c r="A56" s="24" t="n"/>
      <c r="B56" s="24" t="n"/>
      <c r="C56" s="24" t="n"/>
      <c r="D56" s="28" t="n"/>
      <c r="E56" s="34" t="n"/>
      <c r="F56" s="32" t="n"/>
      <c r="G56" s="32" t="n"/>
      <c r="H56" s="35" t="n"/>
      <c r="I56" s="35" t="n"/>
      <c r="J56" s="62" t="n"/>
      <c r="K56" s="62" t="n"/>
    </row>
    <row r="57">
      <c r="A57" s="24" t="n"/>
      <c r="B57" s="24" t="n"/>
      <c r="C57" s="24" t="n"/>
      <c r="D57" s="28" t="n"/>
      <c r="E57" s="34" t="n"/>
      <c r="F57" s="32" t="n"/>
      <c r="G57" s="32" t="n"/>
      <c r="H57" s="35" t="n"/>
      <c r="I57" s="35" t="n"/>
      <c r="J57" s="62" t="n"/>
      <c r="K57" s="62" t="n"/>
    </row>
    <row r="58">
      <c r="A58" s="24" t="n"/>
      <c r="B58" s="24" t="n"/>
      <c r="C58" s="24" t="n"/>
      <c r="D58" s="28" t="n"/>
      <c r="E58" s="34" t="n"/>
      <c r="F58" s="63" t="n"/>
      <c r="G58" s="32" t="n"/>
      <c r="H58" s="35" t="n"/>
      <c r="I58" s="35" t="n"/>
      <c r="J58" s="62" t="n"/>
      <c r="K58" s="62" t="n"/>
    </row>
    <row r="59">
      <c r="A59" s="24" t="n"/>
      <c r="B59" s="24" t="n"/>
      <c r="C59" s="24" t="n"/>
      <c r="D59" s="28" t="n"/>
      <c r="E59" s="34" t="n"/>
      <c r="F59" s="32" t="n"/>
      <c r="G59" s="32" t="n"/>
      <c r="H59" s="35" t="n"/>
      <c r="I59" s="35" t="n"/>
      <c r="J59" s="62" t="n"/>
      <c r="K59" s="62" t="n"/>
    </row>
    <row r="60">
      <c r="A60" s="24" t="n"/>
      <c r="B60" s="24" t="n"/>
      <c r="C60" s="24" t="n"/>
      <c r="D60" s="28" t="n"/>
      <c r="E60" s="34" t="n"/>
      <c r="F60" s="32" t="n"/>
      <c r="G60" s="32" t="n"/>
      <c r="H60" s="35" t="n"/>
      <c r="I60" s="35" t="n"/>
      <c r="J60" s="62" t="n"/>
      <c r="K60" s="62" t="n"/>
    </row>
    <row r="61">
      <c r="A61" s="24" t="n"/>
      <c r="B61" s="24" t="n"/>
      <c r="C61" s="24" t="n"/>
      <c r="D61" s="28" t="n"/>
      <c r="E61" s="34" t="n"/>
      <c r="F61" s="32" t="n"/>
      <c r="G61" s="32" t="n"/>
      <c r="H61" s="35" t="n"/>
      <c r="I61" s="35" t="n"/>
      <c r="J61" s="62" t="n"/>
      <c r="K61" s="62" t="n"/>
    </row>
    <row r="62">
      <c r="A62" s="24" t="n"/>
      <c r="B62" s="24" t="n"/>
      <c r="C62" s="24" t="n"/>
      <c r="D62" s="28" t="n"/>
      <c r="E62" s="34" t="n"/>
      <c r="F62" s="32" t="n"/>
      <c r="G62" s="32" t="n"/>
      <c r="H62" s="35" t="n"/>
      <c r="I62" s="35" t="n"/>
      <c r="J62" s="62" t="n"/>
      <c r="K62" s="62" t="n"/>
    </row>
    <row r="63">
      <c r="A63" s="24" t="n"/>
      <c r="B63" s="24" t="n"/>
      <c r="C63" s="24" t="n"/>
      <c r="D63" s="28" t="n"/>
      <c r="E63" s="34" t="n"/>
      <c r="F63" s="32" t="n"/>
      <c r="G63" s="32" t="n"/>
      <c r="H63" s="35" t="n"/>
      <c r="I63" s="35" t="n"/>
      <c r="J63" s="62" t="n"/>
      <c r="K63" s="62" t="n"/>
    </row>
    <row r="64">
      <c r="A64" s="24" t="n"/>
      <c r="B64" s="24" t="n"/>
      <c r="C64" s="24" t="n"/>
      <c r="D64" s="28" t="n"/>
      <c r="E64" s="34" t="n"/>
      <c r="F64" s="32" t="n"/>
      <c r="G64" s="32" t="n"/>
      <c r="H64" s="35" t="n"/>
      <c r="I64" s="35" t="n"/>
      <c r="J64" s="62" t="n"/>
      <c r="K64" s="62" t="n"/>
    </row>
    <row r="65" customFormat="1" s="62">
      <c r="A65" s="27" t="n"/>
      <c r="B65" s="27" t="n"/>
      <c r="C65" s="27" t="n"/>
      <c r="D65" s="28" t="n"/>
      <c r="E65" s="28" t="n"/>
      <c r="F65" s="28" t="n"/>
      <c r="G65" s="28" t="n"/>
      <c r="H65" s="24" t="n"/>
      <c r="I65" s="24" t="n"/>
      <c r="J65" s="62" t="n"/>
      <c r="K65" s="62" t="n"/>
    </row>
    <row r="66" ht="15.75" customHeight="1">
      <c r="A66" s="29" t="n"/>
      <c r="B66" s="29" t="n"/>
      <c r="C66" s="29" t="n"/>
      <c r="D66" s="36" t="n"/>
      <c r="E66" s="36" t="n"/>
      <c r="F66" s="36" t="n"/>
      <c r="G66" s="28" t="n"/>
      <c r="H66" s="33" t="n"/>
      <c r="I66" s="33" t="n"/>
      <c r="J66" s="62" t="n"/>
      <c r="K66" s="62" t="n"/>
    </row>
    <row r="67">
      <c r="A67" s="24" t="n"/>
      <c r="B67" s="24" t="n"/>
      <c r="C67" s="24" t="n"/>
      <c r="D67" s="28" t="n"/>
      <c r="E67" s="34" t="n"/>
      <c r="F67" s="28" t="n"/>
      <c r="G67" s="28" t="n"/>
      <c r="H67" s="35" t="n"/>
      <c r="I67" s="35" t="n"/>
      <c r="J67" s="62" t="n"/>
      <c r="K67" s="62" t="n"/>
    </row>
    <row r="68">
      <c r="A68" s="24" t="n"/>
      <c r="B68" s="24" t="n"/>
      <c r="C68" s="24" t="n"/>
      <c r="D68" s="28" t="n"/>
      <c r="E68" s="34" t="n"/>
      <c r="F68" s="28" t="n"/>
      <c r="G68" s="28" t="n"/>
      <c r="H68" s="35" t="n"/>
      <c r="I68" s="35" t="n"/>
      <c r="J68" s="62" t="n"/>
      <c r="K68" s="62" t="n"/>
    </row>
    <row r="69" customFormat="1" s="62">
      <c r="A69" s="27" t="n"/>
      <c r="B69" s="27" t="n"/>
      <c r="C69" s="27" t="n"/>
      <c r="D69" s="62" t="n"/>
      <c r="E69" s="62" t="n"/>
      <c r="F69" s="62" t="n"/>
      <c r="G69" s="62" t="n"/>
      <c r="H69" s="64" t="n"/>
      <c r="I69" s="64" t="n"/>
      <c r="J69" s="62" t="n"/>
      <c r="K69" s="62" t="n"/>
    </row>
    <row r="70" ht="15.75" customHeight="1">
      <c r="A70" s="29" t="n"/>
      <c r="B70" s="29" t="n"/>
      <c r="C70" s="29" t="n"/>
      <c r="D70" s="36" t="n"/>
      <c r="E70" s="36" t="n"/>
      <c r="F70" s="36" t="n"/>
      <c r="G70" s="28" t="n"/>
      <c r="H70" s="33" t="n"/>
      <c r="I70" s="33" t="n"/>
      <c r="J70" s="62" t="n"/>
      <c r="K70" s="62" t="n"/>
    </row>
    <row r="71">
      <c r="A71" s="24" t="n"/>
      <c r="B71" s="24" t="n"/>
      <c r="C71" s="24" t="n"/>
      <c r="D71" s="28" t="n"/>
      <c r="E71" s="34" t="n"/>
      <c r="F71" s="28" t="n"/>
      <c r="G71" s="28" t="n"/>
      <c r="H71" s="37" t="n"/>
      <c r="I71" s="37" t="n"/>
      <c r="J71" s="62" t="n"/>
      <c r="K71" s="62" t="n"/>
    </row>
    <row r="72">
      <c r="A72" s="24" t="n"/>
      <c r="B72" s="24" t="n"/>
      <c r="C72" s="24" t="n"/>
      <c r="D72" s="28" t="n"/>
      <c r="E72" s="34" t="n"/>
      <c r="F72" s="28" t="n"/>
      <c r="G72" s="28" t="n"/>
      <c r="H72" s="37" t="n"/>
      <c r="I72" s="37" t="n"/>
      <c r="J72" s="62" t="n"/>
      <c r="K72" s="62" t="n"/>
    </row>
    <row r="73">
      <c r="A73" s="24" t="n"/>
      <c r="B73" s="24" t="n"/>
      <c r="C73" s="24" t="n"/>
      <c r="D73" s="28" t="n"/>
      <c r="E73" s="34" t="n"/>
      <c r="F73" s="28" t="n"/>
      <c r="G73" s="28" t="n"/>
      <c r="H73" s="37" t="n"/>
      <c r="I73" s="37" t="n"/>
      <c r="J73" s="62" t="n"/>
      <c r="K73" s="62" t="n"/>
    </row>
    <row r="74">
      <c r="A74" s="24" t="n"/>
      <c r="B74" s="24" t="n"/>
      <c r="C74" s="24" t="n"/>
      <c r="D74" s="28" t="n"/>
      <c r="E74" s="34" t="n"/>
      <c r="F74" s="28" t="n"/>
      <c r="G74" s="28" t="n"/>
      <c r="H74" s="37" t="n"/>
      <c r="I74" s="37" t="n"/>
      <c r="J74" s="62" t="n"/>
      <c r="K74" s="62" t="n"/>
    </row>
    <row r="75" customFormat="1" s="62">
      <c r="A75" s="27" t="n"/>
      <c r="B75" s="27" t="n"/>
      <c r="C75" s="27" t="n"/>
      <c r="D75" s="28" t="n"/>
      <c r="E75" s="28" t="n"/>
      <c r="F75" s="28" t="n"/>
      <c r="G75" s="28" t="n"/>
      <c r="H75" s="24" t="n"/>
      <c r="I75" s="24" t="n"/>
      <c r="J75" s="62" t="n"/>
      <c r="K75" s="62" t="n"/>
    </row>
    <row r="76" ht="15.75" customHeight="1">
      <c r="A76" s="33" t="n"/>
      <c r="B76" s="33" t="n"/>
      <c r="C76" s="33" t="n"/>
      <c r="D76" s="30" t="n"/>
      <c r="E76" s="30" t="n"/>
      <c r="F76" s="30" t="n"/>
      <c r="G76" s="28" t="n"/>
      <c r="H76" s="38" t="n"/>
      <c r="I76" s="38" t="n"/>
      <c r="J76" s="62" t="n"/>
      <c r="K76" s="62" t="n"/>
    </row>
    <row r="77">
      <c r="A77" s="39" t="n"/>
      <c r="B77" s="39" t="n"/>
      <c r="C77" s="39" t="n"/>
      <c r="D77" s="39" t="n"/>
      <c r="E77" s="40" t="n"/>
      <c r="F77" s="40" t="n"/>
      <c r="G77" s="41" t="n"/>
      <c r="H77" s="42" t="n"/>
      <c r="I77" s="42" t="n"/>
      <c r="J77" s="62" t="n"/>
      <c r="K77" s="62" t="n"/>
    </row>
    <row r="78" customFormat="1" s="62">
      <c r="A78" s="62" t="n"/>
      <c r="B78" s="62" t="n"/>
      <c r="C78" s="62" t="n"/>
      <c r="D78" s="62" t="n"/>
      <c r="E78" s="62" t="n"/>
      <c r="F78" s="62" t="n"/>
      <c r="G78" s="62" t="n"/>
      <c r="H78" s="64" t="n"/>
      <c r="I78" s="64" t="n"/>
      <c r="J78" s="62" t="n"/>
      <c r="K78" s="62" t="n"/>
    </row>
    <row r="79" customFormat="1" s="62">
      <c r="A79" s="62" t="n"/>
      <c r="B79" s="62" t="n"/>
      <c r="J79" s="62" t="n"/>
      <c r="K79" s="62" t="n"/>
    </row>
    <row r="80" customFormat="1" s="62">
      <c r="A80" s="62" t="n"/>
      <c r="B80" s="62" t="n"/>
      <c r="C80" s="62" t="n"/>
      <c r="D80" s="62" t="n"/>
      <c r="E80" s="62" t="n"/>
      <c r="F80" s="62" t="n"/>
      <c r="G80" s="62" t="n"/>
      <c r="H80" s="64" t="n"/>
      <c r="I80" s="64" t="n"/>
      <c r="J80" s="62" t="n"/>
      <c r="K80" s="62" t="n"/>
    </row>
    <row r="81" customFormat="1" s="62">
      <c r="A81" s="62" t="n"/>
      <c r="B81" s="62" t="n"/>
      <c r="C81" s="62" t="n"/>
      <c r="D81" s="62" t="n"/>
      <c r="E81" s="62" t="n"/>
      <c r="F81" s="62" t="n"/>
      <c r="G81" s="62" t="n"/>
      <c r="H81" s="64" t="n"/>
      <c r="I81" s="64" t="n"/>
      <c r="J81" s="62" t="n"/>
      <c r="K81" s="62" t="n"/>
    </row>
    <row r="82" customFormat="1" s="62">
      <c r="A82" s="62" t="n"/>
      <c r="B82" s="62" t="n"/>
      <c r="C82" s="62" t="inlineStr">
        <is>
          <t> </t>
        </is>
      </c>
      <c r="D82" s="62" t="n"/>
      <c r="E82" s="62" t="n"/>
      <c r="F82" s="62" t="n"/>
      <c r="G82" s="62" t="n"/>
      <c r="H82" s="64" t="n"/>
      <c r="I82" s="64" t="n"/>
      <c r="J82" s="62" t="n"/>
      <c r="K82" s="62" t="n"/>
    </row>
    <row r="83" customFormat="1" s="62">
      <c r="A83" s="62" t="n"/>
      <c r="B83" s="62" t="n"/>
      <c r="C83" s="62" t="n"/>
      <c r="D83" s="62" t="n"/>
      <c r="E83" s="62" t="n"/>
      <c r="F83" s="62" t="n"/>
      <c r="G83" s="62" t="n"/>
      <c r="H83" s="64" t="n"/>
      <c r="I83" s="64" t="n"/>
      <c r="J83" s="62" t="n"/>
      <c r="K83" s="62" t="n"/>
    </row>
    <row r="84" customFormat="1" s="62">
      <c r="A84" s="62" t="n"/>
      <c r="B84" s="62" t="n"/>
      <c r="C84" s="62" t="n"/>
      <c r="D84" s="62" t="n"/>
      <c r="E84" s="62" t="n"/>
      <c r="F84" s="62" t="n"/>
      <c r="G84" s="62" t="n"/>
      <c r="H84" s="64" t="n"/>
      <c r="I84" s="64" t="n"/>
      <c r="J84" s="62" t="n"/>
      <c r="K84" s="62" t="n"/>
    </row>
    <row r="85" customFormat="1" s="62">
      <c r="A85" s="62" t="n"/>
      <c r="B85" s="62" t="n"/>
      <c r="C85" s="62" t="n"/>
      <c r="D85" s="62" t="n"/>
      <c r="E85" s="62" t="n"/>
      <c r="F85" s="62" t="n"/>
      <c r="G85" s="62" t="n"/>
      <c r="H85" s="64" t="n"/>
      <c r="I85" s="64" t="n"/>
      <c r="J85" s="62" t="n"/>
      <c r="K85" s="62" t="n"/>
    </row>
    <row r="86" customFormat="1" s="62">
      <c r="A86" s="62" t="n"/>
      <c r="B86" s="62" t="n"/>
      <c r="C86" s="62" t="n"/>
      <c r="D86" s="62" t="n"/>
      <c r="E86" s="62" t="n"/>
      <c r="F86" s="62" t="n"/>
      <c r="G86" s="62" t="n"/>
      <c r="H86" s="64" t="n"/>
      <c r="I86" s="64" t="n"/>
      <c r="J86" s="62" t="n"/>
      <c r="K86" s="62" t="n"/>
    </row>
    <row r="87" customFormat="1" s="62">
      <c r="A87" s="62" t="n"/>
      <c r="B87" s="62" t="n"/>
      <c r="C87" s="62" t="n"/>
      <c r="D87" s="62" t="n"/>
      <c r="E87" s="62" t="n"/>
      <c r="F87" s="62" t="n"/>
      <c r="G87" s="62" t="n"/>
      <c r="H87" s="64" t="n"/>
      <c r="I87" s="64" t="n"/>
      <c r="J87" s="62" t="n"/>
      <c r="K87" s="62" t="n"/>
    </row>
    <row r="88" customFormat="1" s="62">
      <c r="A88" s="62" t="n"/>
      <c r="B88" s="62" t="n"/>
      <c r="C88" s="62" t="n"/>
      <c r="D88" s="62" t="n"/>
      <c r="E88" s="62" t="n"/>
      <c r="F88" s="62" t="n"/>
      <c r="G88" s="62" t="n"/>
      <c r="H88" s="64" t="n"/>
      <c r="I88" s="64" t="n"/>
      <c r="J88" s="62" t="n"/>
      <c r="K88" s="62" t="n"/>
    </row>
    <row r="89" customFormat="1" s="62">
      <c r="A89" s="62" t="n"/>
      <c r="B89" s="62" t="n"/>
      <c r="C89" s="62" t="n"/>
      <c r="D89" s="62" t="n"/>
      <c r="E89" s="62" t="n"/>
      <c r="F89" s="62" t="n"/>
      <c r="G89" s="62" t="n"/>
      <c r="H89" s="64" t="n"/>
      <c r="I89" s="64" t="n"/>
      <c r="J89" s="62" t="n"/>
      <c r="K89" s="62" t="n"/>
    </row>
    <row r="90" customFormat="1" s="62">
      <c r="C90" s="62" t="n"/>
      <c r="D90" s="62" t="n"/>
      <c r="E90" s="62" t="n"/>
      <c r="F90" s="62" t="n"/>
      <c r="G90" s="62" t="n"/>
      <c r="H90" s="64" t="n"/>
      <c r="I90" s="64" t="n"/>
    </row>
    <row r="91" customFormat="1" s="62">
      <c r="H91" s="64" t="n"/>
      <c r="I91" s="64" t="n"/>
    </row>
    <row r="92" customFormat="1" s="62">
      <c r="H92" s="64" t="n"/>
      <c r="I92" s="64" t="n"/>
    </row>
    <row r="93" customFormat="1" s="62">
      <c r="H93" s="64" t="n"/>
      <c r="I93" s="64" t="n"/>
    </row>
    <row r="94" customFormat="1" s="62">
      <c r="H94" s="64" t="n"/>
      <c r="I94" s="64" t="n"/>
    </row>
    <row r="95" customFormat="1" s="62">
      <c r="H95" s="64" t="n"/>
      <c r="I95" s="64" t="n"/>
    </row>
    <row r="96" customFormat="1" s="62">
      <c r="H96" s="64" t="n"/>
      <c r="I96" s="64" t="n"/>
    </row>
    <row r="97" customFormat="1" s="62">
      <c r="H97" s="64" t="n"/>
      <c r="I97" s="64" t="n"/>
    </row>
    <row r="98" customFormat="1" s="62">
      <c r="H98" s="64" t="n"/>
      <c r="I98" s="64" t="n"/>
    </row>
    <row r="99" customFormat="1" s="62">
      <c r="H99" s="64" t="n"/>
      <c r="I99" s="64" t="n"/>
    </row>
    <row r="100" customFormat="1" s="62">
      <c r="H100" s="64" t="n"/>
      <c r="I100" s="64" t="n"/>
    </row>
    <row r="101" customFormat="1" s="62">
      <c r="H101" s="64" t="n"/>
      <c r="I101" s="64" t="n"/>
    </row>
    <row r="102" customFormat="1" s="62">
      <c r="H102" s="64" t="n"/>
      <c r="I102" s="64" t="n"/>
    </row>
    <row r="103" customFormat="1" s="62">
      <c r="H103" s="64" t="n"/>
      <c r="I103" s="64" t="n"/>
    </row>
    <row r="104" customFormat="1" s="62">
      <c r="H104" s="64" t="n"/>
      <c r="I104" s="64" t="n"/>
    </row>
    <row r="105" customFormat="1" s="62">
      <c r="H105" s="64" t="n"/>
      <c r="I105" s="64" t="n"/>
    </row>
    <row r="106" customFormat="1" s="62">
      <c r="H106" s="64" t="n"/>
      <c r="I106" s="64" t="n"/>
    </row>
  </sheetData>
  <mergeCells count="1">
    <mergeCell ref="F21:G21"/>
  </mergeCells>
  <pageMargins left="0.7" right="0.7" top="0.75" bottom="0.75" header="0.3" footer="0.3"/>
  <pageSetup orientation="landscape" scale="80" fitToHeight="0" fitToWidth="0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05"/>
  <sheetViews>
    <sheetView zoomScale="90" zoomScaleNormal="90" zoomScaleSheetLayoutView="80" workbookViewId="0">
      <selection activeCell="O3" sqref="O3"/>
    </sheetView>
  </sheetViews>
  <sheetFormatPr baseColWidth="8" defaultRowHeight="14.25"/>
  <cols>
    <col width="3.42578125" customWidth="1" style="57" min="1" max="1"/>
    <col width="3.28515625" customWidth="1" style="57" min="2" max="2"/>
    <col width="3" customWidth="1" style="57" min="3" max="3"/>
    <col width="1.85546875" customWidth="1" style="57" min="4" max="4"/>
    <col width="8" customWidth="1" style="57" min="5" max="5"/>
    <col width="4.42578125" customWidth="1" style="57" min="6" max="6"/>
    <col width="43" customWidth="1" style="57" min="7" max="7"/>
    <col width="9.140625" customWidth="1" style="65" min="8" max="8"/>
    <col width="2.140625" customWidth="1" style="62" min="9" max="9"/>
    <col width="3.28515625" customWidth="1" style="62" min="10" max="10"/>
    <col width="3.140625" customWidth="1" style="62" min="11" max="11"/>
    <col width="3.42578125" customWidth="1" style="62" min="12" max="12"/>
    <col width="2" customWidth="1" style="62" min="13" max="13"/>
    <col width="7.42578125" customWidth="1" style="62" min="14" max="14"/>
    <col width="20.42578125" customWidth="1" style="62" min="15" max="15"/>
    <col width="23.140625" customWidth="1" style="62" min="16" max="16"/>
    <col width="8.85546875" customWidth="1" style="62" min="17" max="30"/>
    <col width="9.140625" customWidth="1" style="57" min="31" max="16384"/>
  </cols>
  <sheetData>
    <row r="1" ht="11.25" customFormat="1" customHeight="1" s="62">
      <c r="A1" s="4" t="n"/>
      <c r="B1" s="4" t="n"/>
      <c r="C1" s="6" t="n"/>
      <c r="D1" s="4" t="n"/>
      <c r="E1" s="4" t="n"/>
      <c r="F1" s="4" t="n"/>
      <c r="G1" s="4" t="n"/>
      <c r="H1" s="6" t="n"/>
    </row>
    <row r="2" ht="18" customFormat="1" customHeight="1" s="62">
      <c r="A2" s="4" t="n"/>
      <c r="B2" s="4" t="n"/>
      <c r="C2" s="6" t="n"/>
      <c r="D2" s="4" t="n"/>
      <c r="E2" s="44" t="inlineStr">
        <is>
          <t>LEED v4 for Neighborhood Development Built Project</t>
        </is>
      </c>
      <c r="F2" s="7" t="n"/>
      <c r="G2" s="4" t="n"/>
      <c r="H2" s="6" t="n"/>
      <c r="K2" s="82" t="inlineStr">
        <is>
          <t>Project Name:</t>
        </is>
      </c>
      <c r="L2" s="96" t="inlineStr">
        <is>
          <t>The Cove, Deerfield Beach FL - INTERPRETIVE (see notes)</t>
        </is>
      </c>
      <c r="M2" s="96" t="n"/>
    </row>
    <row r="3" ht="16.5" customFormat="1" customHeight="1" s="62">
      <c r="A3" s="32" t="n"/>
      <c r="B3" s="32" t="n"/>
      <c r="C3" s="32" t="n"/>
      <c r="D3" s="32" t="n"/>
      <c r="E3" s="97" t="inlineStr">
        <is>
          <t>Project Checklist</t>
        </is>
      </c>
      <c r="F3" s="9" t="n"/>
      <c r="G3" s="32" t="n"/>
      <c r="H3" s="38" t="n"/>
      <c r="K3" s="82" t="inlineStr">
        <is>
          <t>Date:</t>
        </is>
      </c>
      <c r="L3" s="90" t="inlineStr">
        <is>
          <t>2026-07-03</t>
        </is>
      </c>
      <c r="M3" s="90" t="n"/>
    </row>
    <row r="4" customFormat="1" s="62">
      <c r="A4" s="28" t="n"/>
      <c r="B4" s="28" t="n"/>
      <c r="C4" s="24" t="n"/>
      <c r="D4" s="13" t="n"/>
      <c r="H4" s="24" t="n"/>
    </row>
    <row r="5" customFormat="1" s="62">
      <c r="A5" s="23" t="inlineStr">
        <is>
          <t>Yes</t>
        </is>
      </c>
      <c r="B5" s="23" t="inlineStr">
        <is>
          <t>?</t>
        </is>
      </c>
      <c r="C5" s="23" t="inlineStr">
        <is>
          <t>No</t>
        </is>
      </c>
      <c r="D5" s="28" t="n"/>
      <c r="E5" s="28" t="n"/>
      <c r="F5" s="28" t="n"/>
      <c r="G5" s="28" t="n"/>
      <c r="H5" s="24" t="n"/>
    </row>
    <row r="6" ht="15.75" customHeight="1">
      <c r="A6" s="76">
        <f>SUM(A12:A20)</f>
        <v/>
      </c>
      <c r="B6" s="76">
        <f>SUM(B12:B20)</f>
        <v/>
      </c>
      <c r="C6" s="76">
        <f>SUM(C12:C20)</f>
        <v/>
      </c>
      <c r="D6" s="52" t="n"/>
      <c r="E6" s="68" t="inlineStr">
        <is>
          <t xml:space="preserve">Smart Location &amp; Linkage </t>
        </is>
      </c>
      <c r="F6" s="68" t="n"/>
      <c r="G6" s="54" t="n"/>
      <c r="H6" s="55">
        <f>SUM(H12:H20)</f>
        <v/>
      </c>
      <c r="J6" s="76">
        <f>SUM(J11:J27)</f>
        <v/>
      </c>
      <c r="K6" s="76">
        <f>SUM(K11:K27)</f>
        <v/>
      </c>
      <c r="L6" s="76">
        <f>SUM(L11:L27)</f>
        <v/>
      </c>
      <c r="M6" s="89" t="n"/>
      <c r="N6" s="68" t="inlineStr">
        <is>
          <t>Green Infrastructure &amp; Buildings</t>
        </is>
      </c>
      <c r="O6" s="68" t="n"/>
      <c r="P6" s="54" t="n"/>
      <c r="Q6" s="55">
        <f>SUM(Q11:Q27)</f>
        <v/>
      </c>
    </row>
    <row r="7">
      <c r="A7" s="85" t="inlineStr">
        <is>
          <t>Y</t>
        </is>
      </c>
      <c r="B7" s="17" t="n"/>
      <c r="C7" s="37" t="n"/>
      <c r="D7" s="17" t="n"/>
      <c r="E7" s="94" t="inlineStr">
        <is>
          <t xml:space="preserve">Prereq </t>
        </is>
      </c>
      <c r="F7" s="34" t="inlineStr">
        <is>
          <t>Smart Location</t>
        </is>
      </c>
      <c r="G7" s="34" t="n"/>
      <c r="H7" s="35" t="inlineStr">
        <is>
          <t>Required</t>
        </is>
      </c>
      <c r="J7" s="84" t="n"/>
      <c r="K7" s="17" t="n"/>
      <c r="L7" s="37" t="inlineStr">
        <is>
          <t>N</t>
        </is>
      </c>
      <c r="M7" s="17" t="n"/>
      <c r="N7" s="94" t="inlineStr">
        <is>
          <t xml:space="preserve">Prereq </t>
        </is>
      </c>
      <c r="O7" s="34" t="inlineStr">
        <is>
          <t>Certified Green Building</t>
        </is>
      </c>
      <c r="P7" s="43" t="n"/>
      <c r="Q7" s="35" t="inlineStr">
        <is>
          <t>Required</t>
        </is>
      </c>
    </row>
    <row r="8">
      <c r="A8" s="85" t="inlineStr">
        <is>
          <t>Y</t>
        </is>
      </c>
      <c r="B8" s="17" t="n"/>
      <c r="C8" s="37" t="n"/>
      <c r="D8" s="17" t="n"/>
      <c r="E8" s="94" t="inlineStr">
        <is>
          <t xml:space="preserve">Prereq </t>
        </is>
      </c>
      <c r="F8" s="34" t="inlineStr">
        <is>
          <t xml:space="preserve">Imperiled Species and Ecological Communities </t>
        </is>
      </c>
      <c r="G8" s="34" t="n"/>
      <c r="H8" s="35" t="inlineStr">
        <is>
          <t>Required</t>
        </is>
      </c>
      <c r="J8" s="84" t="n"/>
      <c r="K8" s="17" t="n"/>
      <c r="L8" s="37" t="inlineStr">
        <is>
          <t>N</t>
        </is>
      </c>
      <c r="M8" s="17" t="n"/>
      <c r="N8" s="94" t="inlineStr">
        <is>
          <t xml:space="preserve">Prereq </t>
        </is>
      </c>
      <c r="O8" s="58" t="inlineStr">
        <is>
          <t>Minimum Building Energy Performance</t>
        </is>
      </c>
      <c r="P8" s="34" t="n"/>
      <c r="Q8" s="35" t="inlineStr">
        <is>
          <t>Required</t>
        </is>
      </c>
    </row>
    <row r="9">
      <c r="A9" s="85" t="n"/>
      <c r="B9" s="17" t="inlineStr">
        <is>
          <t>?</t>
        </is>
      </c>
      <c r="C9" s="37" t="n"/>
      <c r="D9" s="17" t="n"/>
      <c r="E9" s="94" t="inlineStr">
        <is>
          <t xml:space="preserve">Prereq </t>
        </is>
      </c>
      <c r="F9" s="34" t="inlineStr">
        <is>
          <t>WetlandS and Water Body Conservation</t>
        </is>
      </c>
      <c r="G9" s="34" t="n"/>
      <c r="H9" s="35" t="inlineStr">
        <is>
          <t>Required</t>
        </is>
      </c>
      <c r="J9" s="84" t="n"/>
      <c r="K9" s="17" t="inlineStr">
        <is>
          <t>?</t>
        </is>
      </c>
      <c r="L9" s="37" t="n"/>
      <c r="M9" s="17" t="n"/>
      <c r="N9" s="94" t="inlineStr">
        <is>
          <t xml:space="preserve">Prereq </t>
        </is>
      </c>
      <c r="O9" s="58" t="inlineStr">
        <is>
          <t>Indoor Water Use Reduction</t>
        </is>
      </c>
      <c r="P9" s="43" t="n"/>
      <c r="Q9" s="35" t="inlineStr">
        <is>
          <t>Required</t>
        </is>
      </c>
    </row>
    <row r="10">
      <c r="A10" s="85" t="inlineStr">
        <is>
          <t>Y</t>
        </is>
      </c>
      <c r="B10" s="17" t="n"/>
      <c r="C10" s="37" t="n"/>
      <c r="D10" s="17" t="n"/>
      <c r="E10" s="94" t="inlineStr">
        <is>
          <t xml:space="preserve">Prereq </t>
        </is>
      </c>
      <c r="F10" s="34" t="inlineStr">
        <is>
          <t>Agricultural Land Conservation</t>
        </is>
      </c>
      <c r="G10" s="34" t="n"/>
      <c r="H10" s="35" t="inlineStr">
        <is>
          <t>Required</t>
        </is>
      </c>
      <c r="J10" s="84" t="inlineStr">
        <is>
          <t>Y</t>
        </is>
      </c>
      <c r="K10" s="17" t="n"/>
      <c r="L10" s="37" t="n"/>
      <c r="M10" s="17" t="n"/>
      <c r="N10" s="94" t="inlineStr">
        <is>
          <t xml:space="preserve">Prereq </t>
        </is>
      </c>
      <c r="O10" s="34" t="inlineStr">
        <is>
          <t>Construction Activity Pollution Prevention</t>
        </is>
      </c>
      <c r="P10" s="34" t="n"/>
      <c r="Q10" s="35" t="inlineStr">
        <is>
          <t>Required</t>
        </is>
      </c>
    </row>
    <row r="11">
      <c r="A11" s="85" t="n"/>
      <c r="B11" s="17" t="inlineStr">
        <is>
          <t>?</t>
        </is>
      </c>
      <c r="C11" s="37" t="n"/>
      <c r="D11" s="17" t="n"/>
      <c r="E11" s="94" t="inlineStr">
        <is>
          <t xml:space="preserve">Prereq </t>
        </is>
      </c>
      <c r="F11" s="34" t="inlineStr">
        <is>
          <t>Floodplain Avoidance</t>
        </is>
      </c>
      <c r="G11" s="34" t="n"/>
      <c r="H11" s="35" t="inlineStr">
        <is>
          <t>Required</t>
        </is>
      </c>
      <c r="J11" s="74" t="n"/>
      <c r="K11" s="47" t="n"/>
      <c r="L11" s="48" t="n"/>
      <c r="M11" s="17" t="n"/>
      <c r="N11" s="95" t="inlineStr">
        <is>
          <t xml:space="preserve">Credit </t>
        </is>
      </c>
      <c r="O11" s="34" t="inlineStr">
        <is>
          <t>Certified Green Buildings</t>
        </is>
      </c>
      <c r="P11" s="34" t="n"/>
      <c r="Q11" s="35" t="n">
        <v>5</v>
      </c>
    </row>
    <row r="12">
      <c r="A12" s="74" t="n">
        <v>5</v>
      </c>
      <c r="B12" s="47" t="n">
        <v>2</v>
      </c>
      <c r="C12" s="48" t="n"/>
      <c r="D12" s="17" t="n"/>
      <c r="E12" s="95" t="inlineStr">
        <is>
          <t xml:space="preserve">Credit </t>
        </is>
      </c>
      <c r="F12" s="34" t="inlineStr">
        <is>
          <t>Preferred Locations</t>
        </is>
      </c>
      <c r="G12" s="34" t="n"/>
      <c r="H12" s="35" t="n">
        <v>10</v>
      </c>
      <c r="J12" s="74" t="n"/>
      <c r="K12" s="47" t="n"/>
      <c r="L12" s="48" t="n"/>
      <c r="M12" s="17" t="n"/>
      <c r="N12" s="95" t="inlineStr">
        <is>
          <t xml:space="preserve">Credit </t>
        </is>
      </c>
      <c r="O12" s="58" t="inlineStr">
        <is>
          <t>Optimize Building Energy Performance</t>
        </is>
      </c>
      <c r="P12" s="34" t="n"/>
      <c r="Q12" s="35" t="n">
        <v>2</v>
      </c>
    </row>
    <row r="13">
      <c r="A13" s="74" t="n"/>
      <c r="B13" s="47" t="n"/>
      <c r="C13" s="48" t="n"/>
      <c r="D13" s="17" t="n"/>
      <c r="E13" s="95" t="inlineStr">
        <is>
          <t xml:space="preserve">Credit </t>
        </is>
      </c>
      <c r="F13" s="34" t="inlineStr">
        <is>
          <t>Brownfield Remediation</t>
        </is>
      </c>
      <c r="G13" s="34" t="n"/>
      <c r="H13" s="35" t="n">
        <v>2</v>
      </c>
      <c r="J13" s="74" t="n"/>
      <c r="K13" s="47" t="n"/>
      <c r="L13" s="48" t="n"/>
      <c r="M13" s="17" t="n"/>
      <c r="N13" s="95" t="inlineStr">
        <is>
          <t xml:space="preserve">Credit </t>
        </is>
      </c>
      <c r="O13" s="58" t="inlineStr">
        <is>
          <t>Indoor Water Use Reduction</t>
        </is>
      </c>
      <c r="P13" s="34" t="n"/>
      <c r="Q13" s="35" t="n">
        <v>1</v>
      </c>
    </row>
    <row r="14">
      <c r="A14" s="74" t="n">
        <v>1</v>
      </c>
      <c r="B14" s="47" t="n">
        <v>2</v>
      </c>
      <c r="C14" s="48" t="n"/>
      <c r="D14" s="17" t="n"/>
      <c r="E14" s="95" t="inlineStr">
        <is>
          <t xml:space="preserve">Credit </t>
        </is>
      </c>
      <c r="F14" s="34" t="inlineStr">
        <is>
          <t>Access to Quality Transit</t>
        </is>
      </c>
      <c r="G14" s="34" t="n"/>
      <c r="H14" s="35" t="n">
        <v>7</v>
      </c>
      <c r="J14" s="74" t="n"/>
      <c r="K14" s="47" t="n"/>
      <c r="L14" s="48" t="n"/>
      <c r="M14" s="17" t="n"/>
      <c r="N14" s="95" t="inlineStr">
        <is>
          <t xml:space="preserve">Credit </t>
        </is>
      </c>
      <c r="O14" s="34" t="inlineStr">
        <is>
          <t>Outdoor Water Use Reduction</t>
        </is>
      </c>
      <c r="P14" s="34" t="n"/>
      <c r="Q14" s="35" t="n">
        <v>2</v>
      </c>
    </row>
    <row r="15">
      <c r="A15" s="74" t="n"/>
      <c r="B15" s="47" t="n">
        <v>1</v>
      </c>
      <c r="C15" s="48" t="n"/>
      <c r="D15" s="17" t="n"/>
      <c r="E15" s="95" t="inlineStr">
        <is>
          <t xml:space="preserve">Credit </t>
        </is>
      </c>
      <c r="F15" s="34" t="inlineStr">
        <is>
          <t xml:space="preserve">Bicycle Facilities </t>
        </is>
      </c>
      <c r="G15" s="34" t="n"/>
      <c r="H15" s="35" t="n">
        <v>2</v>
      </c>
      <c r="J15" s="74" t="n">
        <v>1</v>
      </c>
      <c r="K15" s="47" t="n"/>
      <c r="L15" s="48" t="n"/>
      <c r="M15" s="17" t="n"/>
      <c r="N15" s="95" t="inlineStr">
        <is>
          <t xml:space="preserve">Credit </t>
        </is>
      </c>
      <c r="O15" s="34" t="inlineStr">
        <is>
          <t>Building Reuse</t>
        </is>
      </c>
      <c r="P15" s="34" t="n"/>
      <c r="Q15" s="35" t="n">
        <v>1</v>
      </c>
    </row>
    <row r="16">
      <c r="A16" s="74" t="n">
        <v>1</v>
      </c>
      <c r="B16" s="47" t="n">
        <v>1</v>
      </c>
      <c r="C16" s="48" t="n"/>
      <c r="D16" s="17" t="n"/>
      <c r="E16" s="95" t="inlineStr">
        <is>
          <t xml:space="preserve">Credit </t>
        </is>
      </c>
      <c r="F16" s="34" t="inlineStr">
        <is>
          <t>Housing and Jobs Proximity</t>
        </is>
      </c>
      <c r="G16" s="34" t="n"/>
      <c r="H16" s="35" t="n">
        <v>3</v>
      </c>
      <c r="J16" s="74" t="n"/>
      <c r="K16" s="47" t="n">
        <v>1</v>
      </c>
      <c r="L16" s="48" t="n"/>
      <c r="M16" s="17" t="n"/>
      <c r="N16" s="95" t="inlineStr">
        <is>
          <t xml:space="preserve">Credit </t>
        </is>
      </c>
      <c r="O16" s="34" t="inlineStr">
        <is>
          <t>Historic Resource Preservation and Adaptive Reuse</t>
        </is>
      </c>
      <c r="P16" s="34" t="n"/>
      <c r="Q16" s="35" t="n">
        <v>2</v>
      </c>
    </row>
    <row r="17">
      <c r="A17" s="74" t="n"/>
      <c r="B17" s="47" t="n"/>
      <c r="C17" s="48" t="n"/>
      <c r="D17" s="17" t="n"/>
      <c r="E17" s="95" t="inlineStr">
        <is>
          <t xml:space="preserve">Credit </t>
        </is>
      </c>
      <c r="F17" s="34" t="inlineStr">
        <is>
          <t>Steep Slope Protection</t>
        </is>
      </c>
      <c r="G17" s="34" t="n"/>
      <c r="H17" s="35" t="n">
        <v>1</v>
      </c>
      <c r="J17" s="74" t="n"/>
      <c r="K17" s="47" t="n"/>
      <c r="L17" s="48" t="n"/>
      <c r="M17" s="17" t="n"/>
      <c r="N17" s="95" t="inlineStr">
        <is>
          <t xml:space="preserve">Credit </t>
        </is>
      </c>
      <c r="O17" s="34" t="inlineStr">
        <is>
          <t>Minimized Site Disturbance</t>
        </is>
      </c>
      <c r="P17" s="34" t="n"/>
      <c r="Q17" s="35" t="n">
        <v>1</v>
      </c>
    </row>
    <row r="18">
      <c r="A18" s="74" t="n"/>
      <c r="B18" s="47" t="n"/>
      <c r="C18" s="48" t="n"/>
      <c r="D18" s="17" t="n"/>
      <c r="E18" s="95" t="inlineStr">
        <is>
          <t xml:space="preserve">Credit </t>
        </is>
      </c>
      <c r="F18" s="34" t="inlineStr">
        <is>
          <t>Site Design for Habitat or Wetland and Water Body Conservation</t>
        </is>
      </c>
      <c r="G18" s="34" t="n"/>
      <c r="H18" s="35" t="n">
        <v>1</v>
      </c>
      <c r="J18" s="74" t="n"/>
      <c r="K18" s="47" t="n">
        <v>1</v>
      </c>
      <c r="L18" s="48" t="n"/>
      <c r="M18" s="17" t="n"/>
      <c r="N18" s="95" t="inlineStr">
        <is>
          <t xml:space="preserve">Credit </t>
        </is>
      </c>
      <c r="O18" s="34" t="inlineStr">
        <is>
          <t>Rainwater Management</t>
        </is>
      </c>
      <c r="P18" s="34" t="n"/>
      <c r="Q18" s="35" t="n">
        <v>4</v>
      </c>
    </row>
    <row r="19">
      <c r="A19" s="74" t="n"/>
      <c r="B19" s="47" t="n"/>
      <c r="C19" s="48" t="n"/>
      <c r="D19" s="17" t="n"/>
      <c r="E19" s="95" t="inlineStr">
        <is>
          <t xml:space="preserve">Credit </t>
        </is>
      </c>
      <c r="F19" s="34" t="inlineStr">
        <is>
          <t xml:space="preserve">Restoration of Habitat or Wetlands and Water Bodies </t>
        </is>
      </c>
      <c r="G19" s="34" t="n"/>
      <c r="H19" s="35" t="n">
        <v>1</v>
      </c>
      <c r="J19" s="74" t="n"/>
      <c r="K19" s="47" t="n"/>
      <c r="L19" s="48" t="n"/>
      <c r="M19" s="17" t="n"/>
      <c r="N19" s="95" t="inlineStr">
        <is>
          <t xml:space="preserve">Credit </t>
        </is>
      </c>
      <c r="O19" s="34" t="inlineStr">
        <is>
          <t>Heat Island Reduction</t>
        </is>
      </c>
      <c r="P19" s="34" t="n"/>
      <c r="Q19" s="35" t="n">
        <v>1</v>
      </c>
    </row>
    <row r="20" ht="24.75" customFormat="1" customHeight="1" s="60">
      <c r="A20" s="75" t="n"/>
      <c r="B20" s="49" t="n"/>
      <c r="C20" s="50" t="n"/>
      <c r="D20" s="86" t="n"/>
      <c r="E20" s="95" t="inlineStr">
        <is>
          <t xml:space="preserve">Credit </t>
        </is>
      </c>
      <c r="F20" s="99" t="inlineStr">
        <is>
          <t>Long-Term Conservation Management of Habitat or Wetlands and Water Bodies</t>
        </is>
      </c>
      <c r="H20" s="22" t="n">
        <v>1</v>
      </c>
      <c r="I20" s="59" t="n"/>
      <c r="J20" s="74" t="n"/>
      <c r="K20" s="47" t="n"/>
      <c r="L20" s="48" t="n"/>
      <c r="M20" s="17" t="n"/>
      <c r="N20" s="95" t="inlineStr">
        <is>
          <t xml:space="preserve">Credit </t>
        </is>
      </c>
      <c r="O20" s="34" t="inlineStr">
        <is>
          <t>Solar Orientation</t>
        </is>
      </c>
      <c r="P20" s="34" t="n"/>
      <c r="Q20" s="35" t="n">
        <v>1</v>
      </c>
      <c r="R20" s="59" t="n"/>
      <c r="S20" s="59" t="n"/>
      <c r="T20" s="59" t="n"/>
      <c r="U20" s="59" t="n"/>
      <c r="V20" s="59" t="n"/>
      <c r="W20" s="59" t="n"/>
      <c r="X20" s="59" t="n"/>
      <c r="Y20" s="59" t="n"/>
      <c r="Z20" s="59" t="n"/>
      <c r="AA20" s="59" t="n"/>
      <c r="AB20" s="59" t="n"/>
      <c r="AC20" s="59" t="n"/>
      <c r="AD20" s="59" t="n"/>
    </row>
    <row r="21" customFormat="1" s="62">
      <c r="A21" s="27" t="n"/>
      <c r="B21" s="27" t="n"/>
      <c r="C21" s="27" t="n"/>
      <c r="D21" s="28" t="n"/>
      <c r="E21" s="28" t="n"/>
      <c r="F21" s="28" t="n"/>
      <c r="G21" s="28" t="n"/>
      <c r="H21" s="24" t="n"/>
      <c r="J21" s="74" t="n"/>
      <c r="K21" s="47" t="n"/>
      <c r="L21" s="48" t="n"/>
      <c r="M21" s="17" t="n"/>
      <c r="N21" s="95" t="inlineStr">
        <is>
          <t xml:space="preserve">Credit </t>
        </is>
      </c>
      <c r="O21" s="58" t="inlineStr">
        <is>
          <t>Renewable Energy Production</t>
        </is>
      </c>
      <c r="P21" s="34" t="n"/>
      <c r="Q21" s="35" t="n">
        <v>3</v>
      </c>
    </row>
    <row r="22">
      <c r="A22" s="76">
        <f>SUM(A26:A40)</f>
        <v/>
      </c>
      <c r="B22" s="76">
        <f>SUM(B26:B40)</f>
        <v/>
      </c>
      <c r="C22" s="76">
        <f>SUM(C26:C40)</f>
        <v/>
      </c>
      <c r="D22" s="91" t="n"/>
      <c r="E22" s="68" t="inlineStr">
        <is>
          <t>Neighborhood Pattern &amp; Design</t>
        </is>
      </c>
      <c r="F22" s="68" t="n"/>
      <c r="G22" s="54" t="n"/>
      <c r="H22" s="55">
        <f>SUM(H26:H40)</f>
        <v/>
      </c>
      <c r="J22" s="74" t="n"/>
      <c r="K22" s="47" t="n"/>
      <c r="L22" s="48" t="n"/>
      <c r="M22" s="17" t="n"/>
      <c r="N22" s="95" t="inlineStr">
        <is>
          <t xml:space="preserve">Credit </t>
        </is>
      </c>
      <c r="O22" s="34" t="inlineStr">
        <is>
          <t>District Heating and Cooling</t>
        </is>
      </c>
      <c r="P22" s="34" t="n"/>
      <c r="Q22" s="35" t="n">
        <v>2</v>
      </c>
    </row>
    <row r="23">
      <c r="A23" s="85" t="inlineStr">
        <is>
          <t>Y</t>
        </is>
      </c>
      <c r="B23" s="17" t="n"/>
      <c r="C23" s="37" t="n"/>
      <c r="D23" s="17" t="n"/>
      <c r="E23" s="94" t="inlineStr">
        <is>
          <t xml:space="preserve">Prereq </t>
        </is>
      </c>
      <c r="F23" s="34" t="inlineStr">
        <is>
          <t xml:space="preserve">Walkable Streets </t>
        </is>
      </c>
      <c r="G23" s="34" t="n"/>
      <c r="H23" s="35" t="inlineStr">
        <is>
          <t>Required</t>
        </is>
      </c>
      <c r="J23" s="74" t="n"/>
      <c r="K23" s="47" t="n"/>
      <c r="L23" s="48" t="n"/>
      <c r="M23" s="17" t="n"/>
      <c r="N23" s="95" t="inlineStr">
        <is>
          <t xml:space="preserve">Credit </t>
        </is>
      </c>
      <c r="O23" s="34" t="inlineStr">
        <is>
          <t>Infrastructure Energy Efficiency</t>
        </is>
      </c>
      <c r="P23" s="34" t="n"/>
      <c r="Q23" s="35" t="n">
        <v>1</v>
      </c>
    </row>
    <row r="24">
      <c r="A24" s="85" t="n"/>
      <c r="B24" s="17" t="inlineStr">
        <is>
          <t>?</t>
        </is>
      </c>
      <c r="C24" s="37" t="n"/>
      <c r="D24" s="17" t="n"/>
      <c r="E24" s="94" t="inlineStr">
        <is>
          <t xml:space="preserve">Prereq </t>
        </is>
      </c>
      <c r="F24" s="34" t="inlineStr">
        <is>
          <t xml:space="preserve">Compact Development </t>
        </is>
      </c>
      <c r="G24" s="34" t="n"/>
      <c r="H24" s="35" t="inlineStr">
        <is>
          <t>Required</t>
        </is>
      </c>
      <c r="J24" s="74" t="n"/>
      <c r="K24" s="47" t="n"/>
      <c r="L24" s="48" t="n"/>
      <c r="M24" s="17" t="n"/>
      <c r="N24" s="95" t="inlineStr">
        <is>
          <t xml:space="preserve">Credit </t>
        </is>
      </c>
      <c r="O24" s="34" t="inlineStr">
        <is>
          <t>Wastewater Management</t>
        </is>
      </c>
      <c r="P24" s="34" t="n"/>
      <c r="Q24" s="35" t="n">
        <v>2</v>
      </c>
    </row>
    <row r="25">
      <c r="A25" s="85" t="n"/>
      <c r="B25" s="17" t="inlineStr">
        <is>
          <t>?</t>
        </is>
      </c>
      <c r="C25" s="37" t="n"/>
      <c r="D25" s="17" t="n"/>
      <c r="E25" s="94" t="inlineStr">
        <is>
          <t xml:space="preserve">Prereq </t>
        </is>
      </c>
      <c r="F25" s="34" t="inlineStr">
        <is>
          <t>Connected and Open Community</t>
        </is>
      </c>
      <c r="G25" s="34" t="n"/>
      <c r="H25" s="35" t="inlineStr">
        <is>
          <t>Required</t>
        </is>
      </c>
      <c r="J25" s="74" t="n"/>
      <c r="K25" s="47" t="n"/>
      <c r="L25" s="48" t="n"/>
      <c r="M25" s="17" t="n"/>
      <c r="N25" s="95" t="inlineStr">
        <is>
          <t xml:space="preserve">Credit </t>
        </is>
      </c>
      <c r="O25" s="34" t="inlineStr">
        <is>
          <t>Recycled and Reused Infrastructure</t>
        </is>
      </c>
      <c r="P25" s="34" t="n"/>
      <c r="Q25" s="35" t="n">
        <v>1</v>
      </c>
    </row>
    <row r="26">
      <c r="A26" s="74" t="n">
        <v>3</v>
      </c>
      <c r="B26" s="47" t="n">
        <v>2</v>
      </c>
      <c r="C26" s="48" t="n"/>
      <c r="D26" s="17" t="n"/>
      <c r="E26" s="95" t="inlineStr">
        <is>
          <t xml:space="preserve">Credit </t>
        </is>
      </c>
      <c r="F26" s="34" t="inlineStr">
        <is>
          <t xml:space="preserve">Walkable Streets </t>
        </is>
      </c>
      <c r="G26" s="34" t="n"/>
      <c r="H26" s="35" t="n">
        <v>9</v>
      </c>
      <c r="J26" s="74" t="n">
        <v>1</v>
      </c>
      <c r="K26" s="47" t="n"/>
      <c r="L26" s="48" t="n"/>
      <c r="M26" s="17" t="n"/>
      <c r="N26" s="95" t="inlineStr">
        <is>
          <t xml:space="preserve">Credit </t>
        </is>
      </c>
      <c r="O26" s="34" t="inlineStr">
        <is>
          <t>Solid Waste Management</t>
        </is>
      </c>
      <c r="P26" s="34" t="n"/>
      <c r="Q26" s="35" t="n">
        <v>1</v>
      </c>
    </row>
    <row r="27">
      <c r="A27" s="74" t="n"/>
      <c r="B27" s="47" t="n">
        <v>1</v>
      </c>
      <c r="C27" s="48" t="n"/>
      <c r="D27" s="17" t="n"/>
      <c r="E27" s="95" t="inlineStr">
        <is>
          <t xml:space="preserve">Credit </t>
        </is>
      </c>
      <c r="F27" s="34" t="inlineStr">
        <is>
          <t xml:space="preserve">Compact Development  </t>
        </is>
      </c>
      <c r="G27" s="34" t="n"/>
      <c r="H27" s="35" t="n">
        <v>6</v>
      </c>
      <c r="J27" s="74" t="n"/>
      <c r="K27" s="47" t="n">
        <v>1</v>
      </c>
      <c r="L27" s="48" t="n"/>
      <c r="M27" s="17" t="n"/>
      <c r="N27" s="95" t="inlineStr">
        <is>
          <t xml:space="preserve">Credit </t>
        </is>
      </c>
      <c r="O27" s="34" t="inlineStr">
        <is>
          <t>Light Pollution Reduction</t>
        </is>
      </c>
      <c r="P27" s="34" t="n"/>
      <c r="Q27" s="35" t="n">
        <v>1</v>
      </c>
    </row>
    <row r="28">
      <c r="A28" s="74" t="n">
        <v>1</v>
      </c>
      <c r="B28" s="47" t="n">
        <v>1</v>
      </c>
      <c r="C28" s="48" t="n"/>
      <c r="D28" s="17" t="n"/>
      <c r="E28" s="95" t="inlineStr">
        <is>
          <t xml:space="preserve">Credit </t>
        </is>
      </c>
      <c r="F28" s="34" t="inlineStr">
        <is>
          <t>Mixed-Use Neighborhoods</t>
        </is>
      </c>
      <c r="G28" s="34" t="n"/>
      <c r="H28" s="35" t="n">
        <v>4</v>
      </c>
      <c r="J28" s="27" t="n"/>
      <c r="K28" s="27" t="n"/>
      <c r="L28" s="27" t="n"/>
      <c r="M28" s="28" t="n"/>
      <c r="N28" s="28" t="n"/>
      <c r="O28" s="28" t="n"/>
      <c r="P28" s="28" t="n"/>
      <c r="Q28" s="24" t="n"/>
    </row>
    <row r="29">
      <c r="A29" s="74" t="n"/>
      <c r="B29" s="47" t="n">
        <v>1</v>
      </c>
      <c r="C29" s="48" t="n"/>
      <c r="D29" s="17" t="n"/>
      <c r="E29" s="95" t="inlineStr">
        <is>
          <t xml:space="preserve">Credit </t>
        </is>
      </c>
      <c r="F29" s="34" t="inlineStr">
        <is>
          <t>Housing Types and Affordability</t>
        </is>
      </c>
      <c r="G29" s="34" t="n"/>
      <c r="H29" s="35" t="n">
        <v>7</v>
      </c>
      <c r="J29" s="76">
        <f>SUM(J30:J32)</f>
        <v/>
      </c>
      <c r="K29" s="76">
        <f>SUM(K30:K32)</f>
        <v/>
      </c>
      <c r="L29" s="76">
        <f>SUM(L30:L32)</f>
        <v/>
      </c>
      <c r="M29" s="69" t="n"/>
      <c r="N29" s="69" t="inlineStr">
        <is>
          <t>Innovation &amp; Design Process</t>
        </is>
      </c>
      <c r="O29" s="69" t="n"/>
      <c r="P29" s="67" t="n"/>
      <c r="Q29" s="55">
        <f>SUM(Q30:Q31)</f>
        <v/>
      </c>
    </row>
    <row r="30">
      <c r="A30" s="74" t="n"/>
      <c r="B30" s="47" t="n"/>
      <c r="C30" s="48" t="n"/>
      <c r="D30" s="17" t="n"/>
      <c r="E30" s="95" t="inlineStr">
        <is>
          <t xml:space="preserve">Credit </t>
        </is>
      </c>
      <c r="F30" s="34" t="inlineStr">
        <is>
          <t xml:space="preserve">Reduced Parking Footprint </t>
        </is>
      </c>
      <c r="G30" s="34" t="n"/>
      <c r="H30" s="35" t="n">
        <v>1</v>
      </c>
      <c r="J30" s="74" t="n"/>
      <c r="K30" s="47" t="n"/>
      <c r="L30" s="48" t="n"/>
      <c r="M30" s="17" t="n"/>
      <c r="N30" s="95" t="inlineStr">
        <is>
          <t xml:space="preserve">Credit </t>
        </is>
      </c>
      <c r="O30" s="17" t="inlineStr">
        <is>
          <t xml:space="preserve">Innovation  </t>
        </is>
      </c>
      <c r="P30" s="17" t="n"/>
      <c r="Q30" s="35" t="n">
        <v>5</v>
      </c>
    </row>
    <row r="31">
      <c r="A31" s="74" t="n"/>
      <c r="B31" s="47" t="n">
        <v>1</v>
      </c>
      <c r="C31" s="48" t="n"/>
      <c r="D31" s="17" t="n"/>
      <c r="E31" s="95" t="inlineStr">
        <is>
          <t xml:space="preserve">Credit </t>
        </is>
      </c>
      <c r="F31" s="34" t="inlineStr">
        <is>
          <t>Connected and Open Community</t>
        </is>
      </c>
      <c r="G31" s="34" t="n"/>
      <c r="H31" s="35" t="n">
        <v>2</v>
      </c>
      <c r="J31" s="74" t="n"/>
      <c r="K31" s="47" t="n"/>
      <c r="L31" s="48" t="n"/>
      <c r="M31" s="17" t="n"/>
      <c r="N31" s="95" t="inlineStr">
        <is>
          <t xml:space="preserve">Credit </t>
        </is>
      </c>
      <c r="O31" s="17" t="inlineStr">
        <is>
          <t>LEED® Accredited Professional</t>
        </is>
      </c>
      <c r="P31" s="17" t="n"/>
      <c r="Q31" s="35" t="n">
        <v>1</v>
      </c>
    </row>
    <row r="32">
      <c r="A32" s="74" t="n">
        <v>1</v>
      </c>
      <c r="B32" s="47" t="n"/>
      <c r="C32" s="48" t="n"/>
      <c r="D32" s="17" t="n"/>
      <c r="E32" s="95" t="inlineStr">
        <is>
          <t xml:space="preserve">Credit </t>
        </is>
      </c>
      <c r="F32" s="34" t="inlineStr">
        <is>
          <t xml:space="preserve">Transit Facilities </t>
        </is>
      </c>
      <c r="G32" s="34" t="n"/>
      <c r="H32" s="35" t="n">
        <v>1</v>
      </c>
      <c r="J32" s="27" t="n"/>
      <c r="K32" s="27" t="n"/>
      <c r="L32" s="27" t="n"/>
      <c r="Q32" s="64" t="n"/>
    </row>
    <row r="33">
      <c r="A33" s="74" t="n"/>
      <c r="B33" s="47" t="n"/>
      <c r="C33" s="48" t="n"/>
      <c r="D33" s="17" t="n"/>
      <c r="E33" s="95" t="inlineStr">
        <is>
          <t xml:space="preserve">Credit </t>
        </is>
      </c>
      <c r="F33" s="34" t="inlineStr">
        <is>
          <t>Transportation Demand Management</t>
        </is>
      </c>
      <c r="G33" s="34" t="n"/>
      <c r="H33" s="35" t="n">
        <v>2</v>
      </c>
      <c r="J33" s="76">
        <f>SUM(J34:J37)</f>
        <v/>
      </c>
      <c r="K33" s="76">
        <f>SUM(K34:K37)</f>
        <v/>
      </c>
      <c r="L33" s="76">
        <f>SUM(L34:L37)</f>
        <v/>
      </c>
      <c r="M33" s="69" t="n"/>
      <c r="N33" s="69" t="inlineStr">
        <is>
          <t>Regional Priority Credits</t>
        </is>
      </c>
      <c r="O33" s="69" t="n"/>
      <c r="P33" s="67" t="n"/>
      <c r="Q33" s="55">
        <f>SUM(Q34:Q37)</f>
        <v/>
      </c>
    </row>
    <row r="34">
      <c r="A34" s="74" t="n">
        <v>1</v>
      </c>
      <c r="B34" s="47" t="n"/>
      <c r="C34" s="48" t="n"/>
      <c r="D34" s="17" t="n"/>
      <c r="E34" s="95" t="inlineStr">
        <is>
          <t xml:space="preserve">Credit </t>
        </is>
      </c>
      <c r="F34" s="34" t="inlineStr">
        <is>
          <t>Access to Civic &amp; Public Space</t>
        </is>
      </c>
      <c r="G34" s="34" t="n"/>
      <c r="H34" s="35" t="n">
        <v>1</v>
      </c>
      <c r="J34" s="74" t="n"/>
      <c r="K34" s="47" t="n"/>
      <c r="L34" s="48" t="n"/>
      <c r="M34" s="17" t="n"/>
      <c r="N34" s="95" t="inlineStr">
        <is>
          <t xml:space="preserve">Credit </t>
        </is>
      </c>
      <c r="O34" s="17" t="inlineStr">
        <is>
          <t>Regional Priority Credit: Region Defined</t>
        </is>
      </c>
      <c r="P34" s="17" t="n"/>
      <c r="Q34" s="37" t="n">
        <v>1</v>
      </c>
    </row>
    <row r="35">
      <c r="A35" s="74" t="n">
        <v>1</v>
      </c>
      <c r="B35" s="47" t="n"/>
      <c r="C35" s="48" t="n"/>
      <c r="D35" s="17" t="n"/>
      <c r="E35" s="95" t="inlineStr">
        <is>
          <t xml:space="preserve">Credit </t>
        </is>
      </c>
      <c r="F35" s="34" t="inlineStr">
        <is>
          <t>Access to Recreation Facilities</t>
        </is>
      </c>
      <c r="G35" s="34" t="n"/>
      <c r="H35" s="35" t="n">
        <v>1</v>
      </c>
      <c r="J35" s="74" t="n"/>
      <c r="K35" s="47" t="n">
        <v>1</v>
      </c>
      <c r="L35" s="48" t="n"/>
      <c r="M35" s="17" t="n"/>
      <c r="N35" s="95" t="inlineStr">
        <is>
          <t xml:space="preserve">Credit </t>
        </is>
      </c>
      <c r="O35" s="17" t="inlineStr">
        <is>
          <t>Regional Priority Credit: Region Defined</t>
        </is>
      </c>
      <c r="P35" s="17" t="n"/>
      <c r="Q35" s="37" t="n">
        <v>1</v>
      </c>
    </row>
    <row r="36">
      <c r="A36" s="74" t="n"/>
      <c r="B36" s="47" t="n"/>
      <c r="C36" s="48" t="n"/>
      <c r="D36" s="17" t="n"/>
      <c r="E36" s="95" t="inlineStr">
        <is>
          <t xml:space="preserve">Credit </t>
        </is>
      </c>
      <c r="F36" s="34" t="inlineStr">
        <is>
          <t>Visitability and Universal Design</t>
        </is>
      </c>
      <c r="G36" s="34" t="n"/>
      <c r="H36" s="35" t="n">
        <v>1</v>
      </c>
      <c r="J36" s="74" t="n"/>
      <c r="K36" s="47" t="n"/>
      <c r="L36" s="48" t="n"/>
      <c r="M36" s="17" t="n"/>
      <c r="N36" s="95" t="inlineStr">
        <is>
          <t xml:space="preserve">Credit </t>
        </is>
      </c>
      <c r="O36" s="17" t="inlineStr">
        <is>
          <t>Regional Priority Credit: Region Defined</t>
        </is>
      </c>
      <c r="P36" s="17" t="n"/>
      <c r="Q36" s="37" t="n">
        <v>1</v>
      </c>
    </row>
    <row r="37">
      <c r="A37" s="74" t="n">
        <v>1</v>
      </c>
      <c r="B37" s="47" t="n">
        <v>1</v>
      </c>
      <c r="C37" s="48" t="n"/>
      <c r="D37" s="17" t="n"/>
      <c r="E37" s="95" t="inlineStr">
        <is>
          <t xml:space="preserve">Credit </t>
        </is>
      </c>
      <c r="F37" s="34" t="inlineStr">
        <is>
          <t xml:space="preserve">Community Outreach and Involvement </t>
        </is>
      </c>
      <c r="G37" s="34" t="n"/>
      <c r="H37" s="35" t="n">
        <v>2</v>
      </c>
      <c r="J37" s="74" t="n"/>
      <c r="K37" s="47" t="n"/>
      <c r="L37" s="48" t="n"/>
      <c r="M37" s="17" t="n"/>
      <c r="N37" s="95" t="inlineStr">
        <is>
          <t xml:space="preserve">Credit </t>
        </is>
      </c>
      <c r="O37" s="17" t="inlineStr">
        <is>
          <t>Regional Priority Credit: Region Defined</t>
        </is>
      </c>
      <c r="P37" s="17" t="n"/>
      <c r="Q37" s="37" t="n">
        <v>1</v>
      </c>
    </row>
    <row r="38">
      <c r="A38" s="74" t="n">
        <v>1</v>
      </c>
      <c r="B38" s="47" t="n"/>
      <c r="C38" s="48" t="n"/>
      <c r="D38" s="17" t="n"/>
      <c r="E38" s="95" t="inlineStr">
        <is>
          <t xml:space="preserve">Credit </t>
        </is>
      </c>
      <c r="F38" s="34" t="inlineStr">
        <is>
          <t>Local Food Production</t>
        </is>
      </c>
      <c r="G38" s="34" t="n"/>
      <c r="H38" s="35" t="n">
        <v>1</v>
      </c>
      <c r="J38" s="27" t="n"/>
      <c r="K38" s="27" t="n"/>
      <c r="L38" s="27" t="n"/>
      <c r="M38" s="28" t="n"/>
      <c r="N38" s="28" t="n"/>
      <c r="O38" s="28" t="n"/>
      <c r="P38" s="28" t="n"/>
      <c r="Q38" s="24" t="n"/>
    </row>
    <row r="39">
      <c r="A39" s="74" t="n">
        <v>1</v>
      </c>
      <c r="B39" s="47" t="n">
        <v>1</v>
      </c>
      <c r="C39" s="48" t="n"/>
      <c r="D39" s="17" t="n"/>
      <c r="E39" s="95" t="inlineStr">
        <is>
          <t xml:space="preserve">Credit </t>
        </is>
      </c>
      <c r="F39" s="34" t="inlineStr">
        <is>
          <t>Tree-Lined and Shaded Streetscapes</t>
        </is>
      </c>
      <c r="G39" s="34" t="n"/>
      <c r="H39" s="35" t="n">
        <v>2</v>
      </c>
      <c r="J39" s="92">
        <f>SUM(A6, A22, J6, J29, J33)</f>
        <v/>
      </c>
      <c r="K39" s="87">
        <f>SUM(B6, B22, K6, K29, K33)</f>
        <v/>
      </c>
      <c r="L39" s="93">
        <f>SUM(C6, C22, L6, L29, L33)</f>
        <v/>
      </c>
      <c r="M39" s="79" t="n"/>
      <c r="N39" s="79" t="inlineStr">
        <is>
          <t>Project Totals  (Certification estimates)</t>
        </is>
      </c>
      <c r="O39" s="79" t="n"/>
      <c r="P39" s="80" t="n"/>
      <c r="Q39" s="88">
        <f>SUM(Q33+Q29+Q6+H22+H6)</f>
        <v/>
      </c>
    </row>
    <row r="40">
      <c r="A40" s="74" t="n">
        <v>1</v>
      </c>
      <c r="B40" s="47" t="n"/>
      <c r="C40" s="48" t="n"/>
      <c r="D40" s="17" t="n"/>
      <c r="E40" s="95" t="inlineStr">
        <is>
          <t xml:space="preserve">Credit </t>
        </is>
      </c>
      <c r="F40" s="34" t="inlineStr">
        <is>
          <t>Neighborhood Schools</t>
        </is>
      </c>
      <c r="G40" s="34" t="n"/>
      <c r="H40" s="35" t="n">
        <v>1</v>
      </c>
      <c r="J40" s="98" t="inlineStr">
        <is>
          <t>Certified:  40-49 points,  Silver:  50-59 points,  Gold:  60-79 points,  Platinum:  80+ points</t>
        </is>
      </c>
      <c r="L40" s="39" t="n"/>
      <c r="M40" s="39" t="n"/>
      <c r="O40" s="1" t="n"/>
      <c r="P40" s="2" t="n"/>
      <c r="Q40" s="3" t="n"/>
    </row>
    <row r="41" customFormat="1" s="62">
      <c r="A41" s="27" t="n"/>
      <c r="B41" s="27" t="n"/>
      <c r="C41" s="27" t="n"/>
      <c r="D41" s="28" t="n"/>
      <c r="E41" s="28" t="n"/>
      <c r="F41" s="28" t="n"/>
      <c r="G41" s="28" t="n"/>
      <c r="H41" s="24" t="n"/>
    </row>
    <row r="43">
      <c r="E43" t="inlineStr">
        <is>
          <t>INTERPRETIVE LEED-ND EVALUATION - The Cove, Deerfield Beach FL (2026-07-03)</t>
        </is>
      </c>
    </row>
    <row r="44">
      <c r="E44" t="inlineStr">
        <is>
          <t>NOT an official certification. LEED-ND rates NEW development/redevelopment projects; The Cove is an existing 1956 neighborhood.</t>
        </is>
      </c>
    </row>
    <row r="45">
      <c r="E45" t="inlineStr">
        <is>
          <t>Point cells above = interpretive estimate of how the existing neighborhood aligns with each credit (col A/J = likely; col B/K = possible/partial).</t>
        </is>
      </c>
    </row>
    <row r="46">
      <c r="E46" t="inlineStr">
        <is>
          <t>PREREQUISITE REALITY (decisive): GIB 'Certified Green Building' and 'Minimum Building Energy Performance' are NOT met for existing housing;</t>
        </is>
      </c>
    </row>
    <row r="47">
      <c r="E47" t="inlineStr">
        <is>
          <t xml:space="preserve">  'Wetland &amp; Water Body Conservation', 'Floodplain Avoidance' (FEMA Zone AE), 'Compact Development' (low density) and 'Connected &amp; Open Community' are AT RISK.</t>
        </is>
      </c>
    </row>
    <row r="48">
      <c r="E48" t="inlineStr">
        <is>
          <t xml:space="preserve">  =&gt; As-is, The Cove could NOT be certified without new green-building activity and prerequisite documentation.</t>
        </is>
      </c>
    </row>
    <row r="49">
      <c r="E49" t="inlineStr">
        <is>
          <t>INTERPRETIVE SCORE: ~20 'likely' points; up to ~41 if every partial/uncertain credit is pursued &amp; documented. Realistic ~28-32 -&gt; below the 40-pt Certified floor.</t>
        </is>
      </c>
    </row>
    <row r="50">
      <c r="E50" t="inlineStr">
        <is>
          <t>STRENGTHS: infill location, parks/recreation (Sullivan Park, pier, Deerfield Island), walkable retail node, schools, farmers market, tree canopy, civic association.</t>
        </is>
      </c>
    </row>
    <row r="51">
      <c r="E51" t="inlineStr">
        <is>
          <t>WEAKNESSES: low residential density, limited housing diversity/affordability, car-dependent transit, coastal floodplain exposure, no green-building/energy program.</t>
        </is>
      </c>
    </row>
    <row r="64" customFormat="1" s="62"/>
    <row r="68" customFormat="1" s="62"/>
    <row r="74" customFormat="1" s="62"/>
    <row r="77" customFormat="1" s="62">
      <c r="H77" s="64" t="n"/>
    </row>
    <row r="78" customFormat="1" s="62">
      <c r="H78" s="64" t="n"/>
    </row>
    <row r="79" customFormat="1" s="62">
      <c r="H79" s="64" t="n"/>
    </row>
    <row r="80" customFormat="1" s="62">
      <c r="H80" s="64" t="n"/>
    </row>
    <row r="81" customFormat="1" s="62">
      <c r="H81" s="64" t="n"/>
    </row>
    <row r="82" customFormat="1" s="62">
      <c r="H82" s="64" t="n"/>
    </row>
    <row r="83" customFormat="1" s="62">
      <c r="H83" s="64" t="n"/>
    </row>
    <row r="84" customFormat="1" s="62">
      <c r="H84" s="64" t="n"/>
    </row>
    <row r="85" customFormat="1" s="62">
      <c r="H85" s="64" t="n"/>
    </row>
    <row r="86" customFormat="1" s="62">
      <c r="H86" s="64" t="n"/>
    </row>
    <row r="87" customFormat="1" s="62">
      <c r="H87" s="64" t="n"/>
    </row>
    <row r="88" customFormat="1" s="62">
      <c r="H88" s="64" t="n"/>
    </row>
    <row r="89" customFormat="1" s="62">
      <c r="H89" s="64" t="n"/>
    </row>
    <row r="90" customFormat="1" s="62">
      <c r="H90" s="64" t="n"/>
    </row>
    <row r="91" customFormat="1" s="62">
      <c r="H91" s="64" t="n"/>
    </row>
    <row r="92" customFormat="1" s="62">
      <c r="H92" s="64" t="n"/>
    </row>
    <row r="93" customFormat="1" s="62">
      <c r="H93" s="64" t="n"/>
    </row>
    <row r="94" customFormat="1" s="62">
      <c r="H94" s="64" t="n"/>
    </row>
    <row r="95" customFormat="1" s="62">
      <c r="H95" s="64" t="n"/>
    </row>
    <row r="96" customFormat="1" s="62">
      <c r="H96" s="64" t="n"/>
    </row>
    <row r="97" customFormat="1" s="62">
      <c r="H97" s="64" t="n"/>
    </row>
    <row r="98" customFormat="1" s="62">
      <c r="H98" s="64" t="n"/>
    </row>
    <row r="99" customFormat="1" s="62">
      <c r="H99" s="64" t="n"/>
    </row>
    <row r="100" customFormat="1" s="62">
      <c r="H100" s="64" t="n"/>
    </row>
    <row r="101" customFormat="1" s="62">
      <c r="H101" s="64" t="n"/>
    </row>
    <row r="102" customFormat="1" s="62">
      <c r="H102" s="64" t="n"/>
    </row>
    <row r="103" customFormat="1" s="62">
      <c r="H103" s="64" t="n"/>
    </row>
    <row r="104" customFormat="1" s="62">
      <c r="H104" s="64" t="n"/>
    </row>
    <row r="105" customFormat="1" s="62">
      <c r="H105" s="64" t="n"/>
    </row>
  </sheetData>
  <mergeCells count="1">
    <mergeCell ref="F20:G20"/>
  </mergeCells>
  <pageMargins left="0.7" right="0.7" top="0.75" bottom="0.75" header="0.3" footer="0.3"/>
  <pageSetup orientation="landscape" scale="80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Chrissy Ungaro</dc:creator>
  <dcterms:created xsi:type="dcterms:W3CDTF">2010-11-08T04:35:34Z</dcterms:created>
  <dcterms:modified xsi:type="dcterms:W3CDTF">2026-07-03T15:25:25Z</dcterms:modified>
  <cp:lastModifiedBy>Emma Hughes</cp:lastModifiedBy>
  <cp:lastPrinted>2014-06-09T16:21:19Z</cp:lastPrinted>
</cp:coreProperties>
</file>